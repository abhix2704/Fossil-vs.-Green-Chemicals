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nabera\Desktop\Natural gas v chemicals\"/>
    </mc:Choice>
  </mc:AlternateContent>
  <xr:revisionPtr revIDLastSave="0" documentId="13_ncr:1_{26677A31-2405-4354-8676-DA5608151DFB}" xr6:coauthVersionLast="47" xr6:coauthVersionMax="47" xr10:uidLastSave="{00000000-0000-0000-0000-000000000000}"/>
  <bookViews>
    <workbookView xWindow="-120" yWindow="-120" windowWidth="29040" windowHeight="15840" xr2:uid="{00000000-000D-0000-FFFF-FFFF00000000}"/>
  </bookViews>
  <sheets>
    <sheet name="LCOH2" sheetId="1" r:id="rId1"/>
  </sheets>
  <definedNames>
    <definedName name="solver_adj" localSheetId="0" hidden="1">LCOH2!#REF!</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LCOH2!#REF!</definedName>
    <definedName name="solver_lhs2" localSheetId="0" hidden="1">LCOH2!#REF!</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LCOH2!#REF!</definedName>
    <definedName name="solver_pre" localSheetId="0" hidden="1">0.000001</definedName>
    <definedName name="solver_rbv" localSheetId="0" hidden="1">1</definedName>
    <definedName name="solver_rel1" localSheetId="0" hidden="1">3</definedName>
    <definedName name="solver_rel2" localSheetId="0" hidden="1">3</definedName>
    <definedName name="solver_rhs1" localSheetId="0" hidden="1">0</definedName>
    <definedName name="solver_rhs2"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N23" i="1" l="1"/>
  <c r="E4" i="1"/>
  <c r="F4" i="1" s="1"/>
  <c r="G11" i="1" l="1"/>
  <c r="I19" i="1"/>
  <c r="I18" i="1"/>
  <c r="C40" i="1" l="1"/>
  <c r="C37" i="1"/>
  <c r="C45" i="1" l="1"/>
  <c r="C44" i="1" s="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L15" i="1"/>
  <c r="N22" i="1" l="1"/>
  <c r="N21" i="1"/>
  <c r="N20" i="1"/>
  <c r="N19" i="1"/>
  <c r="L44" i="1" l="1"/>
  <c r="N44" i="1" l="1"/>
  <c r="M44" i="1"/>
  <c r="M39" i="1" l="1"/>
  <c r="N39" i="1"/>
  <c r="Q23" i="1" l="1"/>
  <c r="C12" i="1" s="1"/>
  <c r="Q22" i="1"/>
  <c r="C11" i="1" s="1"/>
  <c r="C16" i="1" s="1"/>
  <c r="N24" i="1"/>
  <c r="N25" i="1"/>
  <c r="N26" i="1"/>
  <c r="O10" i="1" l="1"/>
  <c r="X10" i="1"/>
  <c r="AG10" i="1"/>
  <c r="AO10" i="1"/>
  <c r="AW10" i="1"/>
  <c r="BE10" i="1"/>
  <c r="P10" i="1"/>
  <c r="Y10" i="1"/>
  <c r="AH10" i="1"/>
  <c r="AP10" i="1"/>
  <c r="AX10" i="1"/>
  <c r="BF10" i="1"/>
  <c r="O11" i="1"/>
  <c r="W11" i="1"/>
  <c r="AE11" i="1"/>
  <c r="AN11" i="1"/>
  <c r="AV11" i="1"/>
  <c r="BD11" i="1"/>
  <c r="BL11" i="1"/>
  <c r="AF11" i="1"/>
  <c r="AW11" i="1"/>
  <c r="AC11" i="1"/>
  <c r="V11" i="1"/>
  <c r="BC11" i="1"/>
  <c r="Q10" i="1"/>
  <c r="Z10" i="1"/>
  <c r="AI10" i="1"/>
  <c r="AQ10" i="1"/>
  <c r="AY10" i="1"/>
  <c r="BG10" i="1"/>
  <c r="P11" i="1"/>
  <c r="X11" i="1"/>
  <c r="AO11" i="1"/>
  <c r="BE11" i="1"/>
  <c r="AT11" i="1"/>
  <c r="AM11" i="1"/>
  <c r="R10" i="1"/>
  <c r="AB10" i="1"/>
  <c r="AJ10" i="1"/>
  <c r="AR10" i="1"/>
  <c r="AZ10" i="1"/>
  <c r="BH10" i="1"/>
  <c r="Q11" i="1"/>
  <c r="Y11" i="1"/>
  <c r="AH11" i="1"/>
  <c r="AP11" i="1"/>
  <c r="AX11" i="1"/>
  <c r="BF11" i="1"/>
  <c r="AY11" i="1"/>
  <c r="BG11" i="1"/>
  <c r="BD10" i="1"/>
  <c r="BJ11" i="1"/>
  <c r="AU11" i="1"/>
  <c r="S10" i="1"/>
  <c r="AC10" i="1"/>
  <c r="AK10" i="1"/>
  <c r="AS10" i="1"/>
  <c r="BA10" i="1"/>
  <c r="BI10" i="1"/>
  <c r="R11" i="1"/>
  <c r="Z11" i="1"/>
  <c r="AI11" i="1"/>
  <c r="AQ11" i="1"/>
  <c r="AL11" i="1"/>
  <c r="AD11" i="1"/>
  <c r="U10" i="1"/>
  <c r="AD10" i="1"/>
  <c r="AL10" i="1"/>
  <c r="AT10" i="1"/>
  <c r="BB10" i="1"/>
  <c r="BJ10" i="1"/>
  <c r="S11" i="1"/>
  <c r="AA11" i="1"/>
  <c r="AJ11" i="1"/>
  <c r="AR11" i="1"/>
  <c r="AZ11" i="1"/>
  <c r="BH11" i="1"/>
  <c r="AF10" i="1"/>
  <c r="AV10" i="1"/>
  <c r="U11" i="1"/>
  <c r="N11" i="1"/>
  <c r="BK11" i="1"/>
  <c r="V10" i="1"/>
  <c r="AE10" i="1"/>
  <c r="AM10" i="1"/>
  <c r="AU10" i="1"/>
  <c r="BC10" i="1"/>
  <c r="BK10" i="1"/>
  <c r="T11" i="1"/>
  <c r="AB11" i="1"/>
  <c r="AK11" i="1"/>
  <c r="AS11" i="1"/>
  <c r="BA11" i="1"/>
  <c r="BI11" i="1"/>
  <c r="W10" i="1"/>
  <c r="AN10" i="1"/>
  <c r="BL10" i="1"/>
  <c r="BB11" i="1"/>
  <c r="AA10" i="1"/>
  <c r="AG11" i="1"/>
  <c r="T10" i="1"/>
  <c r="L4" i="1"/>
  <c r="M4" i="1"/>
  <c r="N6" i="1"/>
  <c r="AO6" i="1"/>
  <c r="AS6" i="1"/>
  <c r="AW6" i="1"/>
  <c r="BA6" i="1"/>
  <c r="BE6" i="1"/>
  <c r="BI6" i="1"/>
  <c r="T6" i="1"/>
  <c r="X6" i="1"/>
  <c r="AB6" i="1"/>
  <c r="AF6" i="1"/>
  <c r="AJ6" i="1"/>
  <c r="AN6" i="1"/>
  <c r="Q6" i="1"/>
  <c r="AV6" i="1"/>
  <c r="BL6" i="1"/>
  <c r="AE6" i="1"/>
  <c r="P6" i="1"/>
  <c r="AP6" i="1"/>
  <c r="AT6" i="1"/>
  <c r="AX6" i="1"/>
  <c r="BB6" i="1"/>
  <c r="BF6" i="1"/>
  <c r="BJ6" i="1"/>
  <c r="U6" i="1"/>
  <c r="Y6" i="1"/>
  <c r="AC6" i="1"/>
  <c r="AG6" i="1"/>
  <c r="AK6" i="1"/>
  <c r="S6" i="1"/>
  <c r="R6" i="1"/>
  <c r="AZ6" i="1"/>
  <c r="BH6" i="1"/>
  <c r="AA6" i="1"/>
  <c r="AM6" i="1"/>
  <c r="AQ6" i="1"/>
  <c r="AU6" i="1"/>
  <c r="AY6" i="1"/>
  <c r="BC6" i="1"/>
  <c r="BG6" i="1"/>
  <c r="BK6" i="1"/>
  <c r="V6" i="1"/>
  <c r="Z6" i="1"/>
  <c r="AD6" i="1"/>
  <c r="AH6" i="1"/>
  <c r="AL6" i="1"/>
  <c r="O6" i="1"/>
  <c r="AR6" i="1"/>
  <c r="BD6" i="1"/>
  <c r="W6" i="1"/>
  <c r="AI6" i="1"/>
  <c r="BH5" i="1"/>
  <c r="BJ5" i="1"/>
  <c r="N8" i="1"/>
  <c r="V9" i="1"/>
  <c r="Z9" i="1"/>
  <c r="AD9" i="1"/>
  <c r="AH9" i="1"/>
  <c r="AL9" i="1"/>
  <c r="AP9" i="1"/>
  <c r="AT9" i="1"/>
  <c r="AX9" i="1"/>
  <c r="BB9" i="1"/>
  <c r="BF9" i="1"/>
  <c r="BJ9" i="1"/>
  <c r="Q9" i="1"/>
  <c r="U9" i="1"/>
  <c r="P8" i="1"/>
  <c r="Y9" i="1"/>
  <c r="AG9" i="1"/>
  <c r="AW9" i="1"/>
  <c r="BI9" i="1"/>
  <c r="O8" i="1"/>
  <c r="W9" i="1"/>
  <c r="AA9" i="1"/>
  <c r="AE9" i="1"/>
  <c r="AI9" i="1"/>
  <c r="AM9" i="1"/>
  <c r="AQ9" i="1"/>
  <c r="AU9" i="1"/>
  <c r="AY9" i="1"/>
  <c r="BC9" i="1"/>
  <c r="BG9" i="1"/>
  <c r="BK9" i="1"/>
  <c r="R9" i="1"/>
  <c r="N9" i="1"/>
  <c r="Q8" i="1"/>
  <c r="O9" i="1"/>
  <c r="AK9" i="1"/>
  <c r="AS9" i="1"/>
  <c r="BE9" i="1"/>
  <c r="T9" i="1"/>
  <c r="X9" i="1"/>
  <c r="AB9" i="1"/>
  <c r="AF9" i="1"/>
  <c r="AJ9" i="1"/>
  <c r="AN9" i="1"/>
  <c r="AR9" i="1"/>
  <c r="AV9" i="1"/>
  <c r="AZ9" i="1"/>
  <c r="BD9" i="1"/>
  <c r="BH9" i="1"/>
  <c r="BL9" i="1"/>
  <c r="S9" i="1"/>
  <c r="R8" i="1"/>
  <c r="AC9" i="1"/>
  <c r="AO9" i="1"/>
  <c r="BA9" i="1"/>
  <c r="P9" i="1"/>
  <c r="S4" i="1"/>
  <c r="S8" i="1"/>
  <c r="X8" i="1"/>
  <c r="AB8" i="1"/>
  <c r="AF8" i="1"/>
  <c r="AJ8" i="1"/>
  <c r="AN8" i="1"/>
  <c r="AR8" i="1"/>
  <c r="AV8" i="1"/>
  <c r="AZ8" i="1"/>
  <c r="BD8" i="1"/>
  <c r="BH8" i="1"/>
  <c r="BL8" i="1"/>
  <c r="N4" i="1"/>
  <c r="BI8" i="1"/>
  <c r="V8" i="1"/>
  <c r="Z8" i="1"/>
  <c r="AD8" i="1"/>
  <c r="AH8" i="1"/>
  <c r="AL8" i="1"/>
  <c r="AP8" i="1"/>
  <c r="AT8" i="1"/>
  <c r="AX8" i="1"/>
  <c r="BB8" i="1"/>
  <c r="BF8" i="1"/>
  <c r="BJ8" i="1"/>
  <c r="M8" i="1"/>
  <c r="T8" i="1"/>
  <c r="W8" i="1"/>
  <c r="AA8" i="1"/>
  <c r="AE8" i="1"/>
  <c r="AI8" i="1"/>
  <c r="AM8" i="1"/>
  <c r="AQ8" i="1"/>
  <c r="AU8" i="1"/>
  <c r="AY8" i="1"/>
  <c r="BC8" i="1"/>
  <c r="BG8" i="1"/>
  <c r="BK8" i="1"/>
  <c r="U8" i="1"/>
  <c r="Y8" i="1"/>
  <c r="AC8" i="1"/>
  <c r="AG8" i="1"/>
  <c r="AK8" i="1"/>
  <c r="AO8" i="1"/>
  <c r="AS8" i="1"/>
  <c r="AW8" i="1"/>
  <c r="BA8" i="1"/>
  <c r="BE8" i="1"/>
  <c r="L8" i="1"/>
  <c r="C20" i="1"/>
  <c r="BG7" i="1"/>
  <c r="BG5" i="1" s="1"/>
  <c r="BF7" i="1"/>
  <c r="BF5" i="1" s="1"/>
  <c r="BD7" i="1"/>
  <c r="BD5" i="1" s="1"/>
  <c r="BH7" i="1"/>
  <c r="BE7" i="1"/>
  <c r="BE5" i="1" s="1"/>
  <c r="BI7" i="1"/>
  <c r="BI5" i="1" s="1"/>
  <c r="BJ7" i="1"/>
  <c r="BK7" i="1"/>
  <c r="BK5" i="1" s="1"/>
  <c r="P4" i="1"/>
  <c r="T4" i="1"/>
  <c r="X4" i="1"/>
  <c r="AB4" i="1"/>
  <c r="AF4" i="1"/>
  <c r="AJ4" i="1"/>
  <c r="AN4" i="1"/>
  <c r="AR4" i="1"/>
  <c r="AV4" i="1"/>
  <c r="AZ4" i="1"/>
  <c r="BD4" i="1"/>
  <c r="BH4" i="1"/>
  <c r="BL4" i="1"/>
  <c r="V4" i="1"/>
  <c r="AD4" i="1"/>
  <c r="AL4" i="1"/>
  <c r="AT4" i="1"/>
  <c r="BF4" i="1"/>
  <c r="O4" i="1"/>
  <c r="W4" i="1"/>
  <c r="AE4" i="1"/>
  <c r="AQ4" i="1"/>
  <c r="AY4" i="1"/>
  <c r="BG4" i="1"/>
  <c r="BL7" i="1"/>
  <c r="BL5" i="1" s="1"/>
  <c r="Q4" i="1"/>
  <c r="U4" i="1"/>
  <c r="Y4" i="1"/>
  <c r="AC4" i="1"/>
  <c r="AG4" i="1"/>
  <c r="AK4" i="1"/>
  <c r="AO4" i="1"/>
  <c r="AS4" i="1"/>
  <c r="AW4" i="1"/>
  <c r="BA4" i="1"/>
  <c r="BE4" i="1"/>
  <c r="BI4" i="1"/>
  <c r="R4" i="1"/>
  <c r="Z4" i="1"/>
  <c r="AH4" i="1"/>
  <c r="AP4" i="1"/>
  <c r="AX4" i="1"/>
  <c r="BB4" i="1"/>
  <c r="BJ4" i="1"/>
  <c r="AA4" i="1"/>
  <c r="AI4" i="1"/>
  <c r="AM4" i="1"/>
  <c r="AU4" i="1"/>
  <c r="BC4" i="1"/>
  <c r="BK4" i="1"/>
  <c r="C17" i="1"/>
  <c r="X7" i="1" s="1"/>
  <c r="X5" i="1" s="1"/>
  <c r="Q61" i="1"/>
  <c r="R59" i="1"/>
  <c r="R56" i="1"/>
  <c r="BA7" i="1" l="1"/>
  <c r="BA5" i="1" s="1"/>
  <c r="BB7" i="1"/>
  <c r="BB5" i="1" s="1"/>
  <c r="BC7" i="1"/>
  <c r="BC5" i="1" s="1"/>
  <c r="AZ7" i="1"/>
  <c r="AZ5" i="1" s="1"/>
  <c r="BM11" i="1"/>
  <c r="L2" i="1"/>
  <c r="N7" i="1"/>
  <c r="N5" i="1" s="1"/>
  <c r="BM8" i="1"/>
  <c r="BM4" i="1"/>
  <c r="BM9" i="1"/>
  <c r="BM10" i="1"/>
  <c r="BM6" i="1"/>
  <c r="C25" i="1"/>
  <c r="AW7" i="1"/>
  <c r="AW5" i="1" s="1"/>
  <c r="AX7" i="1"/>
  <c r="AX5" i="1" s="1"/>
  <c r="AR7" i="1"/>
  <c r="AR5" i="1" s="1"/>
  <c r="AS7" i="1"/>
  <c r="AS5" i="1" s="1"/>
  <c r="AV7" i="1"/>
  <c r="AV5" i="1" s="1"/>
  <c r="AU7" i="1"/>
  <c r="AU5" i="1" s="1"/>
  <c r="AT7" i="1"/>
  <c r="AT5" i="1" s="1"/>
  <c r="AY7" i="1"/>
  <c r="AY5" i="1" s="1"/>
  <c r="AK7" i="1"/>
  <c r="AK5" i="1" s="1"/>
  <c r="AM7" i="1"/>
  <c r="AM5" i="1" s="1"/>
  <c r="AP7" i="1"/>
  <c r="AP5" i="1" s="1"/>
  <c r="AQ7" i="1"/>
  <c r="AQ5" i="1" s="1"/>
  <c r="AL7" i="1"/>
  <c r="AL5" i="1" s="1"/>
  <c r="AN7" i="1"/>
  <c r="AN5" i="1" s="1"/>
  <c r="AO7" i="1"/>
  <c r="AO5" i="1" s="1"/>
  <c r="Z7" i="1"/>
  <c r="Z5" i="1" s="1"/>
  <c r="R7" i="1"/>
  <c r="R5" i="1" s="1"/>
  <c r="AG7" i="1"/>
  <c r="AG5" i="1" s="1"/>
  <c r="M7" i="1"/>
  <c r="AI7" i="1"/>
  <c r="AI5" i="1" s="1"/>
  <c r="AH7" i="1"/>
  <c r="AH5" i="1" s="1"/>
  <c r="AJ7" i="1"/>
  <c r="AJ5" i="1" s="1"/>
  <c r="S7" i="1"/>
  <c r="S5" i="1" s="1"/>
  <c r="L7" i="1"/>
  <c r="V7" i="1"/>
  <c r="V5" i="1" s="1"/>
  <c r="O7" i="1"/>
  <c r="O5" i="1" s="1"/>
  <c r="Y7" i="1"/>
  <c r="Y5" i="1" s="1"/>
  <c r="AD7" i="1"/>
  <c r="AD5" i="1" s="1"/>
  <c r="AA7" i="1"/>
  <c r="AA5" i="1" s="1"/>
  <c r="AF7" i="1"/>
  <c r="AF5" i="1" s="1"/>
  <c r="AC7" i="1"/>
  <c r="AC5" i="1" s="1"/>
  <c r="T7" i="1"/>
  <c r="T5" i="1" s="1"/>
  <c r="P7" i="1"/>
  <c r="P5" i="1" s="1"/>
  <c r="AE7" i="1"/>
  <c r="AE5" i="1" s="1"/>
  <c r="W7" i="1"/>
  <c r="W5" i="1" s="1"/>
  <c r="Q7" i="1"/>
  <c r="Q5" i="1" s="1"/>
  <c r="AB7" i="1"/>
  <c r="AB5" i="1" s="1"/>
  <c r="U7" i="1"/>
  <c r="U5" i="1" s="1"/>
  <c r="C23" i="1" l="1"/>
  <c r="BM7" i="1"/>
  <c r="BM5" i="1"/>
  <c r="C26" i="1"/>
  <c r="BN7" i="1" l="1"/>
  <c r="BM12" i="1" s="1"/>
</calcChain>
</file>

<file path=xl/sharedStrings.xml><?xml version="1.0" encoding="utf-8"?>
<sst xmlns="http://schemas.openxmlformats.org/spreadsheetml/2006/main" count="121" uniqueCount="102">
  <si>
    <t>Nominal input power (kW)</t>
  </si>
  <si>
    <t>Nominal H2 flow (kg/h)</t>
  </si>
  <si>
    <t>Power demand electrolizer (kWh/kg H2)</t>
  </si>
  <si>
    <t>Life spam (years)</t>
  </si>
  <si>
    <t>stack lifetime (hours)</t>
  </si>
  <si>
    <t>The stack in the electrolyser is assumed to have a lifetime of 50,000 hours, as for continuous operation. This is based on an assumption that the power conditioning in the system is sufficient to prevent significant spikes in current or voltage from the PV system passing to the electrolyser. At 20.5% utilisation, 50,000 hours equates to 27.8 years of operation. There is thus no need to replace the stack in the base case, so the stack replacement line entry shows as zero cost. In the sensitivity analysis, we consider the case where the stack lifetime is 20,000 hours: the low end of the range identified by the FCHJU (Bertuccioli et al., 2014).</t>
  </si>
  <si>
    <t>WACC(%)</t>
  </si>
  <si>
    <t>crf(t)</t>
  </si>
  <si>
    <t>LCOE (€/kWh)</t>
  </si>
  <si>
    <t>Tap water (liters/kg H2)</t>
  </si>
  <si>
    <t>CAPEX</t>
  </si>
  <si>
    <t>OPEX</t>
  </si>
  <si>
    <t>Nm3</t>
  </si>
  <si>
    <t>kg</t>
  </si>
  <si>
    <t>Insert parameter of the electrolizer</t>
  </si>
  <si>
    <t>Calculations</t>
  </si>
  <si>
    <t>Capacity factor</t>
  </si>
  <si>
    <t>Capital recovery factor</t>
  </si>
  <si>
    <t>Weighted average costs of capital</t>
  </si>
  <si>
    <t>H2 Production</t>
  </si>
  <si>
    <t>The life spam of the electrolizer depends on the power technology</t>
  </si>
  <si>
    <t>Annual Production H2 (kg)</t>
  </si>
  <si>
    <r>
      <t>Hinkley, J., Hayward, J., McNaughton, R., Gillespie, R., Matsumoto, A., Watt, M., &amp; Lovegrove, K. (2016). Cost assessment of hydrogen production from PV and electrolysis. </t>
    </r>
    <r>
      <rPr>
        <i/>
        <sz val="10"/>
        <color rgb="FF222222"/>
        <rFont val="Arial"/>
        <family val="2"/>
      </rPr>
      <t>Report to ARENA as part of Solar Fuels Roadmap, Project A-3018</t>
    </r>
    <r>
      <rPr>
        <sz val="10"/>
        <color rgb="FF222222"/>
        <rFont val="Arial"/>
        <family val="2"/>
      </rPr>
      <t>, 1-4.</t>
    </r>
  </si>
  <si>
    <t>Stack time in 2020 is 50000 and in 2030 is extected to be 80000</t>
  </si>
  <si>
    <t>The capitas costs are 2285€/kW in 2020 and in 2030 it will be 2285€/kW</t>
  </si>
  <si>
    <t xml:space="preserve">Interest rate </t>
  </si>
  <si>
    <t>Wind onshore</t>
  </si>
  <si>
    <t>Wind offshore</t>
  </si>
  <si>
    <t xml:space="preserve">Nuclear </t>
  </si>
  <si>
    <t>Solar PV</t>
  </si>
  <si>
    <t>Hydro</t>
  </si>
  <si>
    <t>CF</t>
  </si>
  <si>
    <t>BECCS</t>
  </si>
  <si>
    <t>Geothermal</t>
  </si>
  <si>
    <t>CSP</t>
  </si>
  <si>
    <t>USD</t>
  </si>
  <si>
    <t>€</t>
  </si>
  <si>
    <t>Condicion</t>
  </si>
  <si>
    <t>Select the electricity technologyr electricity technology</t>
  </si>
  <si>
    <t>LCOE</t>
  </si>
  <si>
    <t>B. Parkinson, P. Balcombe, J. F. Speirs, A. D. Hawkes and K. Hellgardt, Energy Environ. Sci, 2019, 12, 19.</t>
  </si>
  <si>
    <t>BECCS average of 175 2015$/MWh sourced fromCabral, R. P., Bui, M., &amp; Mac Dowell, N. (2019). A synergistic approach for the simultaneous decarbonisation of power and industry via bioenergy with carbon capture and storage (BECCS). International Journal of Greenhouse Gas Control, 87, 221-237.</t>
  </si>
  <si>
    <t>Average</t>
  </si>
  <si>
    <t>Min</t>
  </si>
  <si>
    <t>Max</t>
  </si>
  <si>
    <t>BECCS ( 2015$/MWh)</t>
  </si>
  <si>
    <t>https://ec.europa.eu/eurostat/cache/metadata/en/prc_hicp_esms.htm</t>
  </si>
  <si>
    <t>Average rate of change of HICP 0.014869% per year for the period 2015-2018</t>
  </si>
  <si>
    <t>BECCS ( 2018$/MWh)</t>
  </si>
  <si>
    <t>Capital cost (€/kW)</t>
  </si>
  <si>
    <t>HICP</t>
  </si>
  <si>
    <t>Capital Investment Allocation</t>
  </si>
  <si>
    <t>Active Years</t>
  </si>
  <si>
    <t>From first year of construction</t>
  </si>
  <si>
    <t>Annualization factor</t>
  </si>
  <si>
    <t>Hydrogen production capacity (fraction of full capacity)</t>
  </si>
  <si>
    <t>Plant decommissioning</t>
  </si>
  <si>
    <t>Equipment replacement cost</t>
  </si>
  <si>
    <t>density H2 (STP)</t>
  </si>
  <si>
    <t>g/L=kg/m3</t>
  </si>
  <si>
    <t>Spec. En. Cons.</t>
  </si>
  <si>
    <t>kWh/Nm3</t>
  </si>
  <si>
    <t>kWh/kg H2</t>
  </si>
  <si>
    <t>Nm3/h</t>
  </si>
  <si>
    <t>kg H2/h</t>
  </si>
  <si>
    <t>Cell voltage</t>
  </si>
  <si>
    <t>V</t>
  </si>
  <si>
    <t>Current density</t>
  </si>
  <si>
    <t>A/cm2</t>
  </si>
  <si>
    <t>Cell area</t>
  </si>
  <si>
    <t>m2</t>
  </si>
  <si>
    <t>Nominal input power</t>
  </si>
  <si>
    <t>kW</t>
  </si>
  <si>
    <t>PEM (Value)</t>
  </si>
  <si>
    <t>PEM (Unit)</t>
  </si>
  <si>
    <t>Maximal value in the range</t>
  </si>
  <si>
    <t>Calculated from the other parameters</t>
  </si>
  <si>
    <t>Reference: David M., Ocampo-Martínez C., Sánchez-Pena R., J. En. Stor. (2019), 23, pp. 392-403</t>
  </si>
  <si>
    <t>OPEX (electricity)</t>
  </si>
  <si>
    <t>OPEX (fixed and other variable ones)</t>
  </si>
  <si>
    <t>Other OPEX than electricity (fraction of initial CAPEX)</t>
  </si>
  <si>
    <t>Electrode Replacement Cost (Fraction of initial CAPEX)</t>
  </si>
  <si>
    <t>Decommissioning Cost (Fraction of depreciable capital)</t>
  </si>
  <si>
    <t>Salvage cost (Fraction of depreciable capital)</t>
  </si>
  <si>
    <t>Ref. Parkinson(2019)</t>
  </si>
  <si>
    <t>Nominal H2 flow per stack (volume)</t>
  </si>
  <si>
    <t>Nominal H2 flow per stack (mass)</t>
  </si>
  <si>
    <t>Ref. Bertolucci(2014) (see below)</t>
  </si>
  <si>
    <t>From Bertolucci (2014) https://www.fch.europa.eu/sites/default/files/FCHJUElectrolysisStudy_FullReport%20(ID%20199214).pdf</t>
  </si>
  <si>
    <t>(Similar values can be found in Bertolucci(2014) and in Parkinson (2019))</t>
  </si>
  <si>
    <t>Comparison from Parkinson (wind)</t>
  </si>
  <si>
    <t>6 - 12</t>
  </si>
  <si>
    <t>3.1 - 9.6</t>
  </si>
  <si>
    <t>Comparison from Timmerberg - Kaltschmitt (wind)*</t>
  </si>
  <si>
    <t>*Source: https://www.sciencedirect.com/science/article/pii/S0306261919300303?via%3Dihub#tblfn1</t>
  </si>
  <si>
    <t>Salvage cost from electrodes**</t>
  </si>
  <si>
    <t>Salvage cost from plant decommissioning**</t>
  </si>
  <si>
    <t>efficiency</t>
  </si>
  <si>
    <t>LCOH ($/kg H2)</t>
  </si>
  <si>
    <t>LCOE high</t>
  </si>
  <si>
    <t>LCOE low</t>
  </si>
  <si>
    <t>LCOE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</si>
</sst>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sz val="10"/>
      <color rgb="FF222222"/>
      <name val="Arial"/>
      <family val="2"/>
    </font>
    <font>
      <i/>
      <sz val="10"/>
      <color rgb="FF222222"/>
      <name val="Arial"/>
      <family val="2"/>
    </font>
    <font>
      <sz val="11"/>
      <name val="Calibri"/>
      <family val="2"/>
      <scheme val="minor"/>
    </font>
    <font>
      <b/>
      <i/>
      <sz val="16"/>
      <color theme="1"/>
      <name val="Calibri"/>
      <family val="2"/>
      <scheme val="minor"/>
    </font>
    <font>
      <sz val="11"/>
      <color theme="1"/>
      <name val="Calibri"/>
      <family val="2"/>
      <scheme val="minor"/>
    </font>
    <font>
      <sz val="11"/>
      <color rgb="FF9C650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s>
  <borders count="3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5" tint="-0.249977111117893"/>
      </top>
      <bottom/>
      <diagonal/>
    </border>
    <border>
      <left style="thin">
        <color theme="5" tint="-0.249977111117893"/>
      </left>
      <right/>
      <top/>
      <bottom/>
      <diagonal/>
    </border>
    <border>
      <left style="thin">
        <color theme="4" tint="-0.249977111117893"/>
      </left>
      <right/>
      <top/>
      <bottom/>
      <diagonal/>
    </border>
    <border>
      <left style="thin">
        <color theme="4" tint="-0.249977111117893"/>
      </left>
      <right/>
      <top style="thin">
        <color theme="4" tint="-0.249977111117893"/>
      </top>
      <bottom style="thin">
        <color theme="4" tint="-0.249977111117893"/>
      </bottom>
      <diagonal/>
    </border>
    <border>
      <left/>
      <right/>
      <top style="medium">
        <color indexed="64"/>
      </top>
      <bottom style="thin">
        <color theme="4" tint="-0.249977111117893"/>
      </bottom>
      <diagonal/>
    </border>
    <border>
      <left/>
      <right/>
      <top/>
      <bottom style="thin">
        <color theme="4" tint="-0.249977111117893"/>
      </bottom>
      <diagonal/>
    </border>
    <border>
      <left style="thin">
        <color theme="5" tint="-0.249977111117893"/>
      </left>
      <right/>
      <top style="thin">
        <color theme="5" tint="-0.249977111117893"/>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0" fontId="10"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cellStyleXfs>
  <cellXfs count="46">
    <xf numFmtId="0" fontId="0" fillId="0" borderId="0" xfId="0"/>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8" xfId="0" applyBorder="1"/>
    <xf numFmtId="0" fontId="2" fillId="0" borderId="0" xfId="0" applyFont="1"/>
    <xf numFmtId="0" fontId="2" fillId="2" borderId="10" xfId="0" applyFont="1" applyFill="1" applyBorder="1"/>
    <xf numFmtId="0" fontId="4" fillId="3" borderId="9" xfId="0" applyFont="1" applyFill="1" applyBorder="1"/>
    <xf numFmtId="0" fontId="0" fillId="0" borderId="2" xfId="0" applyBorder="1"/>
    <xf numFmtId="0" fontId="0" fillId="0" borderId="5" xfId="0" applyBorder="1"/>
    <xf numFmtId="0" fontId="5" fillId="0" borderId="0" xfId="0" applyFont="1"/>
    <xf numFmtId="0" fontId="7" fillId="0" borderId="6" xfId="0" applyFont="1" applyBorder="1"/>
    <xf numFmtId="0" fontId="3" fillId="0" borderId="0" xfId="0" applyFont="1"/>
    <xf numFmtId="0" fontId="1" fillId="0" borderId="0" xfId="0" applyFont="1"/>
    <xf numFmtId="0" fontId="3" fillId="0" borderId="10" xfId="0" applyFont="1" applyBorder="1"/>
    <xf numFmtId="0" fontId="8" fillId="0" borderId="1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10" fillId="4" borderId="14" xfId="1" applyBorder="1"/>
    <xf numFmtId="0" fontId="10" fillId="4" borderId="13" xfId="1" applyBorder="1"/>
    <xf numFmtId="0" fontId="9" fillId="6" borderId="16" xfId="3" applyBorder="1"/>
    <xf numFmtId="0" fontId="0" fillId="0" borderId="17" xfId="0" applyBorder="1"/>
    <xf numFmtId="0" fontId="0" fillId="0" borderId="18" xfId="0" applyBorder="1"/>
    <xf numFmtId="0" fontId="9" fillId="5" borderId="19" xfId="2" applyBorder="1"/>
    <xf numFmtId="0" fontId="9" fillId="5" borderId="21" xfId="2" applyBorder="1"/>
    <xf numFmtId="0" fontId="0" fillId="0" borderId="20" xfId="0" applyBorder="1"/>
    <xf numFmtId="0" fontId="9" fillId="6" borderId="22" xfId="3" applyBorder="1"/>
    <xf numFmtId="0" fontId="0" fillId="0" borderId="16"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0" xfId="0" applyBorder="1"/>
    <xf numFmtId="0" fontId="0" fillId="0" borderId="30" xfId="0" applyBorder="1"/>
    <xf numFmtId="0" fontId="0" fillId="0" borderId="11" xfId="0" applyBorder="1"/>
    <xf numFmtId="16" fontId="0" fillId="0" borderId="0" xfId="0" quotePrefix="1" applyNumberFormat="1"/>
    <xf numFmtId="0" fontId="0" fillId="0" borderId="0" xfId="0" applyAlignment="1">
      <alignment horizontal="center"/>
    </xf>
    <xf numFmtId="0" fontId="3" fillId="0" borderId="1" xfId="0" applyFont="1" applyBorder="1" applyAlignment="1">
      <alignment horizontal="center"/>
    </xf>
    <xf numFmtId="0" fontId="3" fillId="0" borderId="2" xfId="0" applyFont="1" applyBorder="1" applyAlignment="1">
      <alignment horizontal="center"/>
    </xf>
  </cellXfs>
  <cellStyles count="4">
    <cellStyle name="40% - Accent1" xfId="2" builtinId="31"/>
    <cellStyle name="40% - Accent2" xfId="3" builtinId="35"/>
    <cellStyle name="Neutral" xfId="1" builtinId="2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5B4-41C6-8C3E-AA1895724DA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5B4-41C6-8C3E-AA1895724DA9}"/>
              </c:ext>
            </c:extLst>
          </c:dPt>
          <c:cat>
            <c:strRef>
              <c:f>LCOH2!$B$25:$B$26</c:f>
              <c:strCache>
                <c:ptCount val="2"/>
                <c:pt idx="0">
                  <c:v>CAPEX</c:v>
                </c:pt>
                <c:pt idx="1">
                  <c:v>OPEX</c:v>
                </c:pt>
              </c:strCache>
            </c:strRef>
          </c:cat>
          <c:val>
            <c:numRef>
              <c:f>LCOH2!$C$25:$C$26</c:f>
              <c:numCache>
                <c:formatCode>General</c:formatCode>
                <c:ptCount val="2"/>
                <c:pt idx="0">
                  <c:v>1898880</c:v>
                </c:pt>
                <c:pt idx="1">
                  <c:v>4269616.2390869716</c:v>
                </c:pt>
              </c:numCache>
            </c:numRef>
          </c:val>
          <c:extLst>
            <c:ext xmlns:c16="http://schemas.microsoft.com/office/drawing/2014/chart" uri="{C3380CC4-5D6E-409C-BE32-E72D297353CC}">
              <c16:uniqueId val="{00000000-0107-4DC3-8121-AF744077E8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47</xdr:row>
      <xdr:rowOff>76376</xdr:rowOff>
    </xdr:from>
    <xdr:to>
      <xdr:col>3</xdr:col>
      <xdr:colOff>15209</xdr:colOff>
      <xdr:row>68</xdr:row>
      <xdr:rowOff>35427</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4301" y="9209170"/>
          <a:ext cx="5074023" cy="3959551"/>
        </a:xfrm>
        <a:prstGeom prst="rect">
          <a:avLst/>
        </a:prstGeom>
      </xdr:spPr>
    </xdr:pic>
    <xdr:clientData/>
  </xdr:twoCellAnchor>
  <xdr:twoCellAnchor editAs="oneCell">
    <xdr:from>
      <xdr:col>1</xdr:col>
      <xdr:colOff>47364</xdr:colOff>
      <xdr:row>70</xdr:row>
      <xdr:rowOff>175203</xdr:rowOff>
    </xdr:from>
    <xdr:to>
      <xdr:col>2</xdr:col>
      <xdr:colOff>1227141</xdr:colOff>
      <xdr:row>88</xdr:row>
      <xdr:rowOff>2355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56964" y="17015403"/>
          <a:ext cx="4400881" cy="3256152"/>
        </a:xfrm>
        <a:prstGeom prst="rect">
          <a:avLst/>
        </a:prstGeom>
      </xdr:spPr>
    </xdr:pic>
    <xdr:clientData/>
  </xdr:twoCellAnchor>
  <xdr:twoCellAnchor editAs="oneCell">
    <xdr:from>
      <xdr:col>1</xdr:col>
      <xdr:colOff>299444</xdr:colOff>
      <xdr:row>91</xdr:row>
      <xdr:rowOff>39100</xdr:rowOff>
    </xdr:from>
    <xdr:to>
      <xdr:col>2</xdr:col>
      <xdr:colOff>459984</xdr:colOff>
      <xdr:row>96</xdr:row>
      <xdr:rowOff>67552</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9044" y="17650825"/>
          <a:ext cx="3360940" cy="980952"/>
        </a:xfrm>
        <a:prstGeom prst="rect">
          <a:avLst/>
        </a:prstGeom>
      </xdr:spPr>
    </xdr:pic>
    <xdr:clientData/>
  </xdr:twoCellAnchor>
  <xdr:twoCellAnchor editAs="oneCell">
    <xdr:from>
      <xdr:col>5</xdr:col>
      <xdr:colOff>96570</xdr:colOff>
      <xdr:row>51</xdr:row>
      <xdr:rowOff>161756</xdr:rowOff>
    </xdr:from>
    <xdr:to>
      <xdr:col>9</xdr:col>
      <xdr:colOff>1335749</xdr:colOff>
      <xdr:row>66</xdr:row>
      <xdr:rowOff>177596</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7019047" y="9745371"/>
          <a:ext cx="5166410" cy="2741456"/>
        </a:xfrm>
        <a:prstGeom prst="rect">
          <a:avLst/>
        </a:prstGeom>
      </xdr:spPr>
    </xdr:pic>
    <xdr:clientData/>
  </xdr:twoCellAnchor>
  <xdr:twoCellAnchor>
    <xdr:from>
      <xdr:col>6</xdr:col>
      <xdr:colOff>5645</xdr:colOff>
      <xdr:row>23</xdr:row>
      <xdr:rowOff>17453</xdr:rowOff>
    </xdr:from>
    <xdr:to>
      <xdr:col>9</xdr:col>
      <xdr:colOff>1793760</xdr:colOff>
      <xdr:row>33</xdr:row>
      <xdr:rowOff>94473</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0</xdr:colOff>
      <xdr:row>70</xdr:row>
      <xdr:rowOff>76200</xdr:rowOff>
    </xdr:from>
    <xdr:to>
      <xdr:col>9</xdr:col>
      <xdr:colOff>1247774</xdr:colOff>
      <xdr:row>75</xdr:row>
      <xdr:rowOff>106908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6496050" y="13677900"/>
          <a:ext cx="5067299" cy="9832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N77"/>
  <sheetViews>
    <sheetView tabSelected="1" zoomScale="130" zoomScaleNormal="130" workbookViewId="0">
      <selection activeCell="G16" sqref="G16"/>
    </sheetView>
  </sheetViews>
  <sheetFormatPr defaultColWidth="9.109375" defaultRowHeight="14.4" x14ac:dyDescent="0.3"/>
  <cols>
    <col min="2" max="2" width="48" customWidth="1"/>
    <col min="3" max="3" width="20.44140625" customWidth="1"/>
    <col min="4" max="4" width="10.6640625" bestFit="1" customWidth="1"/>
    <col min="5" max="5" width="12.6640625" customWidth="1"/>
    <col min="7" max="7" width="27.109375" customWidth="1"/>
    <col min="9" max="9" width="11.88671875" bestFit="1" customWidth="1"/>
    <col min="10" max="10" width="29.88671875" customWidth="1"/>
    <col min="11" max="11" width="50.5546875" customWidth="1"/>
    <col min="12" max="12" width="10.6640625" customWidth="1"/>
    <col min="13" max="13" width="14" bestFit="1" customWidth="1"/>
    <col min="14" max="14" width="12.33203125" bestFit="1" customWidth="1"/>
    <col min="21" max="21" width="12" bestFit="1" customWidth="1"/>
  </cols>
  <sheetData>
    <row r="1" spans="2:66" ht="15" thickBot="1" x14ac:dyDescent="0.35"/>
    <row r="2" spans="2:66" ht="15" thickBot="1" x14ac:dyDescent="0.35">
      <c r="B2" s="44" t="s">
        <v>14</v>
      </c>
      <c r="C2" s="45"/>
      <c r="K2" t="s">
        <v>52</v>
      </c>
      <c r="L2">
        <f>SUM(L4:M4)</f>
        <v>1898880</v>
      </c>
      <c r="N2" s="7">
        <v>1</v>
      </c>
      <c r="O2" s="7">
        <v>2</v>
      </c>
      <c r="P2" s="7">
        <v>3</v>
      </c>
      <c r="Q2" s="7">
        <v>4</v>
      </c>
      <c r="R2" s="7">
        <v>5</v>
      </c>
      <c r="S2" s="7">
        <v>6</v>
      </c>
      <c r="T2" s="7">
        <v>7</v>
      </c>
      <c r="U2" s="7">
        <v>8</v>
      </c>
      <c r="V2" s="7">
        <v>9</v>
      </c>
      <c r="W2" s="7">
        <v>10</v>
      </c>
      <c r="X2" s="7">
        <v>11</v>
      </c>
      <c r="Y2" s="7">
        <v>12</v>
      </c>
      <c r="Z2" s="7">
        <v>13</v>
      </c>
      <c r="AA2" s="7">
        <v>14</v>
      </c>
      <c r="AB2" s="7">
        <v>15</v>
      </c>
      <c r="AC2" s="7">
        <v>16</v>
      </c>
      <c r="AD2" s="7">
        <v>17</v>
      </c>
      <c r="AE2" s="7">
        <v>18</v>
      </c>
      <c r="AF2" s="7">
        <v>19</v>
      </c>
      <c r="AG2" s="7">
        <v>20</v>
      </c>
      <c r="AH2" s="7">
        <v>21</v>
      </c>
      <c r="AI2" s="7">
        <v>22</v>
      </c>
      <c r="AJ2" s="7">
        <v>23</v>
      </c>
      <c r="AK2" s="7">
        <v>24</v>
      </c>
      <c r="AL2" s="7">
        <v>25</v>
      </c>
      <c r="AM2" s="7">
        <v>26</v>
      </c>
      <c r="AN2" s="7">
        <v>27</v>
      </c>
      <c r="AO2" s="7">
        <v>28</v>
      </c>
      <c r="AP2" s="7">
        <v>29</v>
      </c>
      <c r="AQ2" s="7">
        <v>30</v>
      </c>
      <c r="AR2" s="7">
        <v>31</v>
      </c>
      <c r="AS2" s="7">
        <v>32</v>
      </c>
      <c r="AT2" s="7">
        <v>33</v>
      </c>
      <c r="AU2" s="7">
        <v>34</v>
      </c>
      <c r="AV2" s="7">
        <v>35</v>
      </c>
      <c r="AW2" s="7">
        <v>36</v>
      </c>
      <c r="AX2" s="7">
        <v>37</v>
      </c>
      <c r="AY2" s="7">
        <v>38</v>
      </c>
      <c r="AZ2" s="7">
        <v>39</v>
      </c>
      <c r="BA2" s="7">
        <v>40</v>
      </c>
      <c r="BB2" s="7">
        <v>41</v>
      </c>
      <c r="BC2" s="7">
        <v>42</v>
      </c>
      <c r="BD2" s="7">
        <v>43</v>
      </c>
      <c r="BE2" s="7">
        <v>44</v>
      </c>
      <c r="BF2" s="7">
        <v>45</v>
      </c>
      <c r="BG2" s="7">
        <v>46</v>
      </c>
      <c r="BH2" s="7">
        <v>47</v>
      </c>
      <c r="BI2" s="7">
        <v>48</v>
      </c>
      <c r="BJ2" s="7">
        <v>49</v>
      </c>
      <c r="BK2" s="7">
        <v>50</v>
      </c>
      <c r="BL2" s="7">
        <v>51</v>
      </c>
    </row>
    <row r="3" spans="2:66" x14ac:dyDescent="0.3">
      <c r="B3" s="1" t="s">
        <v>0</v>
      </c>
      <c r="C3" s="4">
        <v>1840</v>
      </c>
      <c r="F3" t="s">
        <v>97</v>
      </c>
      <c r="K3" t="s">
        <v>53</v>
      </c>
      <c r="L3" s="7">
        <v>-1</v>
      </c>
      <c r="M3" s="7">
        <v>0</v>
      </c>
      <c r="N3" s="7">
        <v>1</v>
      </c>
      <c r="O3" s="7">
        <v>2</v>
      </c>
      <c r="P3" s="7">
        <v>3</v>
      </c>
      <c r="Q3" s="7">
        <v>4</v>
      </c>
      <c r="R3" s="7">
        <v>5</v>
      </c>
      <c r="S3" s="7">
        <v>6</v>
      </c>
      <c r="T3" s="7">
        <v>7</v>
      </c>
      <c r="U3" s="7">
        <v>8</v>
      </c>
      <c r="V3" s="7">
        <v>9</v>
      </c>
      <c r="W3" s="7">
        <v>10</v>
      </c>
      <c r="X3" s="7">
        <v>11</v>
      </c>
      <c r="Y3" s="7">
        <v>12</v>
      </c>
      <c r="Z3" s="7">
        <v>13</v>
      </c>
      <c r="AA3" s="7">
        <v>14</v>
      </c>
      <c r="AB3" s="7">
        <v>15</v>
      </c>
      <c r="AC3" s="7">
        <v>16</v>
      </c>
      <c r="AD3" s="7">
        <v>17</v>
      </c>
      <c r="AE3" s="7">
        <v>18</v>
      </c>
      <c r="AF3" s="7">
        <v>19</v>
      </c>
      <c r="AG3" s="7">
        <v>20</v>
      </c>
      <c r="AH3" s="7">
        <v>21</v>
      </c>
      <c r="AI3" s="7">
        <v>22</v>
      </c>
      <c r="AJ3" s="7">
        <v>23</v>
      </c>
      <c r="AK3" s="7">
        <v>24</v>
      </c>
      <c r="AL3" s="7">
        <v>25</v>
      </c>
      <c r="AM3" s="7">
        <v>26</v>
      </c>
      <c r="AN3" s="7">
        <v>27</v>
      </c>
      <c r="AO3" s="7">
        <v>28</v>
      </c>
      <c r="AP3" s="7">
        <v>29</v>
      </c>
      <c r="AQ3" s="7">
        <v>30</v>
      </c>
      <c r="AR3" s="7">
        <v>31</v>
      </c>
      <c r="AS3" s="7">
        <v>32</v>
      </c>
      <c r="AT3" s="7">
        <v>33</v>
      </c>
      <c r="AU3" s="7">
        <v>34</v>
      </c>
      <c r="AV3" s="7">
        <v>35</v>
      </c>
      <c r="AW3" s="7">
        <v>36</v>
      </c>
      <c r="AX3" s="7">
        <v>37</v>
      </c>
      <c r="AY3" s="7">
        <v>38</v>
      </c>
      <c r="AZ3" s="7">
        <v>39</v>
      </c>
      <c r="BA3" s="7">
        <v>40</v>
      </c>
      <c r="BB3" s="7">
        <v>41</v>
      </c>
      <c r="BC3" s="7">
        <v>42</v>
      </c>
      <c r="BD3" s="7">
        <v>43</v>
      </c>
      <c r="BE3" s="7">
        <v>44</v>
      </c>
      <c r="BF3" s="7">
        <v>45</v>
      </c>
      <c r="BG3" s="7">
        <v>46</v>
      </c>
      <c r="BH3" s="7">
        <v>47</v>
      </c>
      <c r="BI3" s="7">
        <v>48</v>
      </c>
      <c r="BJ3" s="7">
        <v>49</v>
      </c>
      <c r="BK3" s="7">
        <v>50</v>
      </c>
      <c r="BL3" s="7">
        <v>51</v>
      </c>
    </row>
    <row r="4" spans="2:66" x14ac:dyDescent="0.3">
      <c r="B4" s="2" t="s">
        <v>1</v>
      </c>
      <c r="C4" s="5">
        <v>35.951999999999998</v>
      </c>
      <c r="E4">
        <f>C4*33.33</f>
        <v>1198.2801599999998</v>
      </c>
      <c r="F4">
        <f>E4/C3*100</f>
        <v>65.123921739130424</v>
      </c>
      <c r="K4" t="s">
        <v>10</v>
      </c>
      <c r="L4">
        <f>IF(L3&lt;$C$16, $C$3*$C$7*L14/L15, 0)</f>
        <v>978880</v>
      </c>
      <c r="M4">
        <f>IF(M3&lt;$C$16, $C$3*$C$7*M14/M15, 0)</f>
        <v>920000</v>
      </c>
      <c r="N4">
        <f t="shared" ref="N4:AQ4" si="0">IF(N3&lt;$C$16, $C$3*$C$7*N14/N15, 0)</f>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ref="AR4:BL4" si="1">IF(AR3&lt;$C$16, $C$3*$C$7*AR14/AR15, 0)</f>
        <v>0</v>
      </c>
      <c r="AS4">
        <f t="shared" si="1"/>
        <v>0</v>
      </c>
      <c r="AT4">
        <f t="shared" si="1"/>
        <v>0</v>
      </c>
      <c r="AU4">
        <f t="shared" si="1"/>
        <v>0</v>
      </c>
      <c r="AV4">
        <f t="shared" si="1"/>
        <v>0</v>
      </c>
      <c r="AW4">
        <f t="shared" si="1"/>
        <v>0</v>
      </c>
      <c r="AX4">
        <f t="shared" si="1"/>
        <v>0</v>
      </c>
      <c r="AY4">
        <f t="shared" si="1"/>
        <v>0</v>
      </c>
      <c r="AZ4">
        <f t="shared" si="1"/>
        <v>0</v>
      </c>
      <c r="BA4">
        <f t="shared" si="1"/>
        <v>0</v>
      </c>
      <c r="BB4">
        <f t="shared" si="1"/>
        <v>0</v>
      </c>
      <c r="BC4">
        <f t="shared" si="1"/>
        <v>0</v>
      </c>
      <c r="BD4">
        <f t="shared" si="1"/>
        <v>0</v>
      </c>
      <c r="BE4">
        <f t="shared" si="1"/>
        <v>0</v>
      </c>
      <c r="BF4">
        <f t="shared" si="1"/>
        <v>0</v>
      </c>
      <c r="BG4">
        <f t="shared" si="1"/>
        <v>0</v>
      </c>
      <c r="BH4">
        <f t="shared" si="1"/>
        <v>0</v>
      </c>
      <c r="BI4">
        <f t="shared" si="1"/>
        <v>0</v>
      </c>
      <c r="BJ4">
        <f t="shared" si="1"/>
        <v>0</v>
      </c>
      <c r="BK4">
        <f t="shared" si="1"/>
        <v>0</v>
      </c>
      <c r="BL4">
        <f t="shared" si="1"/>
        <v>0</v>
      </c>
      <c r="BM4">
        <f>SUM(L4:BL4)</f>
        <v>1898880</v>
      </c>
    </row>
    <row r="5" spans="2:66" x14ac:dyDescent="0.3">
      <c r="B5" s="2" t="s">
        <v>4</v>
      </c>
      <c r="C5" s="5">
        <v>60000</v>
      </c>
      <c r="E5">
        <v>50000</v>
      </c>
      <c r="F5">
        <v>80000</v>
      </c>
      <c r="K5" t="s">
        <v>78</v>
      </c>
      <c r="L5">
        <v>0</v>
      </c>
      <c r="M5">
        <v>0</v>
      </c>
      <c r="N5">
        <f>IF(N3-$M$3&lt;$C$16, $C$6*$C$12*N7,0)</f>
        <v>157745.20601503758</v>
      </c>
      <c r="O5">
        <f>IF(O3-$M$3&lt;$C$16, $C$6*$C$12*O7,0)</f>
        <v>296513.54514104803</v>
      </c>
      <c r="P5">
        <f t="shared" ref="P5:BL5" si="2">IF(P3-$M$3&lt;$C$16, $C$6*$C$12*P7,0)</f>
        <v>278678.14392955636</v>
      </c>
      <c r="Q5">
        <f t="shared" si="2"/>
        <v>261915.54880597405</v>
      </c>
      <c r="R5">
        <f t="shared" si="2"/>
        <v>246161.23008080266</v>
      </c>
      <c r="S5">
        <f t="shared" si="2"/>
        <v>231354.5395496265</v>
      </c>
      <c r="T5">
        <f t="shared" si="2"/>
        <v>217438.47702032563</v>
      </c>
      <c r="U5">
        <f t="shared" si="2"/>
        <v>204359.4708837647</v>
      </c>
      <c r="V5">
        <f t="shared" si="2"/>
        <v>192067.17188323749</v>
      </c>
      <c r="W5">
        <f t="shared" si="2"/>
        <v>180514.25928875702</v>
      </c>
      <c r="X5">
        <f t="shared" si="2"/>
        <v>169656.25873003475</v>
      </c>
      <c r="Y5">
        <f t="shared" si="2"/>
        <v>159451.37098687477</v>
      </c>
      <c r="Z5">
        <f t="shared" si="2"/>
        <v>149860.31107788981</v>
      </c>
      <c r="AA5">
        <f t="shared" si="2"/>
        <v>140846.15702809193</v>
      </c>
      <c r="AB5">
        <f t="shared" si="2"/>
        <v>132374.20773316908</v>
      </c>
      <c r="AC5">
        <f t="shared" si="2"/>
        <v>124411.84937327918</v>
      </c>
      <c r="AD5">
        <f t="shared" si="2"/>
        <v>116928.42986210452</v>
      </c>
      <c r="AE5">
        <f t="shared" si="2"/>
        <v>109895.14084784256</v>
      </c>
      <c r="AF5">
        <f t="shared" si="2"/>
        <v>103284.90681188209</v>
      </c>
      <c r="AG5">
        <f t="shared" si="2"/>
        <v>0</v>
      </c>
      <c r="AH5">
        <f t="shared" si="2"/>
        <v>0</v>
      </c>
      <c r="AI5">
        <f t="shared" si="2"/>
        <v>0</v>
      </c>
      <c r="AJ5">
        <f t="shared" si="2"/>
        <v>0</v>
      </c>
      <c r="AK5">
        <f t="shared" si="2"/>
        <v>0</v>
      </c>
      <c r="AL5">
        <f t="shared" si="2"/>
        <v>0</v>
      </c>
      <c r="AM5">
        <f t="shared" si="2"/>
        <v>0</v>
      </c>
      <c r="AN5">
        <f t="shared" si="2"/>
        <v>0</v>
      </c>
      <c r="AO5">
        <f t="shared" si="2"/>
        <v>0</v>
      </c>
      <c r="AP5">
        <f t="shared" si="2"/>
        <v>0</v>
      </c>
      <c r="AQ5">
        <f t="shared" si="2"/>
        <v>0</v>
      </c>
      <c r="AR5">
        <f t="shared" si="2"/>
        <v>0</v>
      </c>
      <c r="AS5">
        <f t="shared" si="2"/>
        <v>0</v>
      </c>
      <c r="AT5">
        <f t="shared" si="2"/>
        <v>0</v>
      </c>
      <c r="AU5">
        <f t="shared" si="2"/>
        <v>0</v>
      </c>
      <c r="AV5">
        <f t="shared" si="2"/>
        <v>0</v>
      </c>
      <c r="AW5">
        <f t="shared" si="2"/>
        <v>0</v>
      </c>
      <c r="AX5">
        <f t="shared" si="2"/>
        <v>0</v>
      </c>
      <c r="AY5">
        <f t="shared" si="2"/>
        <v>0</v>
      </c>
      <c r="AZ5">
        <f t="shared" si="2"/>
        <v>0</v>
      </c>
      <c r="BA5">
        <f t="shared" si="2"/>
        <v>0</v>
      </c>
      <c r="BB5">
        <f t="shared" si="2"/>
        <v>0</v>
      </c>
      <c r="BC5">
        <f t="shared" si="2"/>
        <v>0</v>
      </c>
      <c r="BD5">
        <f t="shared" si="2"/>
        <v>0</v>
      </c>
      <c r="BE5">
        <f t="shared" si="2"/>
        <v>0</v>
      </c>
      <c r="BF5">
        <f t="shared" si="2"/>
        <v>0</v>
      </c>
      <c r="BG5">
        <f t="shared" si="2"/>
        <v>0</v>
      </c>
      <c r="BH5">
        <f t="shared" si="2"/>
        <v>0</v>
      </c>
      <c r="BI5">
        <f t="shared" si="2"/>
        <v>0</v>
      </c>
      <c r="BJ5">
        <f t="shared" si="2"/>
        <v>0</v>
      </c>
      <c r="BK5">
        <f t="shared" si="2"/>
        <v>0</v>
      </c>
      <c r="BL5">
        <f t="shared" si="2"/>
        <v>0</v>
      </c>
      <c r="BM5">
        <f>SUM(L5:BL5)</f>
        <v>3473456.2250492992</v>
      </c>
    </row>
    <row r="6" spans="2:66" x14ac:dyDescent="0.3">
      <c r="B6" s="2" t="s">
        <v>2</v>
      </c>
      <c r="C6" s="5">
        <v>51.179350244770802</v>
      </c>
      <c r="E6">
        <v>60</v>
      </c>
      <c r="K6" t="s">
        <v>79</v>
      </c>
      <c r="L6">
        <v>0</v>
      </c>
      <c r="M6">
        <v>0</v>
      </c>
      <c r="N6">
        <f>IF(N3-$M$3&lt;$C$16, $C$31*$C$3*$C$7/N15,0)</f>
        <v>69172.932330827083</v>
      </c>
      <c r="O6">
        <f t="shared" ref="O6:R6" si="3">IF(O3-$M$3&lt;$C$16, $C$31*$C$3*$C$7/O15,0)</f>
        <v>65012.154446266039</v>
      </c>
      <c r="P6">
        <f t="shared" si="3"/>
        <v>61101.648915663565</v>
      </c>
      <c r="Q6">
        <f t="shared" si="3"/>
        <v>57426.361762841691</v>
      </c>
      <c r="R6">
        <f t="shared" si="3"/>
        <v>53972.144513948959</v>
      </c>
      <c r="S6">
        <f>IF(S3-$M$3&lt;$C$16, $C$31*$C$3*$C$7/S15,0)</f>
        <v>50725.699731155029</v>
      </c>
      <c r="T6">
        <f t="shared" ref="T6:AN6" si="4">IF(T3-$M$3&lt;$C$16, $C$31*$C$3*$C$7/T15,0)</f>
        <v>47674.529822514116</v>
      </c>
      <c r="U6">
        <f t="shared" si="4"/>
        <v>44806.888930934321</v>
      </c>
      <c r="V6">
        <f t="shared" si="4"/>
        <v>42111.737717043528</v>
      </c>
      <c r="W6">
        <f t="shared" si="4"/>
        <v>39578.700861883015</v>
      </c>
      <c r="X6">
        <f t="shared" si="4"/>
        <v>37198.027125829896</v>
      </c>
      <c r="Y6">
        <f t="shared" si="4"/>
        <v>34960.551809990502</v>
      </c>
      <c r="Z6">
        <f t="shared" si="4"/>
        <v>32857.661475554982</v>
      </c>
      <c r="AA6">
        <f t="shared" si="4"/>
        <v>30881.260785296028</v>
      </c>
      <c r="AB6">
        <f t="shared" si="4"/>
        <v>29023.741339563934</v>
      </c>
      <c r="AC6">
        <f t="shared" si="4"/>
        <v>27277.952386808207</v>
      </c>
      <c r="AD6">
        <f t="shared" si="4"/>
        <v>25637.173295872373</v>
      </c>
      <c r="AE6">
        <f t="shared" si="4"/>
        <v>24095.087684090573</v>
      </c>
      <c r="AF6">
        <f t="shared" si="4"/>
        <v>22645.759101588883</v>
      </c>
      <c r="AG6">
        <f t="shared" si="4"/>
        <v>0</v>
      </c>
      <c r="AH6">
        <f t="shared" si="4"/>
        <v>0</v>
      </c>
      <c r="AI6">
        <f t="shared" si="4"/>
        <v>0</v>
      </c>
      <c r="AJ6">
        <f t="shared" si="4"/>
        <v>0</v>
      </c>
      <c r="AK6">
        <f t="shared" si="4"/>
        <v>0</v>
      </c>
      <c r="AL6">
        <f t="shared" si="4"/>
        <v>0</v>
      </c>
      <c r="AM6">
        <f t="shared" si="4"/>
        <v>0</v>
      </c>
      <c r="AN6">
        <f t="shared" si="4"/>
        <v>0</v>
      </c>
      <c r="AO6">
        <f>IF(AO3-$M$3&lt;$C$16, $C$31*$C$3*$C$7/AO15,0)</f>
        <v>0</v>
      </c>
      <c r="AP6">
        <f t="shared" ref="AP6:AS6" si="5">IF(AP3-$M$3&lt;$C$16, $C$31*$C$3*$C$7/AP15,0)</f>
        <v>0</v>
      </c>
      <c r="AQ6">
        <f t="shared" si="5"/>
        <v>0</v>
      </c>
      <c r="AR6">
        <f t="shared" si="5"/>
        <v>0</v>
      </c>
      <c r="AS6">
        <f t="shared" si="5"/>
        <v>0</v>
      </c>
      <c r="AT6">
        <f>IF(AT3-$M$3&lt;$C$16, $C$31*$C$3*$C$7/AT15,0)</f>
        <v>0</v>
      </c>
      <c r="AU6">
        <f t="shared" ref="AU6:BL6" si="6">IF(AU3-$M$3&lt;$C$16, $C$31*$C$3*$C$7/AU15,0)</f>
        <v>0</v>
      </c>
      <c r="AV6">
        <f t="shared" si="6"/>
        <v>0</v>
      </c>
      <c r="AW6">
        <f t="shared" si="6"/>
        <v>0</v>
      </c>
      <c r="AX6">
        <f t="shared" si="6"/>
        <v>0</v>
      </c>
      <c r="AY6">
        <f t="shared" si="6"/>
        <v>0</v>
      </c>
      <c r="AZ6">
        <f t="shared" si="6"/>
        <v>0</v>
      </c>
      <c r="BA6">
        <f t="shared" si="6"/>
        <v>0</v>
      </c>
      <c r="BB6">
        <f t="shared" si="6"/>
        <v>0</v>
      </c>
      <c r="BC6">
        <f t="shared" si="6"/>
        <v>0</v>
      </c>
      <c r="BD6">
        <f t="shared" si="6"/>
        <v>0</v>
      </c>
      <c r="BE6">
        <f t="shared" si="6"/>
        <v>0</v>
      </c>
      <c r="BF6">
        <f t="shared" si="6"/>
        <v>0</v>
      </c>
      <c r="BG6">
        <f t="shared" si="6"/>
        <v>0</v>
      </c>
      <c r="BH6">
        <f t="shared" si="6"/>
        <v>0</v>
      </c>
      <c r="BI6">
        <f t="shared" si="6"/>
        <v>0</v>
      </c>
      <c r="BJ6">
        <f t="shared" si="6"/>
        <v>0</v>
      </c>
      <c r="BK6">
        <f t="shared" si="6"/>
        <v>0</v>
      </c>
      <c r="BL6">
        <f t="shared" si="6"/>
        <v>0</v>
      </c>
      <c r="BM6">
        <f t="shared" ref="BM6:BM11" si="7">SUM(L6:BL6)</f>
        <v>796160.0140376729</v>
      </c>
    </row>
    <row r="7" spans="2:66" ht="15.75" customHeight="1" x14ac:dyDescent="0.3">
      <c r="B7" s="2" t="s">
        <v>49</v>
      </c>
      <c r="C7" s="5">
        <v>1000</v>
      </c>
      <c r="E7" s="5">
        <v>2285</v>
      </c>
      <c r="F7">
        <v>1000</v>
      </c>
      <c r="G7" t="s">
        <v>40</v>
      </c>
      <c r="K7" t="s">
        <v>19</v>
      </c>
      <c r="L7">
        <f t="shared" ref="L7:AQ7" si="8">IF(L3-$M$3&lt;$C$16,$C$17*L13/L15,0)</f>
        <v>0</v>
      </c>
      <c r="M7">
        <f t="shared" si="8"/>
        <v>0</v>
      </c>
      <c r="N7">
        <f>IF(N3-$M$3&lt;$C$16,$C$17*N13/N15,0)</f>
        <v>53279.242105263154</v>
      </c>
      <c r="O7">
        <f t="shared" si="8"/>
        <v>100148.9513256826</v>
      </c>
      <c r="P7">
        <f t="shared" si="8"/>
        <v>94124.954253461081</v>
      </c>
      <c r="Q7">
        <f t="shared" si="8"/>
        <v>88463.30286979425</v>
      </c>
      <c r="R7">
        <f t="shared" si="8"/>
        <v>83142.201945295339</v>
      </c>
      <c r="S7">
        <f t="shared" si="8"/>
        <v>78141.167241818912</v>
      </c>
      <c r="T7">
        <f t="shared" si="8"/>
        <v>73440.946655844833</v>
      </c>
      <c r="U7">
        <f t="shared" si="8"/>
        <v>69023.446105117328</v>
      </c>
      <c r="V7">
        <f t="shared" si="8"/>
        <v>64871.659873230565</v>
      </c>
      <c r="W7">
        <f t="shared" si="8"/>
        <v>60969.605144013687</v>
      </c>
      <c r="X7">
        <f t="shared" si="8"/>
        <v>57302.260473697061</v>
      </c>
      <c r="Y7">
        <f t="shared" si="8"/>
        <v>53855.507964000994</v>
      </c>
      <c r="Z7">
        <f t="shared" si="8"/>
        <v>50616.078913534766</v>
      </c>
      <c r="AA7">
        <f t="shared" si="8"/>
        <v>47571.502738284551</v>
      </c>
      <c r="AB7">
        <f t="shared" si="8"/>
        <v>44710.058964553144</v>
      </c>
      <c r="AC7">
        <f t="shared" si="8"/>
        <v>42020.732109542419</v>
      </c>
      <c r="AD7">
        <f t="shared" si="8"/>
        <v>39493.169275885739</v>
      </c>
      <c r="AE7">
        <f t="shared" si="8"/>
        <v>37117.640296885082</v>
      </c>
      <c r="AF7">
        <f t="shared" si="8"/>
        <v>34885.000279027328</v>
      </c>
      <c r="AG7">
        <f t="shared" si="8"/>
        <v>0</v>
      </c>
      <c r="AH7">
        <f t="shared" si="8"/>
        <v>0</v>
      </c>
      <c r="AI7">
        <f t="shared" si="8"/>
        <v>0</v>
      </c>
      <c r="AJ7">
        <f t="shared" si="8"/>
        <v>0</v>
      </c>
      <c r="AK7">
        <f t="shared" si="8"/>
        <v>0</v>
      </c>
      <c r="AL7">
        <f t="shared" si="8"/>
        <v>0</v>
      </c>
      <c r="AM7">
        <f t="shared" si="8"/>
        <v>0</v>
      </c>
      <c r="AN7">
        <f t="shared" si="8"/>
        <v>0</v>
      </c>
      <c r="AO7">
        <f t="shared" si="8"/>
        <v>0</v>
      </c>
      <c r="AP7">
        <f t="shared" si="8"/>
        <v>0</v>
      </c>
      <c r="AQ7">
        <f t="shared" si="8"/>
        <v>0</v>
      </c>
      <c r="AR7">
        <f t="shared" ref="AR7:BJ7" si="9">IF(AR3-$M$3&lt;$C$16,$C$17*AR13/AR15,0)</f>
        <v>0</v>
      </c>
      <c r="AS7">
        <f t="shared" si="9"/>
        <v>0</v>
      </c>
      <c r="AT7">
        <f t="shared" si="9"/>
        <v>0</v>
      </c>
      <c r="AU7">
        <f t="shared" si="9"/>
        <v>0</v>
      </c>
      <c r="AV7">
        <f t="shared" si="9"/>
        <v>0</v>
      </c>
      <c r="AW7">
        <f t="shared" si="9"/>
        <v>0</v>
      </c>
      <c r="AX7">
        <f t="shared" si="9"/>
        <v>0</v>
      </c>
      <c r="AY7">
        <f t="shared" si="9"/>
        <v>0</v>
      </c>
      <c r="AZ7">
        <f t="shared" si="9"/>
        <v>0</v>
      </c>
      <c r="BA7">
        <f t="shared" si="9"/>
        <v>0</v>
      </c>
      <c r="BB7">
        <f t="shared" si="9"/>
        <v>0</v>
      </c>
      <c r="BC7">
        <f t="shared" si="9"/>
        <v>0</v>
      </c>
      <c r="BD7">
        <f t="shared" si="9"/>
        <v>0</v>
      </c>
      <c r="BE7">
        <f t="shared" si="9"/>
        <v>0</v>
      </c>
      <c r="BF7">
        <f t="shared" si="9"/>
        <v>0</v>
      </c>
      <c r="BG7">
        <f t="shared" si="9"/>
        <v>0</v>
      </c>
      <c r="BH7">
        <f t="shared" si="9"/>
        <v>0</v>
      </c>
      <c r="BI7">
        <f t="shared" si="9"/>
        <v>0</v>
      </c>
      <c r="BJ7">
        <f t="shared" si="9"/>
        <v>0</v>
      </c>
      <c r="BK7">
        <f>IF(BK3-$M$3&lt;$C$16,$C$17/BK15,0)</f>
        <v>0</v>
      </c>
      <c r="BL7">
        <f>IF(BL3-$M$3&lt;$C$16,$C$17/BL15,0)</f>
        <v>0</v>
      </c>
      <c r="BM7">
        <f>SUM(L7:BL7)</f>
        <v>1173177.4285349327</v>
      </c>
      <c r="BN7">
        <f>BM7*C23</f>
        <v>7228788.8004363254</v>
      </c>
    </row>
    <row r="8" spans="2:66" ht="15" thickBot="1" x14ac:dyDescent="0.35">
      <c r="B8" s="3" t="s">
        <v>9</v>
      </c>
      <c r="C8" s="6">
        <v>15.7</v>
      </c>
      <c r="K8" t="s">
        <v>56</v>
      </c>
      <c r="L8">
        <f t="shared" ref="L8:AQ8" si="10">IF(L3-$M$3=_xlfn.FLOOR.MATH($C$16), $C$29*$C$3*$C$7/L15,0)</f>
        <v>0</v>
      </c>
      <c r="M8">
        <f t="shared" si="10"/>
        <v>0</v>
      </c>
      <c r="N8">
        <f t="shared" si="10"/>
        <v>0</v>
      </c>
      <c r="O8">
        <f t="shared" si="10"/>
        <v>0</v>
      </c>
      <c r="P8">
        <f t="shared" si="10"/>
        <v>0</v>
      </c>
      <c r="Q8">
        <f t="shared" si="10"/>
        <v>0</v>
      </c>
      <c r="R8">
        <f t="shared" si="10"/>
        <v>0</v>
      </c>
      <c r="S8">
        <f t="shared" si="10"/>
        <v>0</v>
      </c>
      <c r="T8">
        <f t="shared" si="10"/>
        <v>0</v>
      </c>
      <c r="U8">
        <f t="shared" si="10"/>
        <v>0</v>
      </c>
      <c r="V8">
        <f t="shared" si="10"/>
        <v>0</v>
      </c>
      <c r="W8">
        <f t="shared" si="10"/>
        <v>0</v>
      </c>
      <c r="X8">
        <f t="shared" si="10"/>
        <v>0</v>
      </c>
      <c r="Y8">
        <f t="shared" si="10"/>
        <v>0</v>
      </c>
      <c r="Z8">
        <f t="shared" si="10"/>
        <v>0</v>
      </c>
      <c r="AA8">
        <f t="shared" si="10"/>
        <v>0</v>
      </c>
      <c r="AB8">
        <f t="shared" si="10"/>
        <v>0</v>
      </c>
      <c r="AC8">
        <f t="shared" si="10"/>
        <v>0</v>
      </c>
      <c r="AD8">
        <f t="shared" si="10"/>
        <v>0</v>
      </c>
      <c r="AE8">
        <f t="shared" si="10"/>
        <v>0</v>
      </c>
      <c r="AF8">
        <f t="shared" si="10"/>
        <v>56614.397753972196</v>
      </c>
      <c r="AG8">
        <f t="shared" si="10"/>
        <v>0</v>
      </c>
      <c r="AH8">
        <f t="shared" si="10"/>
        <v>0</v>
      </c>
      <c r="AI8">
        <f t="shared" si="10"/>
        <v>0</v>
      </c>
      <c r="AJ8">
        <f t="shared" si="10"/>
        <v>0</v>
      </c>
      <c r="AK8">
        <f t="shared" si="10"/>
        <v>0</v>
      </c>
      <c r="AL8">
        <f t="shared" si="10"/>
        <v>0</v>
      </c>
      <c r="AM8">
        <f t="shared" si="10"/>
        <v>0</v>
      </c>
      <c r="AN8">
        <f t="shared" si="10"/>
        <v>0</v>
      </c>
      <c r="AO8">
        <f t="shared" si="10"/>
        <v>0</v>
      </c>
      <c r="AP8">
        <f t="shared" si="10"/>
        <v>0</v>
      </c>
      <c r="AQ8">
        <f t="shared" si="10"/>
        <v>0</v>
      </c>
      <c r="AR8">
        <f t="shared" ref="AR8:BL8" si="11">IF(AR3-$M$3=_xlfn.FLOOR.MATH($C$16), $C$29*$C$3*$C$7/AR15,0)</f>
        <v>0</v>
      </c>
      <c r="AS8">
        <f t="shared" si="11"/>
        <v>0</v>
      </c>
      <c r="AT8">
        <f t="shared" si="11"/>
        <v>0</v>
      </c>
      <c r="AU8">
        <f t="shared" si="11"/>
        <v>0</v>
      </c>
      <c r="AV8">
        <f t="shared" si="11"/>
        <v>0</v>
      </c>
      <c r="AW8">
        <f t="shared" si="11"/>
        <v>0</v>
      </c>
      <c r="AX8">
        <f t="shared" si="11"/>
        <v>0</v>
      </c>
      <c r="AY8">
        <f t="shared" si="11"/>
        <v>0</v>
      </c>
      <c r="AZ8">
        <f t="shared" si="11"/>
        <v>0</v>
      </c>
      <c r="BA8">
        <f t="shared" si="11"/>
        <v>0</v>
      </c>
      <c r="BB8">
        <f t="shared" si="11"/>
        <v>0</v>
      </c>
      <c r="BC8">
        <f t="shared" si="11"/>
        <v>0</v>
      </c>
      <c r="BD8">
        <f t="shared" si="11"/>
        <v>0</v>
      </c>
      <c r="BE8">
        <f t="shared" si="11"/>
        <v>0</v>
      </c>
      <c r="BF8">
        <f t="shared" si="11"/>
        <v>0</v>
      </c>
      <c r="BG8">
        <f t="shared" si="11"/>
        <v>0</v>
      </c>
      <c r="BH8">
        <f t="shared" si="11"/>
        <v>0</v>
      </c>
      <c r="BI8">
        <f t="shared" si="11"/>
        <v>0</v>
      </c>
      <c r="BJ8">
        <f t="shared" si="11"/>
        <v>0</v>
      </c>
      <c r="BK8">
        <f t="shared" si="11"/>
        <v>0</v>
      </c>
      <c r="BL8">
        <f t="shared" si="11"/>
        <v>0</v>
      </c>
      <c r="BM8">
        <f t="shared" si="7"/>
        <v>56614.397753972196</v>
      </c>
    </row>
    <row r="9" spans="2:66" ht="15" thickBot="1" x14ac:dyDescent="0.35">
      <c r="K9" t="s">
        <v>57</v>
      </c>
      <c r="L9">
        <v>0</v>
      </c>
      <c r="M9">
        <v>0</v>
      </c>
      <c r="N9">
        <f t="shared" ref="N9:AS9" si="12">IF(AND(N3-$M$3&lt;$C$16,OR(N3-$M$3=7,N3-$M$3=14,N3-$M$3=21,N3-$M$3=28,N3-$M$3=35,N3-$M$3=42,N3-$M$3=49)),$C$30*$C$3*$C$7/N15,0)</f>
        <v>0</v>
      </c>
      <c r="O9">
        <f t="shared" si="12"/>
        <v>0</v>
      </c>
      <c r="P9">
        <f t="shared" si="12"/>
        <v>0</v>
      </c>
      <c r="Q9">
        <f t="shared" si="12"/>
        <v>0</v>
      </c>
      <c r="R9">
        <f t="shared" si="12"/>
        <v>0</v>
      </c>
      <c r="S9">
        <f t="shared" si="12"/>
        <v>0</v>
      </c>
      <c r="T9">
        <f t="shared" si="12"/>
        <v>178779.48683442789</v>
      </c>
      <c r="U9">
        <f t="shared" si="12"/>
        <v>0</v>
      </c>
      <c r="V9">
        <f t="shared" si="12"/>
        <v>0</v>
      </c>
      <c r="W9">
        <f t="shared" si="12"/>
        <v>0</v>
      </c>
      <c r="X9">
        <f t="shared" si="12"/>
        <v>0</v>
      </c>
      <c r="Y9">
        <f t="shared" si="12"/>
        <v>0</v>
      </c>
      <c r="Z9">
        <f t="shared" si="12"/>
        <v>0</v>
      </c>
      <c r="AA9">
        <f t="shared" si="12"/>
        <v>115804.72794486009</v>
      </c>
      <c r="AB9">
        <f t="shared" si="12"/>
        <v>0</v>
      </c>
      <c r="AC9">
        <f t="shared" si="12"/>
        <v>0</v>
      </c>
      <c r="AD9">
        <f t="shared" si="12"/>
        <v>0</v>
      </c>
      <c r="AE9">
        <f t="shared" si="12"/>
        <v>0</v>
      </c>
      <c r="AF9">
        <f t="shared" si="12"/>
        <v>0</v>
      </c>
      <c r="AG9">
        <f t="shared" si="12"/>
        <v>0</v>
      </c>
      <c r="AH9">
        <f t="shared" si="12"/>
        <v>0</v>
      </c>
      <c r="AI9">
        <f t="shared" si="12"/>
        <v>0</v>
      </c>
      <c r="AJ9">
        <f t="shared" si="12"/>
        <v>0</v>
      </c>
      <c r="AK9">
        <f t="shared" si="12"/>
        <v>0</v>
      </c>
      <c r="AL9">
        <f t="shared" si="12"/>
        <v>0</v>
      </c>
      <c r="AM9">
        <f t="shared" si="12"/>
        <v>0</v>
      </c>
      <c r="AN9">
        <f t="shared" si="12"/>
        <v>0</v>
      </c>
      <c r="AO9">
        <f t="shared" si="12"/>
        <v>0</v>
      </c>
      <c r="AP9">
        <f t="shared" si="12"/>
        <v>0</v>
      </c>
      <c r="AQ9">
        <f t="shared" si="12"/>
        <v>0</v>
      </c>
      <c r="AR9">
        <f t="shared" si="12"/>
        <v>0</v>
      </c>
      <c r="AS9">
        <f t="shared" si="12"/>
        <v>0</v>
      </c>
      <c r="AT9">
        <f t="shared" ref="AT9:BL9" si="13">IF(AND(AT3-$M$3&lt;$C$16,OR(AT3-$M$3=7,AT3-$M$3=14,AT3-$M$3=21,AT3-$M$3=28,AT3-$M$3=35,AT3-$M$3=42,AT3-$M$3=49)),$C$30*$C$3*$C$7/AT15,0)</f>
        <v>0</v>
      </c>
      <c r="AU9">
        <f t="shared" si="13"/>
        <v>0</v>
      </c>
      <c r="AV9">
        <f t="shared" si="13"/>
        <v>0</v>
      </c>
      <c r="AW9">
        <f t="shared" si="13"/>
        <v>0</v>
      </c>
      <c r="AX9">
        <f t="shared" si="13"/>
        <v>0</v>
      </c>
      <c r="AY9">
        <f t="shared" si="13"/>
        <v>0</v>
      </c>
      <c r="AZ9">
        <f t="shared" si="13"/>
        <v>0</v>
      </c>
      <c r="BA9">
        <f t="shared" si="13"/>
        <v>0</v>
      </c>
      <c r="BB9">
        <f t="shared" si="13"/>
        <v>0</v>
      </c>
      <c r="BC9">
        <f t="shared" si="13"/>
        <v>0</v>
      </c>
      <c r="BD9">
        <f t="shared" si="13"/>
        <v>0</v>
      </c>
      <c r="BE9">
        <f t="shared" si="13"/>
        <v>0</v>
      </c>
      <c r="BF9">
        <f t="shared" si="13"/>
        <v>0</v>
      </c>
      <c r="BG9">
        <f t="shared" si="13"/>
        <v>0</v>
      </c>
      <c r="BH9">
        <f t="shared" si="13"/>
        <v>0</v>
      </c>
      <c r="BI9">
        <f t="shared" si="13"/>
        <v>0</v>
      </c>
      <c r="BJ9">
        <f t="shared" si="13"/>
        <v>0</v>
      </c>
      <c r="BK9">
        <f t="shared" si="13"/>
        <v>0</v>
      </c>
      <c r="BL9">
        <f t="shared" si="13"/>
        <v>0</v>
      </c>
      <c r="BM9">
        <f t="shared" si="7"/>
        <v>294584.21477928798</v>
      </c>
    </row>
    <row r="10" spans="2:66" ht="21.6" thickBot="1" x14ac:dyDescent="0.45">
      <c r="B10" s="16" t="s">
        <v>38</v>
      </c>
      <c r="C10" s="17" t="s">
        <v>26</v>
      </c>
      <c r="K10" t="s">
        <v>95</v>
      </c>
      <c r="L10">
        <v>0</v>
      </c>
      <c r="M10">
        <v>0</v>
      </c>
      <c r="N10">
        <v>0</v>
      </c>
      <c r="O10">
        <f t="shared" ref="O10:S10" si="14">IF(AND(O3-$M$3&lt;$C$16,OR(O3-$M$3=7,O3-$M$3=14,O3-$M$3=21,O3-$M$3=28,O3-$M$3=35,O3-$M$3=42,O3-$M$3=49)),$C$28*$C$30*$C$3*$C$7/O15,0)</f>
        <v>0</v>
      </c>
      <c r="P10">
        <f t="shared" si="14"/>
        <v>0</v>
      </c>
      <c r="Q10">
        <f t="shared" si="14"/>
        <v>0</v>
      </c>
      <c r="R10">
        <f t="shared" si="14"/>
        <v>0</v>
      </c>
      <c r="S10">
        <f t="shared" si="14"/>
        <v>0</v>
      </c>
      <c r="T10">
        <f>IF(AND(T3-$M$3&lt;$C$16,OR(T3-$M$3=7,T3-$M$3=14,T3-$M$3=21,T3-$M$3=28,T3-$M$3=35,T3-$M$3=42,T3-$M$3=49)),-$C$28*$C$30*$C$3*$C$7/T15,0)</f>
        <v>-17877.948683442788</v>
      </c>
      <c r="U10">
        <f t="shared" ref="U10:BL10" si="15">IF(AND(U3-$M$3&lt;$C$16,OR(U3-$M$3=7,U3-$M$3=14,U3-$M$3=21,U3-$M$3=28,U3-$M$3=35,U3-$M$3=42,U3-$M$3=49)),-$C$28*$C$30*$C$3*$C$7/U15,0)</f>
        <v>0</v>
      </c>
      <c r="V10">
        <f t="shared" si="15"/>
        <v>0</v>
      </c>
      <c r="W10">
        <f t="shared" si="15"/>
        <v>0</v>
      </c>
      <c r="X10">
        <f t="shared" si="15"/>
        <v>0</v>
      </c>
      <c r="Y10">
        <f t="shared" si="15"/>
        <v>0</v>
      </c>
      <c r="Z10">
        <f t="shared" si="15"/>
        <v>0</v>
      </c>
      <c r="AA10">
        <f t="shared" si="15"/>
        <v>-11580.472794486008</v>
      </c>
      <c r="AB10">
        <f t="shared" si="15"/>
        <v>0</v>
      </c>
      <c r="AC10">
        <f t="shared" si="15"/>
        <v>0</v>
      </c>
      <c r="AD10">
        <f t="shared" si="15"/>
        <v>0</v>
      </c>
      <c r="AE10">
        <f t="shared" si="15"/>
        <v>0</v>
      </c>
      <c r="AF10">
        <f t="shared" si="15"/>
        <v>0</v>
      </c>
      <c r="AG10">
        <f t="shared" si="15"/>
        <v>0</v>
      </c>
      <c r="AH10">
        <f t="shared" si="15"/>
        <v>0</v>
      </c>
      <c r="AI10">
        <f t="shared" si="15"/>
        <v>0</v>
      </c>
      <c r="AJ10">
        <f t="shared" si="15"/>
        <v>0</v>
      </c>
      <c r="AK10">
        <f t="shared" si="15"/>
        <v>0</v>
      </c>
      <c r="AL10">
        <f t="shared" si="15"/>
        <v>0</v>
      </c>
      <c r="AM10">
        <f t="shared" si="15"/>
        <v>0</v>
      </c>
      <c r="AN10">
        <f t="shared" si="15"/>
        <v>0</v>
      </c>
      <c r="AO10">
        <f t="shared" si="15"/>
        <v>0</v>
      </c>
      <c r="AP10">
        <f t="shared" si="15"/>
        <v>0</v>
      </c>
      <c r="AQ10">
        <f t="shared" si="15"/>
        <v>0</v>
      </c>
      <c r="AR10">
        <f t="shared" si="15"/>
        <v>0</v>
      </c>
      <c r="AS10">
        <f t="shared" si="15"/>
        <v>0</v>
      </c>
      <c r="AT10">
        <f t="shared" si="15"/>
        <v>0</v>
      </c>
      <c r="AU10">
        <f t="shared" si="15"/>
        <v>0</v>
      </c>
      <c r="AV10">
        <f t="shared" si="15"/>
        <v>0</v>
      </c>
      <c r="AW10">
        <f t="shared" si="15"/>
        <v>0</v>
      </c>
      <c r="AX10">
        <f t="shared" si="15"/>
        <v>0</v>
      </c>
      <c r="AY10">
        <f t="shared" si="15"/>
        <v>0</v>
      </c>
      <c r="AZ10">
        <f t="shared" si="15"/>
        <v>0</v>
      </c>
      <c r="BA10">
        <f t="shared" si="15"/>
        <v>0</v>
      </c>
      <c r="BB10">
        <f t="shared" si="15"/>
        <v>0</v>
      </c>
      <c r="BC10">
        <f t="shared" si="15"/>
        <v>0</v>
      </c>
      <c r="BD10">
        <f t="shared" si="15"/>
        <v>0</v>
      </c>
      <c r="BE10">
        <f t="shared" si="15"/>
        <v>0</v>
      </c>
      <c r="BF10">
        <f t="shared" si="15"/>
        <v>0</v>
      </c>
      <c r="BG10">
        <f t="shared" si="15"/>
        <v>0</v>
      </c>
      <c r="BH10">
        <f t="shared" si="15"/>
        <v>0</v>
      </c>
      <c r="BI10">
        <f t="shared" si="15"/>
        <v>0</v>
      </c>
      <c r="BJ10">
        <f t="shared" si="15"/>
        <v>0</v>
      </c>
      <c r="BK10">
        <f t="shared" si="15"/>
        <v>0</v>
      </c>
      <c r="BL10">
        <f t="shared" si="15"/>
        <v>0</v>
      </c>
      <c r="BM10">
        <f t="shared" si="7"/>
        <v>-29458.421477928794</v>
      </c>
    </row>
    <row r="11" spans="2:66" x14ac:dyDescent="0.3">
      <c r="B11" s="4" t="s">
        <v>16</v>
      </c>
      <c r="C11" s="10">
        <f>Q22</f>
        <v>36</v>
      </c>
      <c r="G11">
        <f>400*0.89</f>
        <v>356</v>
      </c>
      <c r="K11" t="s">
        <v>96</v>
      </c>
      <c r="L11">
        <v>0</v>
      </c>
      <c r="M11">
        <v>0</v>
      </c>
      <c r="N11">
        <f t="shared" ref="N11:AS11" si="16">IF(N3-$M$3=_xlfn.FLOOR.MATH($C$16),- $C$28*$C$3*$C$7/N15,0)</f>
        <v>0</v>
      </c>
      <c r="O11">
        <f t="shared" si="16"/>
        <v>0</v>
      </c>
      <c r="P11">
        <f t="shared" si="16"/>
        <v>0</v>
      </c>
      <c r="Q11">
        <f t="shared" si="16"/>
        <v>0</v>
      </c>
      <c r="R11">
        <f t="shared" si="16"/>
        <v>0</v>
      </c>
      <c r="S11">
        <f t="shared" si="16"/>
        <v>0</v>
      </c>
      <c r="T11">
        <f t="shared" si="16"/>
        <v>0</v>
      </c>
      <c r="U11">
        <f t="shared" si="16"/>
        <v>0</v>
      </c>
      <c r="V11">
        <f t="shared" si="16"/>
        <v>0</v>
      </c>
      <c r="W11">
        <f t="shared" si="16"/>
        <v>0</v>
      </c>
      <c r="X11">
        <f t="shared" si="16"/>
        <v>0</v>
      </c>
      <c r="Y11">
        <f t="shared" si="16"/>
        <v>0</v>
      </c>
      <c r="Z11">
        <f t="shared" si="16"/>
        <v>0</v>
      </c>
      <c r="AA11">
        <f t="shared" si="16"/>
        <v>0</v>
      </c>
      <c r="AB11">
        <f t="shared" si="16"/>
        <v>0</v>
      </c>
      <c r="AC11">
        <f t="shared" si="16"/>
        <v>0</v>
      </c>
      <c r="AD11">
        <f t="shared" si="16"/>
        <v>0</v>
      </c>
      <c r="AE11">
        <f t="shared" si="16"/>
        <v>0</v>
      </c>
      <c r="AF11">
        <f t="shared" si="16"/>
        <v>-56614.397753972196</v>
      </c>
      <c r="AG11">
        <f t="shared" si="16"/>
        <v>0</v>
      </c>
      <c r="AH11">
        <f t="shared" si="16"/>
        <v>0</v>
      </c>
      <c r="AI11">
        <f t="shared" si="16"/>
        <v>0</v>
      </c>
      <c r="AJ11">
        <f t="shared" si="16"/>
        <v>0</v>
      </c>
      <c r="AK11">
        <f t="shared" si="16"/>
        <v>0</v>
      </c>
      <c r="AL11">
        <f t="shared" si="16"/>
        <v>0</v>
      </c>
      <c r="AM11">
        <f t="shared" si="16"/>
        <v>0</v>
      </c>
      <c r="AN11">
        <f t="shared" si="16"/>
        <v>0</v>
      </c>
      <c r="AO11">
        <f t="shared" si="16"/>
        <v>0</v>
      </c>
      <c r="AP11">
        <f t="shared" si="16"/>
        <v>0</v>
      </c>
      <c r="AQ11">
        <f t="shared" si="16"/>
        <v>0</v>
      </c>
      <c r="AR11">
        <f t="shared" si="16"/>
        <v>0</v>
      </c>
      <c r="AS11">
        <f t="shared" si="16"/>
        <v>0</v>
      </c>
      <c r="AT11">
        <f t="shared" ref="AT11:BL11" si="17">IF(AT3-$M$3=_xlfn.FLOOR.MATH($C$16),- $C$28*$C$3*$C$7/AT15,0)</f>
        <v>0</v>
      </c>
      <c r="AU11">
        <f t="shared" si="17"/>
        <v>0</v>
      </c>
      <c r="AV11">
        <f t="shared" si="17"/>
        <v>0</v>
      </c>
      <c r="AW11">
        <f t="shared" si="17"/>
        <v>0</v>
      </c>
      <c r="AX11">
        <f t="shared" si="17"/>
        <v>0</v>
      </c>
      <c r="AY11">
        <f t="shared" si="17"/>
        <v>0</v>
      </c>
      <c r="AZ11">
        <f t="shared" si="17"/>
        <v>0</v>
      </c>
      <c r="BA11">
        <f t="shared" si="17"/>
        <v>0</v>
      </c>
      <c r="BB11">
        <f t="shared" si="17"/>
        <v>0</v>
      </c>
      <c r="BC11">
        <f t="shared" si="17"/>
        <v>0</v>
      </c>
      <c r="BD11">
        <f t="shared" si="17"/>
        <v>0</v>
      </c>
      <c r="BE11">
        <f t="shared" si="17"/>
        <v>0</v>
      </c>
      <c r="BF11">
        <f t="shared" si="17"/>
        <v>0</v>
      </c>
      <c r="BG11">
        <f t="shared" si="17"/>
        <v>0</v>
      </c>
      <c r="BH11">
        <f t="shared" si="17"/>
        <v>0</v>
      </c>
      <c r="BI11">
        <f t="shared" si="17"/>
        <v>0</v>
      </c>
      <c r="BJ11">
        <f t="shared" si="17"/>
        <v>0</v>
      </c>
      <c r="BK11">
        <f t="shared" si="17"/>
        <v>0</v>
      </c>
      <c r="BL11">
        <f t="shared" si="17"/>
        <v>0</v>
      </c>
      <c r="BM11">
        <f t="shared" si="7"/>
        <v>-56614.397753972196</v>
      </c>
    </row>
    <row r="12" spans="2:66" ht="15" thickBot="1" x14ac:dyDescent="0.35">
      <c r="B12" s="6" t="s">
        <v>8</v>
      </c>
      <c r="C12" s="11">
        <f>Q23</f>
        <v>5.7850000000000006E-2</v>
      </c>
      <c r="G12">
        <v>890</v>
      </c>
      <c r="BM12">
        <f>SUM(BM4:BM6,BM8:BM11,-BN7)</f>
        <v>-795166.768047994</v>
      </c>
    </row>
    <row r="13" spans="2:66" x14ac:dyDescent="0.3">
      <c r="K13" t="s">
        <v>55</v>
      </c>
      <c r="L13">
        <v>0</v>
      </c>
      <c r="M13">
        <v>0</v>
      </c>
      <c r="N13">
        <v>0.5</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row>
    <row r="14" spans="2:66" ht="15" thickBot="1" x14ac:dyDescent="0.35">
      <c r="K14" t="s">
        <v>51</v>
      </c>
      <c r="L14">
        <v>0.5</v>
      </c>
      <c r="M14">
        <v>0.5</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row>
    <row r="15" spans="2:66" ht="15" thickBot="1" x14ac:dyDescent="0.35">
      <c r="B15" s="44" t="s">
        <v>15</v>
      </c>
      <c r="C15" s="45"/>
      <c r="K15" t="s">
        <v>54</v>
      </c>
      <c r="L15">
        <f t="shared" ref="L15:AQ15" si="18">(1+$C$19)^L3</f>
        <v>0.93984962406015038</v>
      </c>
      <c r="M15">
        <f t="shared" si="18"/>
        <v>1</v>
      </c>
      <c r="N15">
        <f t="shared" si="18"/>
        <v>1.0640000000000001</v>
      </c>
      <c r="O15">
        <f t="shared" si="18"/>
        <v>1.1320960000000002</v>
      </c>
      <c r="P15">
        <f t="shared" si="18"/>
        <v>1.2045501440000004</v>
      </c>
      <c r="Q15">
        <f t="shared" si="18"/>
        <v>1.2816413532160005</v>
      </c>
      <c r="R15">
        <f t="shared" si="18"/>
        <v>1.3636663998218246</v>
      </c>
      <c r="S15">
        <f t="shared" si="18"/>
        <v>1.4509410494104216</v>
      </c>
      <c r="T15">
        <f t="shared" si="18"/>
        <v>1.5438012765726887</v>
      </c>
      <c r="U15">
        <f t="shared" si="18"/>
        <v>1.6426045582733408</v>
      </c>
      <c r="V15">
        <f t="shared" si="18"/>
        <v>1.7477312500028348</v>
      </c>
      <c r="W15">
        <f t="shared" si="18"/>
        <v>1.8595860500030164</v>
      </c>
      <c r="X15">
        <f t="shared" si="18"/>
        <v>1.9785995572032098</v>
      </c>
      <c r="Y15">
        <f t="shared" si="18"/>
        <v>2.1052299288642153</v>
      </c>
      <c r="Z15">
        <f t="shared" si="18"/>
        <v>2.2399646443115251</v>
      </c>
      <c r="AA15">
        <f t="shared" si="18"/>
        <v>2.3833223815474631</v>
      </c>
      <c r="AB15">
        <f t="shared" si="18"/>
        <v>2.535855013966501</v>
      </c>
      <c r="AC15">
        <f t="shared" si="18"/>
        <v>2.6981497348603574</v>
      </c>
      <c r="AD15">
        <f t="shared" si="18"/>
        <v>2.8708313178914202</v>
      </c>
      <c r="AE15">
        <f t="shared" si="18"/>
        <v>3.0545645222364719</v>
      </c>
      <c r="AF15">
        <f t="shared" si="18"/>
        <v>3.2500566516596061</v>
      </c>
      <c r="AG15">
        <f t="shared" si="18"/>
        <v>3.4580602773658211</v>
      </c>
      <c r="AH15">
        <f t="shared" si="18"/>
        <v>3.6793761351172343</v>
      </c>
      <c r="AI15">
        <f t="shared" si="18"/>
        <v>3.9148562077647377</v>
      </c>
      <c r="AJ15">
        <f t="shared" si="18"/>
        <v>4.1654070050616809</v>
      </c>
      <c r="AK15">
        <f t="shared" si="18"/>
        <v>4.4319930533856287</v>
      </c>
      <c r="AL15">
        <f t="shared" si="18"/>
        <v>4.7156406088023095</v>
      </c>
      <c r="AM15">
        <f t="shared" si="18"/>
        <v>5.0174416077656581</v>
      </c>
      <c r="AN15">
        <f t="shared" si="18"/>
        <v>5.3385578706626609</v>
      </c>
      <c r="AO15">
        <f t="shared" si="18"/>
        <v>5.680225574385072</v>
      </c>
      <c r="AP15">
        <f t="shared" si="18"/>
        <v>6.0437600111457161</v>
      </c>
      <c r="AQ15">
        <f t="shared" si="18"/>
        <v>6.430560651859043</v>
      </c>
      <c r="AR15">
        <f t="shared" ref="AR15:BL15" si="19">(1+$C$19)^AR3</f>
        <v>6.8421165335780225</v>
      </c>
      <c r="AS15">
        <f t="shared" si="19"/>
        <v>7.280011991727017</v>
      </c>
      <c r="AT15">
        <f t="shared" si="19"/>
        <v>7.7459327591975464</v>
      </c>
      <c r="AU15">
        <f t="shared" si="19"/>
        <v>8.2416724557861905</v>
      </c>
      <c r="AV15">
        <f t="shared" si="19"/>
        <v>8.7691394929565085</v>
      </c>
      <c r="AW15">
        <f t="shared" si="19"/>
        <v>9.3303644205057257</v>
      </c>
      <c r="AX15">
        <f t="shared" si="19"/>
        <v>9.9275077434180918</v>
      </c>
      <c r="AY15">
        <f t="shared" si="19"/>
        <v>10.562868238996851</v>
      </c>
      <c r="AZ15">
        <f t="shared" si="19"/>
        <v>11.238891806292651</v>
      </c>
      <c r="BA15">
        <f t="shared" si="19"/>
        <v>11.95818088189538</v>
      </c>
      <c r="BB15">
        <f t="shared" si="19"/>
        <v>12.723504458336686</v>
      </c>
      <c r="BC15">
        <f t="shared" si="19"/>
        <v>13.537808743670235</v>
      </c>
      <c r="BD15">
        <f t="shared" si="19"/>
        <v>14.404228503265132</v>
      </c>
      <c r="BE15">
        <f t="shared" si="19"/>
        <v>15.326099127474103</v>
      </c>
      <c r="BF15">
        <f t="shared" si="19"/>
        <v>16.306969471632446</v>
      </c>
      <c r="BG15">
        <f t="shared" si="19"/>
        <v>17.350615517816923</v>
      </c>
      <c r="BH15">
        <f t="shared" si="19"/>
        <v>18.461054910957209</v>
      </c>
      <c r="BI15">
        <f t="shared" si="19"/>
        <v>19.642562425258472</v>
      </c>
      <c r="BJ15">
        <f t="shared" si="19"/>
        <v>20.899686420475014</v>
      </c>
      <c r="BK15">
        <f t="shared" si="19"/>
        <v>22.237266351385422</v>
      </c>
      <c r="BL15">
        <f t="shared" si="19"/>
        <v>23.660451397874088</v>
      </c>
    </row>
    <row r="16" spans="2:66" x14ac:dyDescent="0.3">
      <c r="B16" s="4" t="s">
        <v>3</v>
      </c>
      <c r="C16" s="13">
        <f>C5/(8760*C11/100)</f>
        <v>19.025875190258752</v>
      </c>
      <c r="D16" t="s">
        <v>20</v>
      </c>
    </row>
    <row r="17" spans="2:21" x14ac:dyDescent="0.3">
      <c r="B17" s="5" t="s">
        <v>21</v>
      </c>
      <c r="C17" s="5">
        <f>C4*C5/C16</f>
        <v>113378.22719999999</v>
      </c>
    </row>
    <row r="18" spans="2:21" x14ac:dyDescent="0.3">
      <c r="B18" s="5" t="s">
        <v>6</v>
      </c>
      <c r="C18" s="5">
        <v>6.4000000000000001E-2</v>
      </c>
      <c r="D18" t="s">
        <v>18</v>
      </c>
      <c r="I18">
        <f>3.5*0.89</f>
        <v>3.1150000000000002</v>
      </c>
      <c r="L18" t="s">
        <v>31</v>
      </c>
      <c r="M18" s="43" t="s">
        <v>39</v>
      </c>
      <c r="N18" t="s">
        <v>8</v>
      </c>
      <c r="P18" s="14"/>
      <c r="S18" t="s">
        <v>101</v>
      </c>
      <c r="T18" t="s">
        <v>100</v>
      </c>
      <c r="U18" t="s">
        <v>99</v>
      </c>
    </row>
    <row r="19" spans="2:21" x14ac:dyDescent="0.3">
      <c r="B19" s="5" t="s">
        <v>25</v>
      </c>
      <c r="C19" s="5">
        <v>6.4000000000000001E-2</v>
      </c>
      <c r="G19">
        <v>6.4000000000000001E-2</v>
      </c>
      <c r="I19">
        <f>10.8*0.89</f>
        <v>9.6120000000000001</v>
      </c>
      <c r="K19" t="s">
        <v>29</v>
      </c>
      <c r="L19">
        <v>16.100000000000001</v>
      </c>
      <c r="M19">
        <v>0.16300000000000001</v>
      </c>
      <c r="N19">
        <f t="shared" ref="N19:N26" si="20">M19*$M$29</f>
        <v>0.14507</v>
      </c>
      <c r="R19" t="s">
        <v>29</v>
      </c>
      <c r="S19">
        <v>5.7000000000000002E-2</v>
      </c>
      <c r="T19">
        <v>3.9E-2</v>
      </c>
      <c r="U19">
        <v>0.16300000000000001</v>
      </c>
    </row>
    <row r="20" spans="2:21" ht="15" thickBot="1" x14ac:dyDescent="0.35">
      <c r="B20" s="6" t="s">
        <v>7</v>
      </c>
      <c r="C20" s="6">
        <f>(C18*(1+C18)^C16)/(((1+C18)^C16)-1)</f>
        <v>9.2377879286797582E-2</v>
      </c>
      <c r="D20" t="s">
        <v>17</v>
      </c>
      <c r="K20" t="s">
        <v>34</v>
      </c>
      <c r="L20">
        <v>45</v>
      </c>
      <c r="M20">
        <v>0.185</v>
      </c>
      <c r="N20">
        <f t="shared" si="20"/>
        <v>0.16464999999999999</v>
      </c>
      <c r="R20" t="s">
        <v>34</v>
      </c>
      <c r="S20">
        <v>0.185</v>
      </c>
      <c r="T20">
        <v>0.185</v>
      </c>
      <c r="U20">
        <v>0.185</v>
      </c>
    </row>
    <row r="21" spans="2:21" x14ac:dyDescent="0.3">
      <c r="K21" t="s">
        <v>26</v>
      </c>
      <c r="L21">
        <v>36</v>
      </c>
      <c r="M21">
        <v>6.5000000000000002E-2</v>
      </c>
      <c r="N21">
        <f t="shared" si="20"/>
        <v>5.7850000000000006E-2</v>
      </c>
      <c r="Q21" t="s">
        <v>37</v>
      </c>
      <c r="R21" t="s">
        <v>26</v>
      </c>
      <c r="S21">
        <v>4.4999999999999998E-2</v>
      </c>
      <c r="T21">
        <v>3.5000000000000003E-2</v>
      </c>
      <c r="U21">
        <v>6.5000000000000002E-2</v>
      </c>
    </row>
    <row r="22" spans="2:21" ht="16.5" customHeight="1" thickBot="1" x14ac:dyDescent="0.35">
      <c r="D22" t="s">
        <v>90</v>
      </c>
      <c r="E22" t="s">
        <v>93</v>
      </c>
      <c r="F22" t="s">
        <v>94</v>
      </c>
      <c r="K22" t="s">
        <v>27</v>
      </c>
      <c r="L22">
        <v>43</v>
      </c>
      <c r="M22">
        <v>0.127</v>
      </c>
      <c r="N22">
        <f t="shared" si="20"/>
        <v>0.11303000000000001</v>
      </c>
      <c r="P22" t="s">
        <v>31</v>
      </c>
      <c r="Q22">
        <f>IF(C10=K19,L19,IF(C10=K20,L20,IF(C10=K21,L21,IF(C10=K22,L22,IF(C10=K23,L23,IF(C10=K24,L24,IF(C10=K25,L25,IF(C10=K26,L26,0))))))))</f>
        <v>36</v>
      </c>
      <c r="R22" t="s">
        <v>27</v>
      </c>
      <c r="S22">
        <v>0.127</v>
      </c>
      <c r="T22">
        <v>0.127</v>
      </c>
      <c r="U22">
        <v>0.127</v>
      </c>
    </row>
    <row r="23" spans="2:21" ht="18.600000000000001" thickBot="1" x14ac:dyDescent="0.4">
      <c r="B23" s="8" t="s">
        <v>98</v>
      </c>
      <c r="C23" s="9">
        <f>(SUM(L4:BL4)+SUM(N5:BL6)+SUM(N8:BL11))/SUM(N7:BL7)/M29</f>
        <v>6.1617182743309833</v>
      </c>
      <c r="D23" s="42" t="s">
        <v>92</v>
      </c>
      <c r="E23" s="42" t="s">
        <v>91</v>
      </c>
      <c r="K23" t="s">
        <v>28</v>
      </c>
      <c r="L23" s="15">
        <v>95</v>
      </c>
      <c r="M23">
        <v>0.10199999999999999</v>
      </c>
      <c r="N23">
        <f t="shared" si="20"/>
        <v>9.078E-2</v>
      </c>
      <c r="P23" t="s">
        <v>39</v>
      </c>
      <c r="Q23">
        <f>IF(C10=K19,N19,IF(C10=K20,N20,IF(C10=K21,N21,IF(C10=K22,N22,IF(C10=K23,N23,IF(C10=K24,N24,IF(C10=K25,N25,IF(C10=K26,N26,0))))))))</f>
        <v>5.7850000000000006E-2</v>
      </c>
      <c r="R23" t="s">
        <v>28</v>
      </c>
      <c r="S23">
        <v>6.9000000000000006E-2</v>
      </c>
      <c r="T23">
        <v>4.2000000000000003E-2</v>
      </c>
      <c r="U23">
        <v>0.10199999999999999</v>
      </c>
    </row>
    <row r="24" spans="2:21" x14ac:dyDescent="0.3">
      <c r="C24" s="29"/>
      <c r="K24" t="s">
        <v>30</v>
      </c>
      <c r="L24">
        <v>47</v>
      </c>
      <c r="M24">
        <v>4.7E-2</v>
      </c>
      <c r="N24">
        <f t="shared" si="20"/>
        <v>4.1829999999999999E-2</v>
      </c>
      <c r="R24" t="s">
        <v>30</v>
      </c>
      <c r="S24">
        <v>4.7E-2</v>
      </c>
      <c r="T24">
        <v>4.7E-2</v>
      </c>
      <c r="U24">
        <v>4.7E-2</v>
      </c>
    </row>
    <row r="25" spans="2:21" x14ac:dyDescent="0.3">
      <c r="B25" s="27" t="s">
        <v>10</v>
      </c>
      <c r="C25" s="28">
        <f>SUM(L4:BL4)</f>
        <v>1898880</v>
      </c>
      <c r="D25" s="26"/>
      <c r="K25" t="s">
        <v>32</v>
      </c>
      <c r="L25">
        <v>78</v>
      </c>
      <c r="M25">
        <v>0.18353511680000001</v>
      </c>
      <c r="N25">
        <f t="shared" si="20"/>
        <v>0.163346253952</v>
      </c>
      <c r="R25" t="s">
        <v>32</v>
      </c>
      <c r="S25">
        <v>0.18353511680000001</v>
      </c>
      <c r="T25">
        <v>0.18353511680000001</v>
      </c>
      <c r="U25">
        <v>0.18353511680000001</v>
      </c>
    </row>
    <row r="26" spans="2:21" x14ac:dyDescent="0.3">
      <c r="B26" s="30" t="s">
        <v>11</v>
      </c>
      <c r="C26" s="24">
        <f>SUM(N5:BL6)</f>
        <v>4269616.2390869716</v>
      </c>
      <c r="D26" s="25"/>
      <c r="K26" t="s">
        <v>33</v>
      </c>
      <c r="L26">
        <v>84</v>
      </c>
      <c r="M26">
        <v>7.1999999999999995E-2</v>
      </c>
      <c r="N26">
        <f t="shared" si="20"/>
        <v>6.4079999999999998E-2</v>
      </c>
      <c r="R26" t="s">
        <v>33</v>
      </c>
      <c r="S26">
        <v>7.1999999999999995E-2</v>
      </c>
      <c r="T26">
        <v>7.1999999999999995E-2</v>
      </c>
      <c r="U26">
        <v>7.1999999999999995E-2</v>
      </c>
    </row>
    <row r="27" spans="2:21" x14ac:dyDescent="0.3">
      <c r="B27" s="31"/>
      <c r="C27" s="31"/>
    </row>
    <row r="28" spans="2:21" x14ac:dyDescent="0.3">
      <c r="B28" s="19" t="s">
        <v>83</v>
      </c>
      <c r="C28" s="19">
        <v>0.1</v>
      </c>
      <c r="D28" s="18" t="s">
        <v>84</v>
      </c>
      <c r="L28" t="s">
        <v>35</v>
      </c>
      <c r="M28" t="s">
        <v>36</v>
      </c>
    </row>
    <row r="29" spans="2:21" x14ac:dyDescent="0.3">
      <c r="B29" s="20" t="s">
        <v>82</v>
      </c>
      <c r="C29">
        <v>0.1</v>
      </c>
      <c r="D29" s="18" t="s">
        <v>84</v>
      </c>
      <c r="L29">
        <v>1</v>
      </c>
      <c r="M29">
        <v>0.89</v>
      </c>
    </row>
    <row r="30" spans="2:21" x14ac:dyDescent="0.3">
      <c r="B30" s="20" t="s">
        <v>81</v>
      </c>
      <c r="C30" s="20">
        <v>0.15</v>
      </c>
      <c r="D30" t="s">
        <v>84</v>
      </c>
    </row>
    <row r="31" spans="2:21" x14ac:dyDescent="0.3">
      <c r="B31" s="20" t="s">
        <v>80</v>
      </c>
      <c r="C31" s="21">
        <v>0.04</v>
      </c>
      <c r="D31" t="s">
        <v>87</v>
      </c>
    </row>
    <row r="32" spans="2:21" x14ac:dyDescent="0.3">
      <c r="B32" s="32"/>
      <c r="C32" s="32"/>
    </row>
    <row r="33" spans="2:21" ht="15" thickBot="1" x14ac:dyDescent="0.35"/>
    <row r="34" spans="2:21" ht="15" thickBot="1" x14ac:dyDescent="0.35">
      <c r="B34" s="39"/>
      <c r="C34" s="40" t="s">
        <v>73</v>
      </c>
      <c r="D34" s="41" t="s">
        <v>74</v>
      </c>
      <c r="L34" t="s">
        <v>41</v>
      </c>
    </row>
    <row r="35" spans="2:21" x14ac:dyDescent="0.3">
      <c r="B35" s="2" t="s">
        <v>58</v>
      </c>
      <c r="C35" s="20">
        <v>8.9880000000000002E-2</v>
      </c>
      <c r="D35" s="35" t="s">
        <v>59</v>
      </c>
    </row>
    <row r="36" spans="2:21" x14ac:dyDescent="0.3">
      <c r="B36" s="2" t="s">
        <v>60</v>
      </c>
      <c r="C36" s="20">
        <v>4.5999999999999996</v>
      </c>
      <c r="D36" s="35" t="s">
        <v>61</v>
      </c>
    </row>
    <row r="37" spans="2:21" x14ac:dyDescent="0.3">
      <c r="B37" s="36" t="s">
        <v>60</v>
      </c>
      <c r="C37" s="21">
        <f>C36/C35</f>
        <v>51.179350244770802</v>
      </c>
      <c r="D37" s="37" t="s">
        <v>62</v>
      </c>
      <c r="L37" t="s">
        <v>45</v>
      </c>
    </row>
    <row r="38" spans="2:21" x14ac:dyDescent="0.3">
      <c r="B38" s="2"/>
      <c r="C38" s="20"/>
      <c r="D38" s="35"/>
      <c r="L38" t="s">
        <v>42</v>
      </c>
      <c r="M38" t="s">
        <v>43</v>
      </c>
      <c r="N38" t="s">
        <v>44</v>
      </c>
    </row>
    <row r="39" spans="2:21" x14ac:dyDescent="0.3">
      <c r="B39" s="33" t="s">
        <v>85</v>
      </c>
      <c r="C39" s="23">
        <v>400</v>
      </c>
      <c r="D39" s="34" t="s">
        <v>63</v>
      </c>
      <c r="L39">
        <v>175</v>
      </c>
      <c r="M39">
        <f>L39*0.8</f>
        <v>140</v>
      </c>
      <c r="N39">
        <f>L39*1.2</f>
        <v>210</v>
      </c>
      <c r="R39" t="s">
        <v>50</v>
      </c>
      <c r="S39">
        <v>1.6E-2</v>
      </c>
      <c r="U39" t="s">
        <v>47</v>
      </c>
    </row>
    <row r="40" spans="2:21" x14ac:dyDescent="0.3">
      <c r="B40" s="36" t="s">
        <v>86</v>
      </c>
      <c r="C40" s="21">
        <f>C39*C35</f>
        <v>35.951999999999998</v>
      </c>
      <c r="D40" s="37" t="s">
        <v>64</v>
      </c>
      <c r="E40" t="s">
        <v>75</v>
      </c>
      <c r="U40" t="s">
        <v>46</v>
      </c>
    </row>
    <row r="41" spans="2:21" x14ac:dyDescent="0.3">
      <c r="B41" s="2"/>
      <c r="C41" s="20"/>
      <c r="D41" s="35"/>
    </row>
    <row r="42" spans="2:21" x14ac:dyDescent="0.3">
      <c r="B42" s="33" t="s">
        <v>65</v>
      </c>
      <c r="C42" s="19">
        <v>2</v>
      </c>
      <c r="D42" s="34" t="s">
        <v>66</v>
      </c>
      <c r="L42" t="s">
        <v>48</v>
      </c>
    </row>
    <row r="43" spans="2:21" x14ac:dyDescent="0.3">
      <c r="B43" s="2" t="s">
        <v>67</v>
      </c>
      <c r="C43" s="20">
        <v>1.5</v>
      </c>
      <c r="D43" s="35" t="s">
        <v>68</v>
      </c>
      <c r="L43" t="s">
        <v>42</v>
      </c>
      <c r="M43" t="s">
        <v>43</v>
      </c>
      <c r="N43" t="s">
        <v>44</v>
      </c>
    </row>
    <row r="44" spans="2:21" x14ac:dyDescent="0.3">
      <c r="B44" s="2" t="s">
        <v>69</v>
      </c>
      <c r="C44" s="22">
        <f>C45/(C42*C43)/10000</f>
        <v>6.1333333333333323E-2</v>
      </c>
      <c r="D44" s="35" t="s">
        <v>70</v>
      </c>
      <c r="L44">
        <f>L39*(1+S39)^(2018-2015)</f>
        <v>183.5351168</v>
      </c>
      <c r="M44">
        <f>L44*0.8</f>
        <v>146.82809344</v>
      </c>
      <c r="N44">
        <f>L44*1.2</f>
        <v>220.24214015999999</v>
      </c>
      <c r="T44">
        <v>1.4868528669597481E-2</v>
      </c>
    </row>
    <row r="45" spans="2:21" ht="15" thickBot="1" x14ac:dyDescent="0.35">
      <c r="B45" s="3" t="s">
        <v>71</v>
      </c>
      <c r="C45" s="38">
        <f>C37*C40</f>
        <v>1839.9999999999998</v>
      </c>
      <c r="D45" s="11" t="s">
        <v>72</v>
      </c>
      <c r="E45" t="s">
        <v>76</v>
      </c>
    </row>
    <row r="46" spans="2:21" x14ac:dyDescent="0.3">
      <c r="B46" t="s">
        <v>77</v>
      </c>
    </row>
    <row r="47" spans="2:21" x14ac:dyDescent="0.3">
      <c r="B47" t="s">
        <v>89</v>
      </c>
    </row>
    <row r="48" spans="2:21" x14ac:dyDescent="0.3">
      <c r="K48" s="12" t="s">
        <v>22</v>
      </c>
    </row>
    <row r="49" spans="11:23" x14ac:dyDescent="0.3">
      <c r="K49" t="s">
        <v>23</v>
      </c>
    </row>
    <row r="50" spans="11:23" x14ac:dyDescent="0.3">
      <c r="K50" t="s">
        <v>24</v>
      </c>
    </row>
    <row r="54" spans="11:23" x14ac:dyDescent="0.3">
      <c r="Q54" t="s">
        <v>12</v>
      </c>
      <c r="R54" t="s">
        <v>13</v>
      </c>
    </row>
    <row r="55" spans="11:23" x14ac:dyDescent="0.3">
      <c r="Q55">
        <v>1</v>
      </c>
      <c r="R55">
        <v>8.8999999999999996E-2</v>
      </c>
    </row>
    <row r="56" spans="11:23" x14ac:dyDescent="0.3">
      <c r="Q56">
        <v>1000</v>
      </c>
      <c r="R56">
        <f>Q56*R55/Q55</f>
        <v>89</v>
      </c>
    </row>
    <row r="57" spans="11:23" x14ac:dyDescent="0.3">
      <c r="W57" t="s">
        <v>5</v>
      </c>
    </row>
    <row r="58" spans="11:23" x14ac:dyDescent="0.3">
      <c r="Q58">
        <v>1</v>
      </c>
      <c r="R58">
        <v>8.8999999999999996E-2</v>
      </c>
    </row>
    <row r="59" spans="11:23" x14ac:dyDescent="0.3">
      <c r="Q59">
        <v>5.4</v>
      </c>
      <c r="R59">
        <f>Q59/R58</f>
        <v>60.674157303370791</v>
      </c>
    </row>
    <row r="61" spans="11:23" x14ac:dyDescent="0.3">
      <c r="Q61">
        <f>1.4/R55</f>
        <v>15.730337078651685</v>
      </c>
    </row>
    <row r="77" spans="6:6" x14ac:dyDescent="0.3">
      <c r="F77" t="s">
        <v>88</v>
      </c>
    </row>
  </sheetData>
  <mergeCells count="2">
    <mergeCell ref="B2:C2"/>
    <mergeCell ref="B15:C15"/>
  </mergeCells>
  <dataValidations count="1">
    <dataValidation type="list" allowBlank="1" showInputMessage="1" showErrorMessage="1" sqref="C10" xr:uid="{00000000-0002-0000-0000-000000000000}">
      <formula1>$K$19:$K$26</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LCOH2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AGM</dc:creator>
  <cp:lastModifiedBy>Nabera  Abhinandan</cp:lastModifiedBy>
  <dcterms:created xsi:type="dcterms:W3CDTF">2020-06-07T10:17:57Z</dcterms:created>
  <dcterms:modified xsi:type="dcterms:W3CDTF">2022-10-09T07:41:15Z</dcterms:modified>
</cp:coreProperties>
</file>