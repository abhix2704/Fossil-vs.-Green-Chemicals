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Natural gas v chemicals\"/>
    </mc:Choice>
  </mc:AlternateContent>
  <xr:revisionPtr revIDLastSave="0" documentId="13_ncr:1_{DBA2D947-E071-4681-A666-FF473BF9790B}" xr6:coauthVersionLast="47" xr6:coauthVersionMax="47" xr10:uidLastSave="{00000000-0000-0000-0000-000000000000}"/>
  <bookViews>
    <workbookView xWindow="-108" yWindow="-108" windowWidth="30936" windowHeight="16896" activeTab="1" xr2:uid="{8D5F6BE6-4670-46E5-B70E-219DFFB573B7}"/>
  </bookViews>
  <sheets>
    <sheet name="Ammonia validation" sheetId="1" r:id="rId1"/>
    <sheet name="Methanol valid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F1" i="2"/>
  <c r="D3" i="2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F1" i="1"/>
  <c r="D2" i="1" s="1"/>
  <c r="D2" i="2" l="1"/>
  <c r="D16" i="2"/>
  <c r="D14" i="2"/>
  <c r="D6" i="2"/>
  <c r="D15" i="2"/>
  <c r="D10" i="2"/>
  <c r="D9" i="2"/>
  <c r="D8" i="2"/>
  <c r="D7" i="2"/>
  <c r="D13" i="2"/>
  <c r="D5" i="2"/>
  <c r="D12" i="2"/>
  <c r="D4" i="2"/>
  <c r="D11" i="2"/>
  <c r="D5" i="1"/>
  <c r="D11" i="1"/>
  <c r="D15" i="1"/>
  <c r="D16" i="1"/>
  <c r="D19" i="1"/>
  <c r="D24" i="1"/>
  <c r="D3" i="1"/>
  <c r="D4" i="1"/>
  <c r="D7" i="1"/>
  <c r="D20" i="1"/>
  <c r="D8" i="1"/>
  <c r="D23" i="1"/>
  <c r="D12" i="1"/>
  <c r="D13" i="1"/>
  <c r="D21" i="1"/>
  <c r="D6" i="1"/>
  <c r="D14" i="1"/>
  <c r="D22" i="1"/>
  <c r="D9" i="1"/>
  <c r="D17" i="1"/>
  <c r="D25" i="1"/>
  <c r="D10" i="1"/>
  <c r="D18" i="1"/>
  <c r="D26" i="1"/>
</calcChain>
</file>

<file path=xl/sharedStrings.xml><?xml version="1.0" encoding="utf-8"?>
<sst xmlns="http://schemas.openxmlformats.org/spreadsheetml/2006/main" count="52" uniqueCount="44">
  <si>
    <t>Jan '19</t>
  </si>
  <si>
    <t>Feb '19</t>
  </si>
  <si>
    <t>Mar '19</t>
  </si>
  <si>
    <t>Apr '19</t>
  </si>
  <si>
    <t>May '19</t>
  </si>
  <si>
    <t>Jun '19</t>
  </si>
  <si>
    <t>Jul '19</t>
  </si>
  <si>
    <t>Aug '19</t>
  </si>
  <si>
    <t>Sep '19</t>
  </si>
  <si>
    <t>Oct '19</t>
  </si>
  <si>
    <t>Nov '19</t>
  </si>
  <si>
    <t>Dec '19</t>
  </si>
  <si>
    <t>Jan '20</t>
  </si>
  <si>
    <t>Feb '20</t>
  </si>
  <si>
    <t>Mar '20</t>
  </si>
  <si>
    <t>Apr '20</t>
  </si>
  <si>
    <t>May '20</t>
  </si>
  <si>
    <t>Jun '20</t>
  </si>
  <si>
    <t>Jul '20</t>
  </si>
  <si>
    <t>Aug '20</t>
  </si>
  <si>
    <t>Sep '20</t>
  </si>
  <si>
    <t>Oct '20</t>
  </si>
  <si>
    <t>Nov '20</t>
  </si>
  <si>
    <t>Dec '20</t>
  </si>
  <si>
    <t>Jan '21</t>
  </si>
  <si>
    <t>Feb '21</t>
  </si>
  <si>
    <t>Mar '21</t>
  </si>
  <si>
    <t>Apr '21</t>
  </si>
  <si>
    <t>May '21</t>
  </si>
  <si>
    <t>Jun '21</t>
  </si>
  <si>
    <t>Jul '21</t>
  </si>
  <si>
    <t>Aug '21</t>
  </si>
  <si>
    <t>Sep '21</t>
  </si>
  <si>
    <t>Oct '21</t>
  </si>
  <si>
    <t>Nov '21</t>
  </si>
  <si>
    <t>Dec '21</t>
  </si>
  <si>
    <t>Jan '22</t>
  </si>
  <si>
    <t>Reference</t>
  </si>
  <si>
    <t>https://www.dtnpf.com/agriculture/web/ag/crops/article/2022/02/01/anhydrous-shatters-time-high-price-1</t>
  </si>
  <si>
    <t>Time</t>
  </si>
  <si>
    <t>Lit price</t>
  </si>
  <si>
    <t>BAU price</t>
  </si>
  <si>
    <t>Index</t>
  </si>
  <si>
    <t>https://seekingalpha.com/article/4350871-methanex-potential-multibagger-methanol-pure-play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</si>
</sst>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'Ammonia validation'!$C$2:$C$26</c:f>
              <c:strCache>
                <c:ptCount val="25"/>
                <c:pt idx="0">
                  <c:v>Jan '20</c:v>
                </c:pt>
                <c:pt idx="1">
                  <c:v>Feb '20</c:v>
                </c:pt>
                <c:pt idx="2">
                  <c:v>Mar '20</c:v>
                </c:pt>
                <c:pt idx="3">
                  <c:v>Apr '20</c:v>
                </c:pt>
                <c:pt idx="4">
                  <c:v>May '20</c:v>
                </c:pt>
                <c:pt idx="5">
                  <c:v>Jun '20</c:v>
                </c:pt>
                <c:pt idx="6">
                  <c:v>Jul '20</c:v>
                </c:pt>
                <c:pt idx="7">
                  <c:v>Aug '20</c:v>
                </c:pt>
                <c:pt idx="8">
                  <c:v>Sep '20</c:v>
                </c:pt>
                <c:pt idx="9">
                  <c:v>Oct '20</c:v>
                </c:pt>
                <c:pt idx="10">
                  <c:v>Nov '20</c:v>
                </c:pt>
                <c:pt idx="11">
                  <c:v>Dec '20</c:v>
                </c:pt>
                <c:pt idx="12">
                  <c:v>Jan '21</c:v>
                </c:pt>
                <c:pt idx="13">
                  <c:v>Feb '21</c:v>
                </c:pt>
                <c:pt idx="14">
                  <c:v>Mar '21</c:v>
                </c:pt>
                <c:pt idx="15">
                  <c:v>Apr '21</c:v>
                </c:pt>
                <c:pt idx="16">
                  <c:v>May '21</c:v>
                </c:pt>
                <c:pt idx="17">
                  <c:v>Jun '21</c:v>
                </c:pt>
                <c:pt idx="18">
                  <c:v>Jul '21</c:v>
                </c:pt>
                <c:pt idx="19">
                  <c:v>Aug '21</c:v>
                </c:pt>
                <c:pt idx="20">
                  <c:v>Sep '21</c:v>
                </c:pt>
                <c:pt idx="21">
                  <c:v>Oct '21</c:v>
                </c:pt>
                <c:pt idx="22">
                  <c:v>Nov '21</c:v>
                </c:pt>
                <c:pt idx="23">
                  <c:v>Dec '21</c:v>
                </c:pt>
                <c:pt idx="24">
                  <c:v>Jan '22</c:v>
                </c:pt>
              </c:strCache>
            </c:strRef>
          </c:cat>
          <c:val>
            <c:numRef>
              <c:f>'Ammonia validation'!$D$2:$D$26</c:f>
              <c:numCache>
                <c:formatCode>General</c:formatCode>
                <c:ptCount val="25"/>
                <c:pt idx="0">
                  <c:v>494.38202247191009</c:v>
                </c:pt>
                <c:pt idx="1">
                  <c:v>487.64044943820227</c:v>
                </c:pt>
                <c:pt idx="2">
                  <c:v>487.64044943820227</c:v>
                </c:pt>
                <c:pt idx="3">
                  <c:v>492.13483146067415</c:v>
                </c:pt>
                <c:pt idx="4">
                  <c:v>471.91011235955057</c:v>
                </c:pt>
                <c:pt idx="5">
                  <c:v>462.92134831460675</c:v>
                </c:pt>
                <c:pt idx="6">
                  <c:v>453.93258426966293</c:v>
                </c:pt>
                <c:pt idx="7">
                  <c:v>435.95505617977528</c:v>
                </c:pt>
                <c:pt idx="8">
                  <c:v>431.46067415730334</c:v>
                </c:pt>
                <c:pt idx="9">
                  <c:v>422.47191011235952</c:v>
                </c:pt>
                <c:pt idx="10">
                  <c:v>426.96629213483146</c:v>
                </c:pt>
                <c:pt idx="11">
                  <c:v>471.91011235955057</c:v>
                </c:pt>
                <c:pt idx="12">
                  <c:v>494.38202247191009</c:v>
                </c:pt>
                <c:pt idx="13">
                  <c:v>546.06741573033707</c:v>
                </c:pt>
                <c:pt idx="14">
                  <c:v>680.89887640449433</c:v>
                </c:pt>
                <c:pt idx="15">
                  <c:v>707.86516853932585</c:v>
                </c:pt>
                <c:pt idx="16">
                  <c:v>714.60674157303379</c:v>
                </c:pt>
                <c:pt idx="17">
                  <c:v>728.08988764044943</c:v>
                </c:pt>
                <c:pt idx="18">
                  <c:v>734.83146067415737</c:v>
                </c:pt>
                <c:pt idx="19">
                  <c:v>746.06741573033707</c:v>
                </c:pt>
                <c:pt idx="20">
                  <c:v>773.03370786516848</c:v>
                </c:pt>
                <c:pt idx="21">
                  <c:v>1029.2134831460676</c:v>
                </c:pt>
                <c:pt idx="22">
                  <c:v>1294.3820224719102</c:v>
                </c:pt>
                <c:pt idx="23">
                  <c:v>1406.7415730337079</c:v>
                </c:pt>
                <c:pt idx="24">
                  <c:v>1471.9101123595506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49-47A3-9493-D20CB6D933A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'Ammonia validation'!$E$2:$E$26</c:f>
              <c:numCache>
                <c:formatCode>General</c:formatCode>
                <c:ptCount val="25"/>
                <c:pt idx="0">
                  <c:v>360.26780607174851</c:v>
                </c:pt>
                <c:pt idx="1">
                  <c:v>330.81465092404426</c:v>
                </c:pt>
                <c:pt idx="2">
                  <c:v>326.92531367045183</c:v>
                </c:pt>
                <c:pt idx="3">
                  <c:v>307.5675939673921</c:v>
                </c:pt>
                <c:pt idx="4">
                  <c:v>295.38132994222667</c:v>
                </c:pt>
                <c:pt idx="5">
                  <c:v>307.63917875979473</c:v>
                </c:pt>
                <c:pt idx="6">
                  <c:v>312.48974693233885</c:v>
                </c:pt>
                <c:pt idx="7">
                  <c:v>342.05474600047444</c:v>
                </c:pt>
                <c:pt idx="8">
                  <c:v>376.12384607753427</c:v>
                </c:pt>
                <c:pt idx="9">
                  <c:v>388.95433699306579</c:v>
                </c:pt>
                <c:pt idx="10">
                  <c:v>392.4073928990648</c:v>
                </c:pt>
                <c:pt idx="11">
                  <c:v>420.96376686278109</c:v>
                </c:pt>
                <c:pt idx="12">
                  <c:v>508.25461696440016</c:v>
                </c:pt>
                <c:pt idx="13">
                  <c:v>478.22045505548635</c:v>
                </c:pt>
                <c:pt idx="14">
                  <c:v>476.05055252025392</c:v>
                </c:pt>
                <c:pt idx="15">
                  <c:v>506.26191146736642</c:v>
                </c:pt>
                <c:pt idx="16">
                  <c:v>547.37927803096102</c:v>
                </c:pt>
                <c:pt idx="17">
                  <c:v>600.0000620757362</c:v>
                </c:pt>
                <c:pt idx="18">
                  <c:v>658.87633207631052</c:v>
                </c:pt>
                <c:pt idx="19">
                  <c:v>729.07163169869523</c:v>
                </c:pt>
                <c:pt idx="20">
                  <c:v>947.06998057089891</c:v>
                </c:pt>
                <c:pt idx="21">
                  <c:v>1151.0601301114027</c:v>
                </c:pt>
                <c:pt idx="22">
                  <c:v>1105.4309586810361</c:v>
                </c:pt>
                <c:pt idx="23">
                  <c:v>1393.2693933620224</c:v>
                </c:pt>
                <c:pt idx="24">
                  <c:v>1156.2410676433228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49-47A3-9493-D20CB6D93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5304511"/>
        <c:axId val="2025280799"/>
      </c:lineChart>
      <c:catAx>
        <c:axId val="202530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280799"/>
        <c:crosses val="autoZero"/>
        <c:auto val="1"/>
        <c:lblAlgn val="ctr"/>
        <c:lblOffset val="100"/>
        <c:noMultiLvlLbl val="0"/>
      </c:catAx>
      <c:valAx>
        <c:axId val="202528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304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'Methanol validation'!$C$2:$C$18</c:f>
              <c:strCache>
                <c:ptCount val="1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</c:strCache>
            </c:strRef>
          </c:cat>
          <c:val>
            <c:numRef>
              <c:f>'Methanol validation'!$D$2:$D$18</c:f>
              <c:numCache>
                <c:formatCode>0.000</c:formatCode>
                <c:ptCount val="17"/>
                <c:pt idx="0">
                  <c:v>419.11764705882354</c:v>
                </c:pt>
                <c:pt idx="1">
                  <c:v>400</c:v>
                </c:pt>
                <c:pt idx="2">
                  <c:v>400</c:v>
                </c:pt>
                <c:pt idx="3">
                  <c:v>397.05882352941177</c:v>
                </c:pt>
                <c:pt idx="4">
                  <c:v>394.11764705882354</c:v>
                </c:pt>
                <c:pt idx="5">
                  <c:v>398.52941176470586</c:v>
                </c:pt>
                <c:pt idx="6">
                  <c:v>344.11764705882354</c:v>
                </c:pt>
                <c:pt idx="7">
                  <c:v>341.1764705882353</c:v>
                </c:pt>
                <c:pt idx="8">
                  <c:v>336.76470588235293</c:v>
                </c:pt>
                <c:pt idx="9">
                  <c:v>322.05882352941177</c:v>
                </c:pt>
                <c:pt idx="10">
                  <c:v>305.88235294117646</c:v>
                </c:pt>
                <c:pt idx="11">
                  <c:v>308.8235294117647</c:v>
                </c:pt>
                <c:pt idx="12">
                  <c:v>302.94117647058823</c:v>
                </c:pt>
                <c:pt idx="13">
                  <c:v>298.52941176470586</c:v>
                </c:pt>
                <c:pt idx="14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A0-4242-A11E-E335388D280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'Methanol validation'!$C$2:$C$18</c:f>
              <c:strCache>
                <c:ptCount val="1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</c:strCache>
            </c:strRef>
          </c:cat>
          <c:val>
            <c:numRef>
              <c:f>'Methanol validation'!$E$2:$E$18</c:f>
              <c:numCache>
                <c:formatCode>General</c:formatCode>
                <c:ptCount val="17"/>
                <c:pt idx="0">
                  <c:v>409.34904672727271</c:v>
                </c:pt>
                <c:pt idx="1">
                  <c:v>366.31268527272732</c:v>
                </c:pt>
                <c:pt idx="2">
                  <c:v>332.99314418181814</c:v>
                </c:pt>
                <c:pt idx="3">
                  <c:v>329.76229545454549</c:v>
                </c:pt>
                <c:pt idx="4">
                  <c:v>313.12167690909092</c:v>
                </c:pt>
                <c:pt idx="5">
                  <c:v>287.0439392727273</c:v>
                </c:pt>
                <c:pt idx="6">
                  <c:v>293.03938381818188</c:v>
                </c:pt>
                <c:pt idx="7">
                  <c:v>292.77825490909095</c:v>
                </c:pt>
                <c:pt idx="8">
                  <c:v>307.79738054545459</c:v>
                </c:pt>
                <c:pt idx="9">
                  <c:v>333.91176999999999</c:v>
                </c:pt>
                <c:pt idx="10">
                  <c:v>339.45497963636365</c:v>
                </c:pt>
                <c:pt idx="11">
                  <c:v>317.30122999999998</c:v>
                </c:pt>
                <c:pt idx="12">
                  <c:v>287.06348371555561</c:v>
                </c:pt>
                <c:pt idx="13">
                  <c:v>256.39958062464649</c:v>
                </c:pt>
                <c:pt idx="14">
                  <c:v>251.18069717010101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A0-4242-A11E-E335388D2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5304511"/>
        <c:axId val="2025280799"/>
      </c:lineChart>
      <c:catAx>
        <c:axId val="202530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280799"/>
        <c:crosses val="autoZero"/>
        <c:auto val="1"/>
        <c:lblAlgn val="ctr"/>
        <c:lblOffset val="100"/>
        <c:noMultiLvlLbl val="0"/>
      </c:catAx>
      <c:valAx>
        <c:axId val="202528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304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129540</xdr:colOff>
      <xdr:row>9</xdr:row>
      <xdr:rowOff>99060</xdr:rowOff>
    </xdr:from>
    <xdr:to>
      <xdr:col>27</xdr:col>
      <xdr:colOff>213360</xdr:colOff>
      <xdr:row>34</xdr:row>
      <xdr:rowOff>53340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1FEDC7E-B8FF-C3D6-A5C9-42FF94254E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144780</xdr:colOff>
      <xdr:row>4</xdr:row>
      <xdr:rowOff>83820</xdr:rowOff>
    </xdr:from>
    <xdr:to>
      <xdr:col>25</xdr:col>
      <xdr:colOff>228600</xdr:colOff>
      <xdr:row>30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965B03-96CA-485C-8723-FE2D1321B2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5C98F-0A72-4BB1-B038-A260352A5D45}">
  <dimension ref="A1:P37"/>
  <sheetViews>
    <sheetView workbookViewId="0">
      <selection activeCell="E13" sqref="E13"/>
    </sheetView>
  </sheetViews>
  <sheetFormatPr defaultRowHeight="14.4" x14ac:dyDescent="0.3"/>
  <sheetData>
    <row r="1" spans="1:16" x14ac:dyDescent="0.3">
      <c r="A1">
        <v>571.5</v>
      </c>
      <c r="B1" s="1" t="s">
        <v>42</v>
      </c>
      <c r="C1" s="1" t="s">
        <v>39</v>
      </c>
      <c r="D1" s="1" t="s">
        <v>40</v>
      </c>
      <c r="E1" t="s">
        <v>41</v>
      </c>
      <c r="F1">
        <f>A1-A2</f>
        <v>89</v>
      </c>
      <c r="G1">
        <v>200</v>
      </c>
      <c r="H1">
        <v>400</v>
      </c>
      <c r="L1" t="s">
        <v>37</v>
      </c>
      <c r="M1" t="s">
        <v>38</v>
      </c>
      <c r="P1" s="1"/>
    </row>
    <row r="2" spans="1:16" x14ac:dyDescent="0.3">
      <c r="A2">
        <v>482.5</v>
      </c>
      <c r="B2" s="1">
        <v>1</v>
      </c>
      <c r="C2" s="1" t="s">
        <v>12</v>
      </c>
      <c r="D2" s="1">
        <f t="shared" ref="D2:D26" si="0">($A$1-A3)*$G$1/$F$1+$H$1</f>
        <v>494.38202247191009</v>
      </c>
      <c r="E2" s="1">
        <v>360.26780607174851</v>
      </c>
    </row>
    <row r="3" spans="1:16" x14ac:dyDescent="0.3">
      <c r="A3">
        <v>529.5</v>
      </c>
      <c r="B3" s="1">
        <f>B2+1</f>
        <v>2</v>
      </c>
      <c r="C3" s="1" t="s">
        <v>13</v>
      </c>
      <c r="D3" s="1">
        <f t="shared" si="0"/>
        <v>487.64044943820227</v>
      </c>
      <c r="E3" s="1">
        <v>330.81465092404426</v>
      </c>
    </row>
    <row r="4" spans="1:16" x14ac:dyDescent="0.3">
      <c r="A4">
        <v>532.5</v>
      </c>
      <c r="B4" s="1">
        <f t="shared" ref="B4:B26" si="1">B3+1</f>
        <v>3</v>
      </c>
      <c r="C4" s="1" t="s">
        <v>14</v>
      </c>
      <c r="D4" s="1">
        <f t="shared" si="0"/>
        <v>487.64044943820227</v>
      </c>
      <c r="E4" s="1">
        <v>326.92531367045183</v>
      </c>
    </row>
    <row r="5" spans="1:16" x14ac:dyDescent="0.3">
      <c r="A5">
        <v>532.5</v>
      </c>
      <c r="B5" s="1">
        <f t="shared" si="1"/>
        <v>4</v>
      </c>
      <c r="C5" s="1" t="s">
        <v>15</v>
      </c>
      <c r="D5" s="1">
        <f t="shared" si="0"/>
        <v>492.13483146067415</v>
      </c>
      <c r="E5" s="1">
        <v>307.5675939673921</v>
      </c>
    </row>
    <row r="6" spans="1:16" x14ac:dyDescent="0.3">
      <c r="A6">
        <v>530.5</v>
      </c>
      <c r="B6" s="1">
        <f t="shared" si="1"/>
        <v>5</v>
      </c>
      <c r="C6" s="1" t="s">
        <v>16</v>
      </c>
      <c r="D6" s="1">
        <f t="shared" si="0"/>
        <v>471.91011235955057</v>
      </c>
      <c r="E6" s="1">
        <v>295.38132994222667</v>
      </c>
    </row>
    <row r="7" spans="1:16" x14ac:dyDescent="0.3">
      <c r="A7">
        <v>539.5</v>
      </c>
      <c r="B7" s="1">
        <f t="shared" si="1"/>
        <v>6</v>
      </c>
      <c r="C7" s="1" t="s">
        <v>17</v>
      </c>
      <c r="D7" s="1">
        <f t="shared" si="0"/>
        <v>462.92134831460675</v>
      </c>
      <c r="E7" s="1">
        <v>307.63917875979473</v>
      </c>
    </row>
    <row r="8" spans="1:16" x14ac:dyDescent="0.3">
      <c r="A8">
        <v>543.5</v>
      </c>
      <c r="B8" s="1">
        <f t="shared" si="1"/>
        <v>7</v>
      </c>
      <c r="C8" s="1" t="s">
        <v>18</v>
      </c>
      <c r="D8" s="1">
        <f t="shared" si="0"/>
        <v>453.93258426966293</v>
      </c>
      <c r="E8" s="1">
        <v>312.48974693233885</v>
      </c>
    </row>
    <row r="9" spans="1:16" x14ac:dyDescent="0.3">
      <c r="A9">
        <v>547.5</v>
      </c>
      <c r="B9" s="1">
        <f t="shared" si="1"/>
        <v>8</v>
      </c>
      <c r="C9" s="1" t="s">
        <v>19</v>
      </c>
      <c r="D9" s="1">
        <f t="shared" si="0"/>
        <v>435.95505617977528</v>
      </c>
      <c r="E9" s="1">
        <v>342.05474600047444</v>
      </c>
    </row>
    <row r="10" spans="1:16" x14ac:dyDescent="0.3">
      <c r="A10">
        <v>555.5</v>
      </c>
      <c r="B10" s="1">
        <f t="shared" si="1"/>
        <v>9</v>
      </c>
      <c r="C10" s="1" t="s">
        <v>20</v>
      </c>
      <c r="D10" s="1">
        <f t="shared" si="0"/>
        <v>431.46067415730334</v>
      </c>
      <c r="E10" s="1">
        <v>376.12384607753427</v>
      </c>
    </row>
    <row r="11" spans="1:16" x14ac:dyDescent="0.3">
      <c r="A11">
        <v>557.5</v>
      </c>
      <c r="B11" s="1">
        <f t="shared" si="1"/>
        <v>10</v>
      </c>
      <c r="C11" s="1" t="s">
        <v>21</v>
      </c>
      <c r="D11" s="1">
        <f t="shared" si="0"/>
        <v>422.47191011235952</v>
      </c>
      <c r="E11" s="1">
        <v>388.95433699306579</v>
      </c>
    </row>
    <row r="12" spans="1:16" x14ac:dyDescent="0.3">
      <c r="A12">
        <v>561.5</v>
      </c>
      <c r="B12" s="1">
        <f t="shared" si="1"/>
        <v>11</v>
      </c>
      <c r="C12" s="1" t="s">
        <v>22</v>
      </c>
      <c r="D12" s="1">
        <f t="shared" si="0"/>
        <v>426.96629213483146</v>
      </c>
      <c r="E12" s="1">
        <v>392.4073928990648</v>
      </c>
    </row>
    <row r="13" spans="1:16" x14ac:dyDescent="0.3">
      <c r="A13">
        <v>559.5</v>
      </c>
      <c r="B13" s="1">
        <f t="shared" si="1"/>
        <v>12</v>
      </c>
      <c r="C13" s="1" t="s">
        <v>23</v>
      </c>
      <c r="D13" s="1">
        <f t="shared" si="0"/>
        <v>471.91011235955057</v>
      </c>
      <c r="E13" s="1">
        <v>420.96376686278109</v>
      </c>
    </row>
    <row r="14" spans="1:16" x14ac:dyDescent="0.3">
      <c r="A14">
        <v>539.5</v>
      </c>
      <c r="B14" s="1">
        <f t="shared" si="1"/>
        <v>13</v>
      </c>
      <c r="C14" s="1" t="s">
        <v>24</v>
      </c>
      <c r="D14" s="1">
        <f t="shared" si="0"/>
        <v>494.38202247191009</v>
      </c>
      <c r="E14" s="1">
        <v>508.25461696440016</v>
      </c>
    </row>
    <row r="15" spans="1:16" x14ac:dyDescent="0.3">
      <c r="A15">
        <v>529.5</v>
      </c>
      <c r="B15" s="1">
        <f t="shared" si="1"/>
        <v>14</v>
      </c>
      <c r="C15" s="1" t="s">
        <v>25</v>
      </c>
      <c r="D15" s="1">
        <f t="shared" si="0"/>
        <v>546.06741573033707</v>
      </c>
      <c r="E15" s="1">
        <v>478.22045505548635</v>
      </c>
    </row>
    <row r="16" spans="1:16" x14ac:dyDescent="0.3">
      <c r="A16">
        <v>506.5</v>
      </c>
      <c r="B16" s="1">
        <f t="shared" si="1"/>
        <v>15</v>
      </c>
      <c r="C16" s="1" t="s">
        <v>26</v>
      </c>
      <c r="D16" s="1">
        <f t="shared" si="0"/>
        <v>680.89887640449433</v>
      </c>
      <c r="E16" s="1">
        <v>476.05055252025392</v>
      </c>
    </row>
    <row r="17" spans="1:5" x14ac:dyDescent="0.3">
      <c r="A17">
        <v>446.5</v>
      </c>
      <c r="B17" s="1">
        <f t="shared" si="1"/>
        <v>16</v>
      </c>
      <c r="C17" s="1" t="s">
        <v>27</v>
      </c>
      <c r="D17" s="1">
        <f t="shared" si="0"/>
        <v>707.86516853932585</v>
      </c>
      <c r="E17" s="1">
        <v>506.26191146736642</v>
      </c>
    </row>
    <row r="18" spans="1:5" x14ac:dyDescent="0.3">
      <c r="A18">
        <v>434.5</v>
      </c>
      <c r="B18" s="1">
        <f t="shared" si="1"/>
        <v>17</v>
      </c>
      <c r="C18" s="1" t="s">
        <v>28</v>
      </c>
      <c r="D18" s="1">
        <f t="shared" si="0"/>
        <v>714.60674157303379</v>
      </c>
      <c r="E18" s="1">
        <v>547.37927803096102</v>
      </c>
    </row>
    <row r="19" spans="1:5" x14ac:dyDescent="0.3">
      <c r="A19">
        <v>431.5</v>
      </c>
      <c r="B19" s="1">
        <f t="shared" si="1"/>
        <v>18</v>
      </c>
      <c r="C19" s="1" t="s">
        <v>29</v>
      </c>
      <c r="D19" s="1">
        <f t="shared" si="0"/>
        <v>728.08988764044943</v>
      </c>
      <c r="E19" s="1">
        <v>600.0000620757362</v>
      </c>
    </row>
    <row r="20" spans="1:5" x14ac:dyDescent="0.3">
      <c r="A20">
        <v>425.5</v>
      </c>
      <c r="B20" s="1">
        <f t="shared" si="1"/>
        <v>19</v>
      </c>
      <c r="C20" s="1" t="s">
        <v>30</v>
      </c>
      <c r="D20" s="1">
        <f t="shared" si="0"/>
        <v>734.83146067415737</v>
      </c>
      <c r="E20" s="1">
        <v>658.87633207631052</v>
      </c>
    </row>
    <row r="21" spans="1:5" x14ac:dyDescent="0.3">
      <c r="A21">
        <v>422.5</v>
      </c>
      <c r="B21" s="1">
        <f t="shared" si="1"/>
        <v>20</v>
      </c>
      <c r="C21" s="1" t="s">
        <v>31</v>
      </c>
      <c r="D21" s="1">
        <f t="shared" si="0"/>
        <v>746.06741573033707</v>
      </c>
      <c r="E21" s="1">
        <v>729.07163169869523</v>
      </c>
    </row>
    <row r="22" spans="1:5" x14ac:dyDescent="0.3">
      <c r="A22">
        <v>417.5</v>
      </c>
      <c r="B22" s="1">
        <f t="shared" si="1"/>
        <v>21</v>
      </c>
      <c r="C22" s="1" t="s">
        <v>32</v>
      </c>
      <c r="D22" s="1">
        <f t="shared" si="0"/>
        <v>773.03370786516848</v>
      </c>
      <c r="E22" s="1">
        <v>947.06998057089891</v>
      </c>
    </row>
    <row r="23" spans="1:5" x14ac:dyDescent="0.3">
      <c r="A23">
        <v>405.5</v>
      </c>
      <c r="B23" s="1">
        <f t="shared" si="1"/>
        <v>22</v>
      </c>
      <c r="C23" s="1" t="s">
        <v>33</v>
      </c>
      <c r="D23" s="1">
        <f t="shared" si="0"/>
        <v>1029.2134831460676</v>
      </c>
      <c r="E23" s="1">
        <v>1151.0601301114027</v>
      </c>
    </row>
    <row r="24" spans="1:5" x14ac:dyDescent="0.3">
      <c r="A24">
        <v>291.5</v>
      </c>
      <c r="B24" s="1">
        <f t="shared" si="1"/>
        <v>23</v>
      </c>
      <c r="C24" s="1" t="s">
        <v>34</v>
      </c>
      <c r="D24" s="1">
        <f t="shared" si="0"/>
        <v>1294.3820224719102</v>
      </c>
      <c r="E24" s="1">
        <v>1105.4309586810361</v>
      </c>
    </row>
    <row r="25" spans="1:5" x14ac:dyDescent="0.3">
      <c r="A25">
        <v>173.5</v>
      </c>
      <c r="B25" s="1">
        <f t="shared" si="1"/>
        <v>24</v>
      </c>
      <c r="C25" s="1" t="s">
        <v>35</v>
      </c>
      <c r="D25" s="1">
        <f t="shared" si="0"/>
        <v>1406.7415730337079</v>
      </c>
      <c r="E25" s="1">
        <v>1393.2693933620224</v>
      </c>
    </row>
    <row r="26" spans="1:5" x14ac:dyDescent="0.3">
      <c r="A26">
        <v>123.5</v>
      </c>
      <c r="B26" s="1">
        <f t="shared" si="1"/>
        <v>25</v>
      </c>
      <c r="C26" s="1" t="s">
        <v>36</v>
      </c>
      <c r="D26" s="1">
        <f t="shared" si="0"/>
        <v>1471.9101123595506</v>
      </c>
      <c r="E26" s="1">
        <v>1156.2410676433228</v>
      </c>
    </row>
    <row r="27" spans="1:5" x14ac:dyDescent="0.3">
      <c r="A27">
        <v>94.5</v>
      </c>
      <c r="E27" s="1"/>
    </row>
    <row r="28" spans="1:5" x14ac:dyDescent="0.3">
      <c r="E28" s="1"/>
    </row>
    <row r="30" spans="1:5" x14ac:dyDescent="0.3">
      <c r="E30" s="1"/>
    </row>
    <row r="31" spans="1:5" x14ac:dyDescent="0.3">
      <c r="E31" s="1"/>
    </row>
    <row r="32" spans="1:5" x14ac:dyDescent="0.3">
      <c r="E32" s="1"/>
    </row>
    <row r="33" spans="5:5" x14ac:dyDescent="0.3">
      <c r="E33" s="1"/>
    </row>
    <row r="34" spans="5:5" x14ac:dyDescent="0.3">
      <c r="E34" s="1"/>
    </row>
    <row r="35" spans="5:5" x14ac:dyDescent="0.3">
      <c r="E35" s="1"/>
    </row>
    <row r="36" spans="5:5" x14ac:dyDescent="0.3">
      <c r="E36" s="1"/>
    </row>
    <row r="37" spans="5:5" x14ac:dyDescent="0.3">
      <c r="E37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5920A-0E0A-4587-854F-EF2EBF1C8813}">
  <dimension ref="A1:P62"/>
  <sheetViews>
    <sheetView tabSelected="1" workbookViewId="0">
      <selection activeCell="Z15" sqref="Z15"/>
    </sheetView>
  </sheetViews>
  <sheetFormatPr defaultRowHeight="14.4" x14ac:dyDescent="0.3"/>
  <cols>
    <col min="4" max="4" width="7.5546875" bestFit="1" customWidth="1"/>
  </cols>
  <sheetData>
    <row r="1" spans="1:16" x14ac:dyDescent="0.3">
      <c r="A1">
        <v>357.5</v>
      </c>
      <c r="B1" s="1" t="s">
        <v>42</v>
      </c>
      <c r="C1" s="1" t="s">
        <v>39</v>
      </c>
      <c r="D1" s="1" t="s">
        <v>40</v>
      </c>
      <c r="E1" t="s">
        <v>41</v>
      </c>
      <c r="F1">
        <f>A1-A2</f>
        <v>34</v>
      </c>
      <c r="G1">
        <v>50</v>
      </c>
      <c r="H1">
        <v>100</v>
      </c>
      <c r="L1" t="s">
        <v>37</v>
      </c>
      <c r="M1" t="s">
        <v>43</v>
      </c>
      <c r="P1" s="1"/>
    </row>
    <row r="2" spans="1:16" x14ac:dyDescent="0.3">
      <c r="A2">
        <v>323.5</v>
      </c>
      <c r="B2" s="1">
        <v>1</v>
      </c>
      <c r="C2" s="1" t="s">
        <v>0</v>
      </c>
      <c r="D2" s="4">
        <f>($A$1-A3)*$G$1/$F$1+$H$1</f>
        <v>419.11764705882354</v>
      </c>
      <c r="E2" s="1">
        <v>409.34904672727271</v>
      </c>
    </row>
    <row r="3" spans="1:16" x14ac:dyDescent="0.3">
      <c r="A3">
        <v>140.5</v>
      </c>
      <c r="B3" s="1">
        <f>B2+1</f>
        <v>2</v>
      </c>
      <c r="C3" s="1" t="s">
        <v>1</v>
      </c>
      <c r="D3" s="4">
        <f t="shared" ref="D3:D16" si="0">($A$1-A4)*$G$1/$F$1+$H$1</f>
        <v>400</v>
      </c>
      <c r="E3" s="1">
        <v>366.31268527272732</v>
      </c>
    </row>
    <row r="4" spans="1:16" x14ac:dyDescent="0.3">
      <c r="A4">
        <v>153.5</v>
      </c>
      <c r="B4" s="1">
        <f t="shared" ref="B4:B8" si="1">B3+1</f>
        <v>3</v>
      </c>
      <c r="C4" s="1" t="s">
        <v>2</v>
      </c>
      <c r="D4" s="4">
        <f t="shared" si="0"/>
        <v>400</v>
      </c>
      <c r="E4" s="1">
        <v>332.99314418181814</v>
      </c>
    </row>
    <row r="5" spans="1:16" x14ac:dyDescent="0.3">
      <c r="A5">
        <v>153.5</v>
      </c>
      <c r="B5" s="1">
        <f t="shared" si="1"/>
        <v>4</v>
      </c>
      <c r="C5" s="1" t="s">
        <v>3</v>
      </c>
      <c r="D5" s="4">
        <f t="shared" si="0"/>
        <v>397.05882352941177</v>
      </c>
      <c r="E5" s="1">
        <v>329.76229545454549</v>
      </c>
    </row>
    <row r="6" spans="1:16" x14ac:dyDescent="0.3">
      <c r="A6">
        <v>155.5</v>
      </c>
      <c r="B6" s="1">
        <f t="shared" si="1"/>
        <v>5</v>
      </c>
      <c r="C6" s="1" t="s">
        <v>4</v>
      </c>
      <c r="D6" s="4">
        <f t="shared" si="0"/>
        <v>394.11764705882354</v>
      </c>
      <c r="E6" s="1">
        <v>313.12167690909092</v>
      </c>
    </row>
    <row r="7" spans="1:16" x14ac:dyDescent="0.3">
      <c r="A7">
        <v>157.5</v>
      </c>
      <c r="B7" s="1">
        <f t="shared" si="1"/>
        <v>6</v>
      </c>
      <c r="C7" s="1" t="s">
        <v>5</v>
      </c>
      <c r="D7" s="4">
        <f t="shared" si="0"/>
        <v>398.52941176470586</v>
      </c>
      <c r="E7" s="1">
        <v>287.0439392727273</v>
      </c>
    </row>
    <row r="8" spans="1:16" x14ac:dyDescent="0.3">
      <c r="A8">
        <v>154.5</v>
      </c>
      <c r="B8" s="1">
        <f t="shared" si="1"/>
        <v>7</v>
      </c>
      <c r="C8" s="1" t="s">
        <v>6</v>
      </c>
      <c r="D8" s="4">
        <f t="shared" si="0"/>
        <v>344.11764705882354</v>
      </c>
      <c r="E8" s="1">
        <v>293.03938381818188</v>
      </c>
    </row>
    <row r="9" spans="1:16" x14ac:dyDescent="0.3">
      <c r="A9">
        <v>191.5</v>
      </c>
      <c r="B9" s="1">
        <f t="shared" ref="B9:B16" si="2">B8+1</f>
        <v>8</v>
      </c>
      <c r="C9" s="1" t="s">
        <v>7</v>
      </c>
      <c r="D9" s="4">
        <f t="shared" si="0"/>
        <v>341.1764705882353</v>
      </c>
      <c r="E9" s="1">
        <v>292.77825490909095</v>
      </c>
    </row>
    <row r="10" spans="1:16" x14ac:dyDescent="0.3">
      <c r="A10">
        <v>193.5</v>
      </c>
      <c r="B10" s="1">
        <f t="shared" si="2"/>
        <v>9</v>
      </c>
      <c r="C10" s="1" t="s">
        <v>8</v>
      </c>
      <c r="D10" s="4">
        <f t="shared" si="0"/>
        <v>336.76470588235293</v>
      </c>
      <c r="E10" s="1">
        <v>307.79738054545459</v>
      </c>
    </row>
    <row r="11" spans="1:16" x14ac:dyDescent="0.3">
      <c r="A11">
        <v>196.5</v>
      </c>
      <c r="B11" s="1">
        <f t="shared" si="2"/>
        <v>10</v>
      </c>
      <c r="C11" s="1" t="s">
        <v>9</v>
      </c>
      <c r="D11" s="4">
        <f t="shared" si="0"/>
        <v>322.05882352941177</v>
      </c>
      <c r="E11" s="1">
        <v>333.91176999999999</v>
      </c>
    </row>
    <row r="12" spans="1:16" x14ac:dyDescent="0.3">
      <c r="A12">
        <v>206.5</v>
      </c>
      <c r="B12" s="1">
        <f t="shared" si="2"/>
        <v>11</v>
      </c>
      <c r="C12" s="1" t="s">
        <v>10</v>
      </c>
      <c r="D12" s="4">
        <f t="shared" si="0"/>
        <v>305.88235294117646</v>
      </c>
      <c r="E12" s="1">
        <v>339.45497963636365</v>
      </c>
    </row>
    <row r="13" spans="1:16" x14ac:dyDescent="0.3">
      <c r="A13">
        <v>217.5</v>
      </c>
      <c r="B13" s="1">
        <f t="shared" si="2"/>
        <v>12</v>
      </c>
      <c r="C13" s="1" t="s">
        <v>11</v>
      </c>
      <c r="D13" s="4">
        <f t="shared" si="0"/>
        <v>308.8235294117647</v>
      </c>
      <c r="E13">
        <v>317.30122999999998</v>
      </c>
    </row>
    <row r="14" spans="1:16" x14ac:dyDescent="0.3">
      <c r="A14">
        <v>215.5</v>
      </c>
      <c r="B14" s="1">
        <f t="shared" si="2"/>
        <v>13</v>
      </c>
      <c r="C14" s="1" t="s">
        <v>12</v>
      </c>
      <c r="D14" s="4">
        <f t="shared" si="0"/>
        <v>302.94117647058823</v>
      </c>
      <c r="E14" s="1">
        <v>287.06348371555561</v>
      </c>
    </row>
    <row r="15" spans="1:16" x14ac:dyDescent="0.3">
      <c r="A15">
        <v>219.5</v>
      </c>
      <c r="B15" s="1">
        <f t="shared" si="2"/>
        <v>14</v>
      </c>
      <c r="C15" s="1" t="s">
        <v>13</v>
      </c>
      <c r="D15" s="4">
        <f t="shared" si="0"/>
        <v>298.52941176470586</v>
      </c>
      <c r="E15">
        <v>256.39958062464649</v>
      </c>
    </row>
    <row r="16" spans="1:16" x14ac:dyDescent="0.3">
      <c r="A16">
        <v>222.5</v>
      </c>
      <c r="B16" s="1">
        <f t="shared" si="2"/>
        <v>15</v>
      </c>
      <c r="C16" s="1" t="s">
        <v>14</v>
      </c>
      <c r="D16" s="4">
        <f t="shared" si="0"/>
        <v>300</v>
      </c>
      <c r="E16">
        <v>251.18069717010101</v>
      </c>
    </row>
    <row r="17" spans="1:4" x14ac:dyDescent="0.3">
      <c r="A17">
        <v>221.5</v>
      </c>
      <c r="B17" s="1"/>
      <c r="C17" s="1"/>
      <c r="D17" s="1"/>
    </row>
    <row r="18" spans="1:4" x14ac:dyDescent="0.3">
      <c r="B18" s="1"/>
      <c r="C18" s="1"/>
      <c r="D18" s="1"/>
    </row>
    <row r="19" spans="1:4" x14ac:dyDescent="0.3">
      <c r="C19" s="1"/>
      <c r="D19" s="2"/>
    </row>
    <row r="20" spans="1:4" x14ac:dyDescent="0.3">
      <c r="C20" s="1"/>
      <c r="D20" s="2"/>
    </row>
    <row r="21" spans="1:4" x14ac:dyDescent="0.3">
      <c r="C21" s="1"/>
      <c r="D21" s="3"/>
    </row>
    <row r="22" spans="1:4" x14ac:dyDescent="0.3">
      <c r="C22" s="1"/>
      <c r="D22" s="3"/>
    </row>
    <row r="23" spans="1:4" x14ac:dyDescent="0.3">
      <c r="C23" s="1"/>
      <c r="D23" s="3"/>
    </row>
    <row r="24" spans="1:4" x14ac:dyDescent="0.3">
      <c r="C24" s="1"/>
      <c r="D24" s="3"/>
    </row>
    <row r="25" spans="1:4" x14ac:dyDescent="0.3">
      <c r="C25" s="1"/>
      <c r="D25" s="3"/>
    </row>
    <row r="26" spans="1:4" x14ac:dyDescent="0.3">
      <c r="C26" s="1"/>
      <c r="D26" s="3"/>
    </row>
    <row r="27" spans="1:4" x14ac:dyDescent="0.3">
      <c r="C27" s="1"/>
      <c r="D27" s="3"/>
    </row>
    <row r="28" spans="1:4" x14ac:dyDescent="0.3">
      <c r="C28" s="1"/>
      <c r="D28" s="3"/>
    </row>
    <row r="29" spans="1:4" x14ac:dyDescent="0.3">
      <c r="C29" s="1"/>
      <c r="D29" s="3"/>
    </row>
    <row r="30" spans="1:4" x14ac:dyDescent="0.3">
      <c r="C30" s="1"/>
      <c r="D30" s="3"/>
    </row>
    <row r="31" spans="1:4" x14ac:dyDescent="0.3">
      <c r="C31" s="1"/>
      <c r="D31" s="3"/>
    </row>
    <row r="32" spans="1:4" x14ac:dyDescent="0.3">
      <c r="C32" s="1"/>
      <c r="D32" s="3"/>
    </row>
    <row r="33" spans="3:4" x14ac:dyDescent="0.3">
      <c r="C33" s="1"/>
      <c r="D33" s="3"/>
    </row>
    <row r="34" spans="3:4" x14ac:dyDescent="0.3">
      <c r="C34" s="1"/>
      <c r="D34" s="3"/>
    </row>
    <row r="35" spans="3:4" x14ac:dyDescent="0.3">
      <c r="C35" s="1"/>
      <c r="D35" s="3"/>
    </row>
    <row r="36" spans="3:4" x14ac:dyDescent="0.3">
      <c r="C36" s="1"/>
      <c r="D36" s="3"/>
    </row>
    <row r="37" spans="3:4" x14ac:dyDescent="0.3">
      <c r="C37" s="1"/>
      <c r="D37" s="3"/>
    </row>
    <row r="38" spans="3:4" x14ac:dyDescent="0.3">
      <c r="C38" s="1"/>
      <c r="D38" s="2"/>
    </row>
    <row r="39" spans="3:4" x14ac:dyDescent="0.3">
      <c r="C39" s="1"/>
      <c r="D39" s="2"/>
    </row>
    <row r="40" spans="3:4" x14ac:dyDescent="0.3">
      <c r="C40" s="1"/>
      <c r="D40" s="2"/>
    </row>
    <row r="41" spans="3:4" x14ac:dyDescent="0.3">
      <c r="C41" s="1"/>
      <c r="D41" s="2"/>
    </row>
    <row r="42" spans="3:4" x14ac:dyDescent="0.3">
      <c r="C42" s="1"/>
      <c r="D42" s="2"/>
    </row>
    <row r="43" spans="3:4" x14ac:dyDescent="0.3">
      <c r="C43" s="1"/>
      <c r="D43" s="2"/>
    </row>
    <row r="44" spans="3:4" x14ac:dyDescent="0.3">
      <c r="C44" s="1"/>
      <c r="D44" s="2"/>
    </row>
    <row r="45" spans="3:4" x14ac:dyDescent="0.3">
      <c r="C45" s="1"/>
      <c r="D45" s="2"/>
    </row>
    <row r="46" spans="3:4" x14ac:dyDescent="0.3">
      <c r="C46" s="1"/>
      <c r="D46" s="2"/>
    </row>
    <row r="47" spans="3:4" x14ac:dyDescent="0.3">
      <c r="C47" s="1"/>
      <c r="D47" s="2"/>
    </row>
    <row r="48" spans="3:4" x14ac:dyDescent="0.3">
      <c r="C48" s="1"/>
      <c r="D48" s="2"/>
    </row>
    <row r="49" spans="3:6" x14ac:dyDescent="0.3">
      <c r="C49" s="1"/>
      <c r="D49" s="2"/>
    </row>
    <row r="50" spans="3:6" x14ac:dyDescent="0.3">
      <c r="C50" s="1"/>
      <c r="D50" s="2"/>
    </row>
    <row r="51" spans="3:6" x14ac:dyDescent="0.3">
      <c r="C51" s="1"/>
      <c r="D51" s="2"/>
    </row>
    <row r="52" spans="3:6" x14ac:dyDescent="0.3">
      <c r="C52" s="1"/>
      <c r="D52" s="2"/>
    </row>
    <row r="53" spans="3:6" x14ac:dyDescent="0.3">
      <c r="C53" s="1"/>
      <c r="D53" s="2"/>
    </row>
    <row r="54" spans="3:6" x14ac:dyDescent="0.3">
      <c r="C54" s="1"/>
      <c r="D54" s="2"/>
    </row>
    <row r="55" spans="3:6" x14ac:dyDescent="0.3">
      <c r="C55" s="1"/>
      <c r="D55" s="2"/>
    </row>
    <row r="56" spans="3:6" x14ac:dyDescent="0.3">
      <c r="C56" s="1"/>
      <c r="D56" s="2"/>
    </row>
    <row r="57" spans="3:6" x14ac:dyDescent="0.3">
      <c r="C57" s="1"/>
      <c r="D57" s="2"/>
    </row>
    <row r="58" spans="3:6" x14ac:dyDescent="0.3">
      <c r="C58" s="1"/>
      <c r="D58" s="2"/>
    </row>
    <row r="59" spans="3:6" x14ac:dyDescent="0.3">
      <c r="C59" s="1"/>
      <c r="D59" s="2"/>
    </row>
    <row r="60" spans="3:6" x14ac:dyDescent="0.3">
      <c r="D60" s="3"/>
      <c r="E60" s="3"/>
      <c r="F60" s="3"/>
    </row>
    <row r="61" spans="3:6" x14ac:dyDescent="0.3">
      <c r="D61" s="3"/>
      <c r="E61" s="3"/>
      <c r="F61" s="3"/>
    </row>
    <row r="62" spans="3:6" x14ac:dyDescent="0.3">
      <c r="D62" s="3"/>
      <c r="E62" s="3"/>
      <c r="F62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Ammonia validation</vt:lpstr>
      <vt:lpstr>Methanol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2022-10-25T13:52:37Z</dcterms:created>
  <dcterms:modified xsi:type="dcterms:W3CDTF">2022-11-01T16:52:51Z</dcterms:modified>
</cp:coreProperties>
</file>