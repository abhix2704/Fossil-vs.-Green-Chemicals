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ompleted projects\Published\Fossil vs. green chemicals\Scripts (Antonio)\"/>
    </mc:Choice>
  </mc:AlternateContent>
  <xr:revisionPtr revIDLastSave="0" documentId="13_ncr:1_{D22C1A65-5885-46DB-8102-D5007A3C6C4B}" xr6:coauthVersionLast="36" xr6:coauthVersionMax="47" xr10:uidLastSave="{00000000-0000-0000-0000-000000000000}"/>
  <bookViews>
    <workbookView xWindow="-105" yWindow="-105" windowWidth="21705" windowHeight="9630" xr2:uid="{00000000-000D-0000-FFFF-FFFF00000000}"/>
  </bookViews>
  <sheets>
    <sheet name="Ammonia" sheetId="1" r:id="rId1"/>
    <sheet name="Ammonia summary" sheetId="12" r:id="rId2"/>
    <sheet name="Methanol" sheetId="4" r:id="rId3"/>
    <sheet name="Methanol summary" sheetId="13" r:id="rId4"/>
    <sheet name="LCOH" sheetId="7" r:id="rId5"/>
    <sheet name="DAC" sheetId="1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9" l="1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I18" i="7"/>
  <c r="E18" i="7"/>
  <c r="I17" i="7"/>
  <c r="E17" i="7"/>
  <c r="H5" i="7"/>
  <c r="G5" i="7"/>
  <c r="F5" i="7"/>
  <c r="H4" i="7"/>
  <c r="G4" i="7"/>
  <c r="F4" i="7"/>
  <c r="E25" i="13"/>
  <c r="D25" i="13"/>
  <c r="C25" i="13"/>
  <c r="A25" i="13"/>
  <c r="E24" i="13"/>
  <c r="D24" i="13"/>
  <c r="C24" i="13"/>
  <c r="A24" i="13"/>
  <c r="E23" i="13"/>
  <c r="D23" i="13"/>
  <c r="C23" i="13"/>
  <c r="A23" i="13"/>
  <c r="E22" i="13"/>
  <c r="D22" i="13"/>
  <c r="C22" i="13"/>
  <c r="A22" i="13"/>
  <c r="E21" i="13"/>
  <c r="D21" i="13"/>
  <c r="C21" i="13"/>
  <c r="A21" i="13"/>
  <c r="E20" i="13"/>
  <c r="D20" i="13"/>
  <c r="C20" i="13"/>
  <c r="A20" i="13"/>
  <c r="E19" i="13"/>
  <c r="D19" i="13"/>
  <c r="C19" i="13"/>
  <c r="A19" i="13"/>
  <c r="E18" i="13"/>
  <c r="D18" i="13"/>
  <c r="C18" i="13"/>
  <c r="A18" i="13"/>
  <c r="E17" i="13"/>
  <c r="D17" i="13"/>
  <c r="C17" i="13"/>
  <c r="A17" i="13"/>
  <c r="E16" i="13"/>
  <c r="D16" i="13"/>
  <c r="C16" i="13"/>
  <c r="A16" i="13"/>
  <c r="E15" i="13"/>
  <c r="D15" i="13"/>
  <c r="C15" i="13"/>
  <c r="A15" i="13"/>
  <c r="E14" i="13"/>
  <c r="D14" i="13"/>
  <c r="C14" i="13"/>
  <c r="A14" i="13"/>
  <c r="E13" i="13"/>
  <c r="D13" i="13"/>
  <c r="C13" i="13"/>
  <c r="A13" i="13"/>
  <c r="E12" i="13"/>
  <c r="D12" i="13"/>
  <c r="C12" i="13"/>
  <c r="A12" i="13"/>
  <c r="E11" i="13"/>
  <c r="D11" i="13"/>
  <c r="C11" i="13"/>
  <c r="A11" i="13"/>
  <c r="E10" i="13"/>
  <c r="D10" i="13"/>
  <c r="C10" i="13"/>
  <c r="A10" i="13"/>
  <c r="E9" i="13"/>
  <c r="D9" i="13"/>
  <c r="C9" i="13"/>
  <c r="A9" i="13"/>
  <c r="E8" i="13"/>
  <c r="D8" i="13"/>
  <c r="C8" i="13"/>
  <c r="A8" i="13"/>
  <c r="E7" i="13"/>
  <c r="D7" i="13"/>
  <c r="C7" i="13"/>
  <c r="A7" i="13"/>
  <c r="E6" i="13"/>
  <c r="D6" i="13"/>
  <c r="C6" i="13"/>
  <c r="A6" i="13"/>
  <c r="E5" i="13"/>
  <c r="D5" i="13"/>
  <c r="C5" i="13"/>
  <c r="A5" i="13"/>
  <c r="E4" i="13"/>
  <c r="D4" i="13"/>
  <c r="C4" i="13"/>
  <c r="A4" i="13"/>
  <c r="E3" i="13"/>
  <c r="D3" i="13"/>
  <c r="C3" i="13"/>
  <c r="A3" i="13"/>
  <c r="E2" i="13"/>
  <c r="D2" i="13"/>
  <c r="C2" i="13"/>
  <c r="A2" i="13"/>
  <c r="C25" i="4"/>
  <c r="B25" i="13" s="1"/>
  <c r="C24" i="4"/>
  <c r="B24" i="13" s="1"/>
  <c r="C23" i="4"/>
  <c r="B23" i="13" s="1"/>
  <c r="C22" i="4"/>
  <c r="B22" i="13" s="1"/>
  <c r="C21" i="4"/>
  <c r="B21" i="13" s="1"/>
  <c r="C20" i="4"/>
  <c r="B20" i="13" s="1"/>
  <c r="C19" i="4"/>
  <c r="B19" i="13" s="1"/>
  <c r="C18" i="4"/>
  <c r="B18" i="13" s="1"/>
  <c r="C17" i="4"/>
  <c r="B17" i="13" s="1"/>
  <c r="C16" i="4"/>
  <c r="B16" i="13" s="1"/>
  <c r="C15" i="4"/>
  <c r="B15" i="13" s="1"/>
  <c r="C14" i="4"/>
  <c r="B14" i="13" s="1"/>
  <c r="C13" i="4"/>
  <c r="B13" i="13" s="1"/>
  <c r="C12" i="4"/>
  <c r="B12" i="13" s="1"/>
  <c r="C11" i="4"/>
  <c r="B11" i="13" s="1"/>
  <c r="C10" i="4"/>
  <c r="B10" i="13" s="1"/>
  <c r="C9" i="4"/>
  <c r="B9" i="13" s="1"/>
  <c r="C8" i="4"/>
  <c r="B8" i="13" s="1"/>
  <c r="C7" i="4"/>
  <c r="B7" i="13" s="1"/>
  <c r="C6" i="4"/>
  <c r="B6" i="13" s="1"/>
  <c r="C5" i="4"/>
  <c r="B5" i="13" s="1"/>
  <c r="C4" i="4"/>
  <c r="B4" i="13" s="1"/>
  <c r="C3" i="4"/>
  <c r="B3" i="13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C2" i="4"/>
  <c r="B2" i="13" s="1"/>
  <c r="E25" i="12"/>
  <c r="D25" i="12"/>
  <c r="C25" i="12"/>
  <c r="B25" i="12"/>
  <c r="A25" i="12"/>
  <c r="E24" i="12"/>
  <c r="D24" i="12"/>
  <c r="C24" i="12"/>
  <c r="B24" i="12"/>
  <c r="A24" i="12"/>
  <c r="E23" i="12"/>
  <c r="D23" i="12"/>
  <c r="C23" i="12"/>
  <c r="B23" i="12"/>
  <c r="A23" i="12"/>
  <c r="E22" i="12"/>
  <c r="D22" i="12"/>
  <c r="C22" i="12"/>
  <c r="B22" i="12"/>
  <c r="A22" i="12"/>
  <c r="E21" i="12"/>
  <c r="D21" i="12"/>
  <c r="C21" i="12"/>
  <c r="B21" i="12"/>
  <c r="A21" i="12"/>
  <c r="E20" i="12"/>
  <c r="D20" i="12"/>
  <c r="C20" i="12"/>
  <c r="B20" i="12"/>
  <c r="A20" i="12"/>
  <c r="E19" i="12"/>
  <c r="D19" i="12"/>
  <c r="C19" i="12"/>
  <c r="B19" i="12"/>
  <c r="A19" i="12"/>
  <c r="E18" i="12"/>
  <c r="D18" i="12"/>
  <c r="C18" i="12"/>
  <c r="B18" i="12"/>
  <c r="A18" i="12"/>
  <c r="E17" i="12"/>
  <c r="D17" i="12"/>
  <c r="C17" i="12"/>
  <c r="B17" i="12"/>
  <c r="A17" i="12"/>
  <c r="E16" i="12"/>
  <c r="D16" i="12"/>
  <c r="C16" i="12"/>
  <c r="B16" i="12"/>
  <c r="A16" i="12"/>
  <c r="E15" i="12"/>
  <c r="D15" i="12"/>
  <c r="C15" i="12"/>
  <c r="B15" i="12"/>
  <c r="A15" i="12"/>
  <c r="E14" i="12"/>
  <c r="D14" i="12"/>
  <c r="C14" i="12"/>
  <c r="B14" i="12"/>
  <c r="A14" i="12"/>
  <c r="E13" i="12"/>
  <c r="D13" i="12"/>
  <c r="C13" i="12"/>
  <c r="B13" i="12"/>
  <c r="A13" i="12"/>
  <c r="E12" i="12"/>
  <c r="D12" i="12"/>
  <c r="C12" i="12"/>
  <c r="B12" i="12"/>
  <c r="A12" i="12"/>
  <c r="E11" i="12"/>
  <c r="D11" i="12"/>
  <c r="C11" i="12"/>
  <c r="B11" i="12"/>
  <c r="A11" i="12"/>
  <c r="E10" i="12"/>
  <c r="D10" i="12"/>
  <c r="C10" i="12"/>
  <c r="B10" i="12"/>
  <c r="A10" i="12"/>
  <c r="E9" i="12"/>
  <c r="D9" i="12"/>
  <c r="C9" i="12"/>
  <c r="B9" i="12"/>
  <c r="A9" i="12"/>
  <c r="E8" i="12"/>
  <c r="D8" i="12"/>
  <c r="C8" i="12"/>
  <c r="B8" i="12"/>
  <c r="A8" i="12"/>
  <c r="E7" i="12"/>
  <c r="D7" i="12"/>
  <c r="C7" i="12"/>
  <c r="B7" i="12"/>
  <c r="A7" i="12"/>
  <c r="E6" i="12"/>
  <c r="D6" i="12"/>
  <c r="C6" i="12"/>
  <c r="B6" i="12"/>
  <c r="A6" i="12"/>
  <c r="E5" i="12"/>
  <c r="D5" i="12"/>
  <c r="C5" i="12"/>
  <c r="B5" i="12"/>
  <c r="A5" i="12"/>
  <c r="E4" i="12"/>
  <c r="D4" i="12"/>
  <c r="C4" i="12"/>
  <c r="B4" i="12"/>
  <c r="A4" i="12"/>
  <c r="E3" i="12"/>
  <c r="D3" i="12"/>
  <c r="C3" i="12"/>
  <c r="B3" i="12"/>
  <c r="A3" i="12"/>
  <c r="E2" i="12"/>
  <c r="D2" i="12"/>
  <c r="C2" i="12"/>
  <c r="B2" i="12"/>
  <c r="A2" i="1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<sst xmlns="http://schemas.openxmlformats.org/spreadsheetml/2006/main" count="127" uniqueCount="49">
  <si>
    <t>NG price</t>
  </si>
  <si>
    <t>Wind</t>
  </si>
  <si>
    <t>BAU</t>
  </si>
  <si>
    <t>DAC + wind</t>
  </si>
  <si>
    <t>Solar</t>
  </si>
  <si>
    <t>DAC + solar</t>
  </si>
  <si>
    <t>Time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</si>
  <si>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</si>
  <si>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</si>
  <si>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</si>
  <si>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</si>
  <si>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</si>
  <si>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</si>
  <si>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</si>
  <si>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</si>
  <si>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</si>
  <si>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Average</t>
  </si>
  <si>
    <t>Low</t>
  </si>
  <si>
    <t>High</t>
  </si>
  <si>
    <t>Wind - on shore</t>
  </si>
  <si>
    <t>Solar PV</t>
  </si>
  <si>
    <t>CF</t>
  </si>
  <si>
    <t xml:space="preserve">IRENA </t>
  </si>
  <si>
    <t>CEPCI 2019</t>
  </si>
  <si>
    <t>CEPCI 2020</t>
  </si>
  <si>
    <t>CEPCI 2021</t>
  </si>
  <si>
    <t>CEPCI 2022</t>
  </si>
  <si>
    <t>LCOE USD/kWh</t>
  </si>
  <si>
    <t>Hydrogen USD/kg</t>
  </si>
  <si>
    <t>Index</t>
  </si>
  <si>
    <t>Electricity</t>
  </si>
  <si>
    <t>Natural gas</t>
  </si>
  <si>
    <t>Oct '22</t>
  </si>
  <si>
    <t>Nov '22</t>
  </si>
  <si>
    <t>Dec '22</t>
  </si>
  <si>
    <t>Jan '23</t>
  </si>
  <si>
    <t>Feb '23</t>
  </si>
  <si>
    <t>Mar '23</t>
  </si>
  <si>
    <t>Apr '23</t>
  </si>
  <si>
    <t>May '23</t>
  </si>
  <si>
    <t>Jun '23</t>
  </si>
  <si>
    <t>Jul '23</t>
  </si>
  <si>
    <t>Aug '23</t>
  </si>
  <si>
    <t>Sep '23</t>
  </si>
  <si>
    <t>Oct '23</t>
  </si>
  <si>
    <t>Nov '23</t>
  </si>
  <si>
    <t>Dec '23</t>
  </si>
  <si>
    <t>CEPCI 2023</t>
  </si>
  <si>
    <t>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</si>
</sst>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00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&quot;$&quot;#,##0\ ;\(&quot;$&quot;#,##0\)"/>
    <numFmt numFmtId="169" formatCode="#,##0."/>
    <numFmt numFmtId="170" formatCode="#."/>
    <numFmt numFmtId="171" formatCode="#,###;\(#,###\);\-\-\-\-"/>
    <numFmt numFmtId="172" formatCode="0.0%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/>
      <sz val="1"/>
      <color indexed="8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"/>
      <color indexed="8"/>
      <name val="Courier"/>
      <family val="3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23"/>
      <name val="Arial"/>
      <family val="2"/>
    </font>
    <font>
      <b/>
      <sz val="8"/>
      <color indexed="39"/>
      <name val="Arial"/>
      <family val="2"/>
    </font>
    <font>
      <sz val="10"/>
      <color indexed="56"/>
      <name val="Times New Roman"/>
      <family val="1"/>
    </font>
    <font>
      <sz val="12"/>
      <color indexed="56"/>
      <name val="Times New Roman"/>
      <family val="1"/>
    </font>
    <font>
      <sz val="12"/>
      <color indexed="9"/>
      <name val="Times New Roman"/>
      <family val="1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sz val="11"/>
      <color indexed="56"/>
      <name val="Times New Roman"/>
      <family val="1"/>
    </font>
    <font>
      <b/>
      <sz val="10"/>
      <color indexed="8"/>
      <name val="Arial"/>
      <family val="2"/>
    </font>
    <font>
      <b/>
      <sz val="10"/>
      <color indexed="56"/>
      <name val="Times New Roman"/>
      <family val="1"/>
    </font>
    <font>
      <sz val="12"/>
      <color indexed="62"/>
      <name val="Times New Roman"/>
      <family val="1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b/>
      <sz val="10"/>
      <color indexed="9"/>
      <name val="Arial"/>
      <family val="2"/>
    </font>
    <font>
      <b/>
      <sz val="10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8"/>
      <color indexed="3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8"/>
      <color indexed="10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sz val="18"/>
      <color theme="3"/>
      <name val="Calibri Light"/>
      <family val="2"/>
      <scheme val="major"/>
    </font>
    <font>
      <sz val="8"/>
      <color indexed="10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56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</borders>
  <cellStyleXfs count="339">
    <xf numFmtId="0" fontId="0" fillId="0" borderId="0"/>
    <xf numFmtId="0" fontId="2" fillId="0" borderId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5" applyNumberFormat="0" applyAlignment="0" applyProtection="0"/>
    <xf numFmtId="0" fontId="9" fillId="6" borderId="6" applyNumberFormat="0" applyAlignment="0" applyProtection="0"/>
    <xf numFmtId="0" fontId="10" fillId="6" borderId="5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0" borderId="0"/>
    <xf numFmtId="3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9" fontId="17" fillId="0" borderId="0">
      <protection locked="0"/>
    </xf>
    <xf numFmtId="169" fontId="18" fillId="0" borderId="0">
      <protection locked="0"/>
    </xf>
    <xf numFmtId="169" fontId="19" fillId="0" borderId="0">
      <protection locked="0"/>
    </xf>
    <xf numFmtId="169" fontId="19" fillId="0" borderId="0">
      <protection locked="0"/>
    </xf>
    <xf numFmtId="169" fontId="18" fillId="0" borderId="0">
      <protection locked="0"/>
    </xf>
    <xf numFmtId="169" fontId="20" fillId="0" borderId="0">
      <protection locked="0"/>
    </xf>
    <xf numFmtId="169" fontId="18" fillId="0" borderId="0">
      <protection locked="0"/>
    </xf>
    <xf numFmtId="2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0" fontId="19" fillId="0" borderId="0">
      <protection locked="0"/>
    </xf>
    <xf numFmtId="170" fontId="19" fillId="0" borderId="0">
      <protection locked="0"/>
    </xf>
    <xf numFmtId="9" fontId="16" fillId="0" borderId="0" applyFont="0" applyFill="0" applyBorder="0" applyAlignment="0" applyProtection="0"/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0" fontId="48" fillId="0" borderId="0" applyNumberFormat="0" applyFill="0" applyBorder="0" applyAlignment="0" applyProtection="0"/>
    <xf numFmtId="0" fontId="49" fillId="0" borderId="0" applyNumberFormat="0" applyFill="0" applyBorder="0" applyProtection="0">
      <alignment horizontal="center"/>
    </xf>
    <xf numFmtId="0" fontId="48" fillId="0" borderId="0" applyNumberFormat="0" applyFill="0" applyBorder="0" applyProtection="0">
      <alignment horizontal="center"/>
    </xf>
    <xf numFmtId="0" fontId="4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33" borderId="0" applyNumberFormat="0" applyProtection="0">
      <alignment horizontal="left" vertical="center"/>
    </xf>
    <xf numFmtId="171" fontId="26" fillId="33" borderId="0" applyProtection="0">
      <alignment horizontal="right" vertical="center"/>
    </xf>
    <xf numFmtId="0" fontId="27" fillId="33" borderId="0" applyNumberFormat="0" applyProtection="0">
      <alignment horizontal="left" vertical="center"/>
    </xf>
    <xf numFmtId="0" fontId="28" fillId="33" borderId="0" applyNumberFormat="0" applyProtection="0">
      <alignment horizontal="center" vertical="center"/>
    </xf>
    <xf numFmtId="4" fontId="29" fillId="33" borderId="0" applyProtection="0">
      <alignment horizontal="center" vertical="center"/>
    </xf>
    <xf numFmtId="0" fontId="30" fillId="34" borderId="0" applyNumberFormat="0" applyProtection="0">
      <alignment horizontal="center" vertical="center"/>
    </xf>
    <xf numFmtId="4" fontId="31" fillId="34" borderId="0" applyProtection="0">
      <alignment horizontal="center" vertical="center"/>
    </xf>
    <xf numFmtId="0" fontId="23" fillId="33" borderId="0" applyNumberFormat="0" applyProtection="0">
      <alignment horizontal="center" vertical="center"/>
    </xf>
    <xf numFmtId="4" fontId="32" fillId="33" borderId="0" applyProtection="0">
      <alignment horizontal="center" vertical="center"/>
    </xf>
    <xf numFmtId="0" fontId="33" fillId="35" borderId="0" applyNumberFormat="0" applyProtection="0">
      <alignment horizontal="center" vertical="center"/>
    </xf>
    <xf numFmtId="4" fontId="34" fillId="35" borderId="0" applyProtection="0">
      <alignment horizontal="center" vertical="center"/>
    </xf>
    <xf numFmtId="0" fontId="35" fillId="33" borderId="0" applyNumberFormat="0" applyProtection="0">
      <alignment horizontal="left" vertical="center"/>
    </xf>
    <xf numFmtId="0" fontId="36" fillId="33" borderId="0" applyNumberFormat="0" applyProtection="0">
      <alignment horizontal="center" vertical="center" wrapText="1"/>
    </xf>
    <xf numFmtId="0" fontId="37" fillId="33" borderId="0" applyNumberFormat="0" applyProtection="0">
      <alignment horizontal="left" vertical="center"/>
    </xf>
    <xf numFmtId="171" fontId="26" fillId="33" borderId="11" applyProtection="0">
      <alignment horizontal="right" vertical="center"/>
    </xf>
    <xf numFmtId="0" fontId="38" fillId="33" borderId="0" applyNumberFormat="0" applyProtection="0">
      <alignment horizontal="left" vertical="center"/>
    </xf>
    <xf numFmtId="0" fontId="39" fillId="34" borderId="0" applyNumberFormat="0" applyProtection="0">
      <alignment horizontal="center" vertical="center" wrapText="1"/>
    </xf>
    <xf numFmtId="0" fontId="40" fillId="33" borderId="0" applyNumberFormat="0" applyProtection="0">
      <alignment horizontal="center" vertical="center" wrapText="1"/>
    </xf>
    <xf numFmtId="0" fontId="36" fillId="33" borderId="0" applyNumberFormat="0" applyProtection="0">
      <alignment horizontal="center" vertical="center" wrapText="1"/>
    </xf>
    <xf numFmtId="0" fontId="41" fillId="35" borderId="0" applyNumberFormat="0" applyProtection="0">
      <alignment horizontal="center" vertical="center" wrapText="1"/>
    </xf>
    <xf numFmtId="0" fontId="42" fillId="33" borderId="0" applyNumberFormat="0" applyProtection="0">
      <alignment horizontal="center" vertical="center" wrapText="1"/>
    </xf>
    <xf numFmtId="0" fontId="36" fillId="36" borderId="0" applyNumberFormat="0" applyProtection="0">
      <alignment horizontal="center" vertical="center" wrapText="1"/>
    </xf>
    <xf numFmtId="0" fontId="39" fillId="34" borderId="0" applyNumberFormat="0" applyProtection="0">
      <alignment horizontal="center" vertical="center" wrapText="1"/>
    </xf>
    <xf numFmtId="4" fontId="43" fillId="34" borderId="0" applyProtection="0">
      <alignment horizontal="center" vertical="top" wrapText="1"/>
    </xf>
    <xf numFmtId="0" fontId="40" fillId="33" borderId="0" applyNumberFormat="0" applyProtection="0">
      <alignment horizontal="center" vertical="center" wrapText="1"/>
    </xf>
    <xf numFmtId="4" fontId="44" fillId="33" borderId="0" applyProtection="0">
      <alignment horizontal="center" vertical="top" wrapText="1"/>
    </xf>
    <xf numFmtId="0" fontId="41" fillId="35" borderId="0" applyNumberFormat="0" applyProtection="0">
      <alignment horizontal="center" vertical="center" wrapText="1"/>
    </xf>
    <xf numFmtId="4" fontId="45" fillId="35" borderId="0" applyProtection="0">
      <alignment horizontal="center" vertical="top" wrapText="1"/>
    </xf>
    <xf numFmtId="0" fontId="36" fillId="36" borderId="0" applyNumberFormat="0" applyProtection="0">
      <alignment horizontal="center" vertical="center" wrapText="1"/>
    </xf>
    <xf numFmtId="4" fontId="46" fillId="36" borderId="0" applyProtection="0">
      <alignment horizontal="center" vertical="top" wrapText="1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17" fontId="23" fillId="33" borderId="0" applyProtection="0">
      <alignment horizontal="center" vertical="center"/>
    </xf>
    <xf numFmtId="0" fontId="16" fillId="0" borderId="12" applyNumberFormat="0" applyFont="0" applyFill="0" applyAlignment="0" applyProtection="0"/>
    <xf numFmtId="167" fontId="16" fillId="0" borderId="0" applyFont="0" applyFill="0" applyBorder="0" applyAlignment="0" applyProtection="0"/>
    <xf numFmtId="0" fontId="50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Protection="0">
      <alignment horizontal="center"/>
    </xf>
    <xf numFmtId="0" fontId="48" fillId="0" borderId="0" applyNumberFormat="0" applyFill="0" applyBorder="0" applyProtection="0">
      <alignment horizontal="center"/>
    </xf>
    <xf numFmtId="0" fontId="48" fillId="38" borderId="0" applyNumberFormat="0" applyBorder="0" applyAlignment="0" applyProtection="0"/>
    <xf numFmtId="0" fontId="4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37" borderId="0" applyNumberFormat="0" applyBorder="0" applyAlignment="0" applyProtection="0"/>
    <xf numFmtId="0" fontId="52" fillId="0" borderId="0" applyNumberFormat="0" applyFill="0" applyBorder="0" applyAlignment="0" applyProtection="0"/>
    <xf numFmtId="0" fontId="53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38" borderId="0" applyNumberFormat="0" applyBorder="0" applyAlignment="0" applyProtection="0"/>
    <xf numFmtId="0" fontId="48" fillId="43" borderId="0" applyNumberFormat="0" applyBorder="0" applyAlignment="0" applyProtection="0"/>
    <xf numFmtId="172" fontId="1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2" fillId="8" borderId="9" applyNumberFormat="0" applyFont="0" applyAlignment="0" applyProtection="0"/>
    <xf numFmtId="0" fontId="1" fillId="0" borderId="10" applyNumberFormat="0" applyFill="0" applyAlignment="0" applyProtection="0"/>
    <xf numFmtId="172" fontId="16" fillId="0" borderId="0" applyFont="0" applyFill="0" applyBorder="0" applyAlignment="0" applyProtection="0"/>
    <xf numFmtId="0" fontId="2" fillId="8" borderId="9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" fontId="47" fillId="0" borderId="0" applyFill="0" applyBorder="0" applyAlignment="0" applyProtection="0"/>
    <xf numFmtId="4" fontId="55" fillId="37" borderId="0" applyBorder="0" applyAlignment="0" applyProtection="0"/>
    <xf numFmtId="4" fontId="49" fillId="43" borderId="0" applyBorder="0" applyAlignment="0" applyProtection="0"/>
    <xf numFmtId="0" fontId="56" fillId="0" borderId="13" applyNumberFormat="0" applyFont="0" applyProtection="0">
      <alignment wrapText="1"/>
    </xf>
    <xf numFmtId="0" fontId="16" fillId="0" borderId="0"/>
    <xf numFmtId="0" fontId="2" fillId="0" borderId="14"/>
    <xf numFmtId="0" fontId="5" fillId="0" borderId="14" applyNumberFormat="0" applyFill="0" applyBorder="0" applyAlignment="0" applyProtection="0"/>
    <xf numFmtId="0" fontId="6" fillId="2" borderId="14" applyNumberFormat="0" applyBorder="0" applyAlignment="0" applyProtection="0"/>
    <xf numFmtId="0" fontId="7" fillId="3" borderId="14" applyNumberFormat="0" applyBorder="0" applyAlignment="0" applyProtection="0"/>
    <xf numFmtId="0" fontId="13" fillId="0" borderId="14" applyNumberFormat="0" applyFill="0" applyBorder="0" applyAlignment="0" applyProtection="0"/>
    <xf numFmtId="0" fontId="14" fillId="0" borderId="14" applyNumberFormat="0" applyFill="0" applyBorder="0" applyAlignment="0" applyProtection="0"/>
    <xf numFmtId="0" fontId="15" fillId="9" borderId="14" applyNumberFormat="0" applyBorder="0" applyAlignment="0" applyProtection="0"/>
    <xf numFmtId="0" fontId="2" fillId="44" borderId="14" applyNumberFormat="0" applyBorder="0" applyAlignment="0" applyProtection="0"/>
    <xf numFmtId="0" fontId="2" fillId="45" borderId="14" applyNumberFormat="0" applyBorder="0" applyAlignment="0" applyProtection="0"/>
    <xf numFmtId="0" fontId="15" fillId="13" borderId="14" applyNumberFormat="0" applyBorder="0" applyAlignment="0" applyProtection="0"/>
    <xf numFmtId="0" fontId="2" fillId="46" borderId="14" applyNumberFormat="0" applyBorder="0" applyAlignment="0" applyProtection="0"/>
    <xf numFmtId="0" fontId="2" fillId="47" borderId="14" applyNumberFormat="0" applyBorder="0" applyAlignment="0" applyProtection="0"/>
    <xf numFmtId="0" fontId="15" fillId="17" borderId="14" applyNumberFormat="0" applyBorder="0" applyAlignment="0" applyProtection="0"/>
    <xf numFmtId="0" fontId="2" fillId="48" borderId="14" applyNumberFormat="0" applyBorder="0" applyAlignment="0" applyProtection="0"/>
    <xf numFmtId="0" fontId="2" fillId="49" borderId="14" applyNumberFormat="0" applyBorder="0" applyAlignment="0" applyProtection="0"/>
    <xf numFmtId="0" fontId="15" fillId="21" borderId="14" applyNumberFormat="0" applyBorder="0" applyAlignment="0" applyProtection="0"/>
    <xf numFmtId="0" fontId="2" fillId="50" borderId="14" applyNumberFormat="0" applyBorder="0" applyAlignment="0" applyProtection="0"/>
    <xf numFmtId="0" fontId="2" fillId="51" borderId="14" applyNumberFormat="0" applyBorder="0" applyAlignment="0" applyProtection="0"/>
    <xf numFmtId="0" fontId="15" fillId="25" borderId="14" applyNumberFormat="0" applyBorder="0" applyAlignment="0" applyProtection="0"/>
    <xf numFmtId="0" fontId="2" fillId="52" borderId="14" applyNumberFormat="0" applyBorder="0" applyAlignment="0" applyProtection="0"/>
    <xf numFmtId="0" fontId="2" fillId="53" borderId="14" applyNumberFormat="0" applyBorder="0" applyAlignment="0" applyProtection="0"/>
    <xf numFmtId="0" fontId="15" fillId="29" borderId="14" applyNumberFormat="0" applyBorder="0" applyAlignment="0" applyProtection="0"/>
    <xf numFmtId="0" fontId="2" fillId="54" borderId="14" applyNumberFormat="0" applyBorder="0" applyAlignment="0" applyProtection="0"/>
    <xf numFmtId="0" fontId="2" fillId="55" borderId="14" applyNumberFormat="0" applyBorder="0" applyAlignment="0" applyProtection="0"/>
    <xf numFmtId="0" fontId="16" fillId="0" borderId="14"/>
    <xf numFmtId="3" fontId="16" fillId="0" borderId="14" applyFont="0" applyFill="0" applyBorder="0" applyAlignment="0" applyProtection="0"/>
    <xf numFmtId="166" fontId="16" fillId="0" borderId="14" applyFont="0" applyFill="0" applyBorder="0" applyAlignment="0" applyProtection="0"/>
    <xf numFmtId="166" fontId="16" fillId="0" borderId="14" applyFont="0" applyFill="0" applyBorder="0" applyAlignment="0" applyProtection="0"/>
    <xf numFmtId="168" fontId="16" fillId="0" borderId="14" applyFont="0" applyFill="0" applyBorder="0" applyAlignment="0" applyProtection="0"/>
    <xf numFmtId="0" fontId="16" fillId="0" borderId="14" applyFont="0" applyFill="0" applyBorder="0" applyAlignment="0" applyProtection="0"/>
    <xf numFmtId="169" fontId="17" fillId="0" borderId="14">
      <protection locked="0"/>
    </xf>
    <xf numFmtId="169" fontId="18" fillId="0" borderId="14">
      <protection locked="0"/>
    </xf>
    <xf numFmtId="169" fontId="19" fillId="0" borderId="14">
      <protection locked="0"/>
    </xf>
    <xf numFmtId="169" fontId="19" fillId="0" borderId="14">
      <protection locked="0"/>
    </xf>
    <xf numFmtId="169" fontId="18" fillId="0" borderId="14">
      <protection locked="0"/>
    </xf>
    <xf numFmtId="169" fontId="20" fillId="0" borderId="14">
      <protection locked="0"/>
    </xf>
    <xf numFmtId="169" fontId="18" fillId="0" borderId="14">
      <protection locked="0"/>
    </xf>
    <xf numFmtId="2" fontId="16" fillId="0" borderId="14" applyFont="0" applyFill="0" applyBorder="0" applyAlignment="0" applyProtection="0"/>
    <xf numFmtId="0" fontId="21" fillId="0" borderId="14" applyNumberFormat="0" applyFill="0" applyBorder="0" applyAlignment="0" applyProtection="0"/>
    <xf numFmtId="0" fontId="22" fillId="0" borderId="14" applyNumberFormat="0" applyFill="0" applyBorder="0" applyAlignment="0" applyProtection="0"/>
    <xf numFmtId="170" fontId="19" fillId="0" borderId="14">
      <protection locked="0"/>
    </xf>
    <xf numFmtId="170" fontId="19" fillId="0" borderId="14">
      <protection locked="0"/>
    </xf>
    <xf numFmtId="9" fontId="16" fillId="0" borderId="14" applyFont="0" applyFill="0" applyBorder="0" applyAlignment="0" applyProtection="0"/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0" fontId="48" fillId="0" borderId="14" applyNumberFormat="0" applyFill="0" applyBorder="0" applyAlignment="0" applyProtection="0"/>
    <xf numFmtId="0" fontId="49" fillId="0" borderId="14" applyNumberFormat="0" applyFill="0" applyBorder="0" applyProtection="0">
      <alignment horizontal="center"/>
    </xf>
    <xf numFmtId="0" fontId="48" fillId="0" borderId="14" applyNumberFormat="0" applyFill="0" applyBorder="0" applyProtection="0">
      <alignment horizontal="center"/>
    </xf>
    <xf numFmtId="0" fontId="48" fillId="0" borderId="14" applyNumberFormat="0" applyFill="0" applyBorder="0" applyAlignment="0" applyProtection="0"/>
    <xf numFmtId="0" fontId="24" fillId="0" borderId="14" applyNumberFormat="0" applyFill="0" applyBorder="0" applyAlignment="0" applyProtection="0"/>
    <xf numFmtId="0" fontId="25" fillId="33" borderId="14" applyNumberFormat="0" applyProtection="0">
      <alignment horizontal="left" vertical="center"/>
    </xf>
    <xf numFmtId="171" fontId="26" fillId="33" borderId="14" applyProtection="0">
      <alignment horizontal="right" vertical="center"/>
    </xf>
    <xf numFmtId="0" fontId="27" fillId="33" borderId="14" applyNumberFormat="0" applyProtection="0">
      <alignment horizontal="left" vertical="center"/>
    </xf>
    <xf numFmtId="0" fontId="28" fillId="33" borderId="14" applyNumberFormat="0" applyProtection="0">
      <alignment horizontal="center" vertical="center"/>
    </xf>
    <xf numFmtId="4" fontId="29" fillId="33" borderId="14" applyProtection="0">
      <alignment horizontal="center" vertical="center"/>
    </xf>
    <xf numFmtId="0" fontId="30" fillId="34" borderId="14" applyNumberFormat="0" applyProtection="0">
      <alignment horizontal="center" vertical="center"/>
    </xf>
    <xf numFmtId="4" fontId="31" fillId="34" borderId="14" applyProtection="0">
      <alignment horizontal="center" vertical="center"/>
    </xf>
    <xf numFmtId="0" fontId="23" fillId="33" borderId="14" applyNumberFormat="0" applyProtection="0">
      <alignment horizontal="center" vertical="center"/>
    </xf>
    <xf numFmtId="4" fontId="32" fillId="33" borderId="14" applyProtection="0">
      <alignment horizontal="center" vertical="center"/>
    </xf>
    <xf numFmtId="0" fontId="33" fillId="35" borderId="14" applyNumberFormat="0" applyProtection="0">
      <alignment horizontal="center" vertical="center"/>
    </xf>
    <xf numFmtId="4" fontId="34" fillId="35" borderId="14" applyProtection="0">
      <alignment horizontal="center" vertical="center"/>
    </xf>
    <xf numFmtId="0" fontId="35" fillId="33" borderId="14" applyNumberFormat="0" applyProtection="0">
      <alignment horizontal="left" vertical="center"/>
    </xf>
    <xf numFmtId="0" fontId="36" fillId="33" borderId="14" applyNumberFormat="0" applyProtection="0">
      <alignment horizontal="center" vertical="center" wrapText="1"/>
    </xf>
    <xf numFmtId="0" fontId="37" fillId="33" borderId="14" applyNumberFormat="0" applyProtection="0">
      <alignment horizontal="left" vertical="center"/>
    </xf>
    <xf numFmtId="0" fontId="38" fillId="33" borderId="14" applyNumberFormat="0" applyProtection="0">
      <alignment horizontal="left" vertical="center"/>
    </xf>
    <xf numFmtId="0" fontId="39" fillId="34" borderId="14" applyNumberFormat="0" applyProtection="0">
      <alignment horizontal="center" vertical="center" wrapText="1"/>
    </xf>
    <xf numFmtId="0" fontId="40" fillId="33" borderId="14" applyNumberFormat="0" applyProtection="0">
      <alignment horizontal="center" vertical="center" wrapText="1"/>
    </xf>
    <xf numFmtId="0" fontId="36" fillId="33" borderId="14" applyNumberFormat="0" applyProtection="0">
      <alignment horizontal="center" vertical="center" wrapText="1"/>
    </xf>
    <xf numFmtId="0" fontId="41" fillId="35" borderId="14" applyNumberFormat="0" applyProtection="0">
      <alignment horizontal="center" vertical="center" wrapText="1"/>
    </xf>
    <xf numFmtId="0" fontId="42" fillId="33" borderId="14" applyNumberFormat="0" applyProtection="0">
      <alignment horizontal="center" vertical="center" wrapText="1"/>
    </xf>
    <xf numFmtId="0" fontId="36" fillId="36" borderId="14" applyNumberFormat="0" applyProtection="0">
      <alignment horizontal="center" vertical="center" wrapText="1"/>
    </xf>
    <xf numFmtId="0" fontId="39" fillId="34" borderId="14" applyNumberFormat="0" applyProtection="0">
      <alignment horizontal="center" vertical="center" wrapText="1"/>
    </xf>
    <xf numFmtId="4" fontId="43" fillId="34" borderId="14" applyProtection="0">
      <alignment horizontal="center" vertical="top" wrapText="1"/>
    </xf>
    <xf numFmtId="0" fontId="40" fillId="33" borderId="14" applyNumberFormat="0" applyProtection="0">
      <alignment horizontal="center" vertical="center" wrapText="1"/>
    </xf>
    <xf numFmtId="4" fontId="44" fillId="33" borderId="14" applyProtection="0">
      <alignment horizontal="center" vertical="top" wrapText="1"/>
    </xf>
    <xf numFmtId="0" fontId="41" fillId="35" borderId="14" applyNumberFormat="0" applyProtection="0">
      <alignment horizontal="center" vertical="center" wrapText="1"/>
    </xf>
    <xf numFmtId="4" fontId="45" fillId="35" borderId="14" applyProtection="0">
      <alignment horizontal="center" vertical="top" wrapText="1"/>
    </xf>
    <xf numFmtId="0" fontId="36" fillId="36" borderId="14" applyNumberFormat="0" applyProtection="0">
      <alignment horizontal="center" vertical="center" wrapText="1"/>
    </xf>
    <xf numFmtId="4" fontId="46" fillId="36" borderId="14" applyProtection="0">
      <alignment horizontal="center" vertical="top" wrapText="1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17" fontId="23" fillId="33" borderId="14" applyProtection="0">
      <alignment horizontal="center" vertical="center"/>
    </xf>
    <xf numFmtId="0" fontId="2" fillId="0" borderId="14"/>
    <xf numFmtId="167" fontId="16" fillId="0" borderId="14" applyFont="0" applyFill="0" applyBorder="0" applyAlignment="0" applyProtection="0"/>
    <xf numFmtId="0" fontId="50" fillId="4" borderId="14" applyNumberFormat="0" applyBorder="0" applyAlignment="0" applyProtection="0"/>
    <xf numFmtId="0" fontId="15" fillId="12" borderId="14" applyNumberFormat="0" applyBorder="0" applyAlignment="0" applyProtection="0"/>
    <xf numFmtId="0" fontId="15" fillId="16" borderId="14" applyNumberFormat="0" applyBorder="0" applyAlignment="0" applyProtection="0"/>
    <xf numFmtId="0" fontId="15" fillId="20" borderId="14" applyNumberFormat="0" applyBorder="0" applyAlignment="0" applyProtection="0"/>
    <xf numFmtId="0" fontId="15" fillId="24" borderId="14" applyNumberFormat="0" applyBorder="0" applyAlignment="0" applyProtection="0"/>
    <xf numFmtId="0" fontId="15" fillId="28" borderId="14" applyNumberFormat="0" applyBorder="0" applyAlignment="0" applyProtection="0"/>
    <xf numFmtId="0" fontId="15" fillId="32" borderId="14" applyNumberFormat="0" applyBorder="0" applyAlignment="0" applyProtection="0"/>
    <xf numFmtId="0" fontId="49" fillId="0" borderId="14" applyNumberFormat="0" applyFill="0" applyBorder="0" applyAlignment="0" applyProtection="0"/>
    <xf numFmtId="0" fontId="48" fillId="0" borderId="14" applyNumberFormat="0" applyFill="0" applyBorder="0" applyAlignment="0" applyProtection="0"/>
    <xf numFmtId="0" fontId="49" fillId="0" borderId="14" applyNumberFormat="0" applyFill="0" applyBorder="0" applyProtection="0">
      <alignment horizontal="center"/>
    </xf>
    <xf numFmtId="0" fontId="48" fillId="0" borderId="14" applyNumberFormat="0" applyFill="0" applyBorder="0" applyProtection="0">
      <alignment horizontal="center"/>
    </xf>
    <xf numFmtId="0" fontId="48" fillId="38" borderId="14" applyNumberFormat="0" applyBorder="0" applyAlignment="0" applyProtection="0"/>
    <xf numFmtId="0" fontId="48" fillId="0" borderId="14" applyNumberFormat="0" applyFill="0" applyBorder="0" applyAlignment="0" applyProtection="0"/>
    <xf numFmtId="0" fontId="24" fillId="0" borderId="14" applyNumberFormat="0" applyFill="0" applyBorder="0" applyAlignment="0" applyProtection="0"/>
    <xf numFmtId="0" fontId="51" fillId="37" borderId="14" applyNumberFormat="0" applyBorder="0" applyAlignment="0" applyProtection="0"/>
    <xf numFmtId="0" fontId="52" fillId="0" borderId="14" applyNumberFormat="0" applyFill="0" applyBorder="0" applyAlignment="0" applyProtection="0"/>
    <xf numFmtId="0" fontId="53" fillId="35" borderId="14" applyNumberFormat="0" applyBorder="0" applyAlignment="0" applyProtection="0"/>
    <xf numFmtId="0" fontId="48" fillId="36" borderId="14" applyNumberFormat="0" applyBorder="0" applyAlignment="0" applyProtection="0"/>
    <xf numFmtId="0" fontId="48" fillId="39" borderId="14" applyNumberFormat="0" applyBorder="0" applyAlignment="0" applyProtection="0"/>
    <xf numFmtId="0" fontId="48" fillId="40" borderId="14" applyNumberFormat="0" applyBorder="0" applyAlignment="0" applyProtection="0"/>
    <xf numFmtId="0" fontId="48" fillId="41" borderId="14" applyNumberFormat="0" applyBorder="0" applyAlignment="0" applyProtection="0"/>
    <xf numFmtId="0" fontId="48" fillId="42" borderId="14" applyNumberFormat="0" applyBorder="0" applyAlignment="0" applyProtection="0"/>
    <xf numFmtId="0" fontId="48" fillId="38" borderId="14" applyNumberFormat="0" applyBorder="0" applyAlignment="0" applyProtection="0"/>
    <xf numFmtId="0" fontId="48" fillId="43" borderId="14" applyNumberFormat="0" applyBorder="0" applyAlignment="0" applyProtection="0"/>
    <xf numFmtId="172" fontId="16" fillId="0" borderId="14" applyFont="0" applyFill="0" applyBorder="0" applyAlignment="0" applyProtection="0"/>
    <xf numFmtId="0" fontId="54" fillId="0" borderId="14" applyNumberFormat="0" applyFill="0" applyBorder="0" applyAlignment="0" applyProtection="0"/>
    <xf numFmtId="0" fontId="4" fillId="0" borderId="15" applyNumberFormat="0" applyFill="0" applyAlignment="0" applyProtection="0"/>
    <xf numFmtId="172" fontId="16" fillId="0" borderId="14" applyFont="0" applyFill="0" applyBorder="0" applyAlignment="0" applyProtection="0"/>
    <xf numFmtId="0" fontId="2" fillId="44" borderId="14" applyNumberFormat="0" applyBorder="0" applyAlignment="0" applyProtection="0"/>
    <xf numFmtId="0" fontId="2" fillId="45" borderId="14" applyNumberFormat="0" applyBorder="0" applyAlignment="0" applyProtection="0"/>
    <xf numFmtId="0" fontId="2" fillId="46" borderId="14" applyNumberFormat="0" applyBorder="0" applyAlignment="0" applyProtection="0"/>
    <xf numFmtId="0" fontId="2" fillId="47" borderId="14" applyNumberFormat="0" applyBorder="0" applyAlignment="0" applyProtection="0"/>
    <xf numFmtId="0" fontId="2" fillId="48" borderId="14" applyNumberFormat="0" applyBorder="0" applyAlignment="0" applyProtection="0"/>
    <xf numFmtId="0" fontId="2" fillId="49" borderId="14" applyNumberFormat="0" applyBorder="0" applyAlignment="0" applyProtection="0"/>
    <xf numFmtId="0" fontId="2" fillId="50" borderId="14" applyNumberFormat="0" applyBorder="0" applyAlignment="0" applyProtection="0"/>
    <xf numFmtId="0" fontId="2" fillId="51" borderId="14" applyNumberFormat="0" applyBorder="0" applyAlignment="0" applyProtection="0"/>
    <xf numFmtId="0" fontId="2" fillId="52" borderId="14" applyNumberFormat="0" applyBorder="0" applyAlignment="0" applyProtection="0"/>
    <xf numFmtId="0" fontId="2" fillId="53" borderId="14" applyNumberFormat="0" applyBorder="0" applyAlignment="0" applyProtection="0"/>
    <xf numFmtId="0" fontId="2" fillId="54" borderId="14" applyNumberFormat="0" applyBorder="0" applyAlignment="0" applyProtection="0"/>
    <xf numFmtId="0" fontId="2" fillId="55" borderId="14" applyNumberFormat="0" applyBorder="0" applyAlignment="0" applyProtection="0"/>
    <xf numFmtId="4" fontId="47" fillId="0" borderId="14" applyFill="0" applyBorder="0" applyAlignment="0" applyProtection="0"/>
    <xf numFmtId="4" fontId="55" fillId="37" borderId="14" applyBorder="0" applyAlignment="0" applyProtection="0"/>
    <xf numFmtId="4" fontId="49" fillId="43" borderId="14" applyBorder="0" applyAlignment="0" applyProtection="0"/>
    <xf numFmtId="0" fontId="16" fillId="0" borderId="14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textRotation="45"/>
    </xf>
    <xf numFmtId="0" fontId="1" fillId="0" borderId="0" xfId="0" applyFont="1" applyAlignment="1">
      <alignment horizontal="center" vertical="center" textRotation="45"/>
    </xf>
    <xf numFmtId="0" fontId="1" fillId="0" borderId="0" xfId="0" applyFont="1" applyAlignment="1">
      <alignment vertical="center" textRotation="45"/>
    </xf>
    <xf numFmtId="2" fontId="0" fillId="0" borderId="0" xfId="0" applyNumberFormat="1"/>
    <xf numFmtId="0" fontId="16" fillId="0" borderId="0" xfId="0" applyFont="1"/>
    <xf numFmtId="0" fontId="1" fillId="0" borderId="1" xfId="0" applyFont="1" applyBorder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4" fontId="0" fillId="0" borderId="0" xfId="0" applyNumberFormat="1" applyFill="1" applyAlignment="1">
      <alignment horizontal="center" vertical="center"/>
    </xf>
    <xf numFmtId="2" fontId="0" fillId="0" borderId="0" xfId="0" applyNumberFormat="1" applyFill="1"/>
  </cellXfs>
  <cellStyles count="339">
    <cellStyle name="20% - Accent1" xfId="14" builtinId="30" customBuiltin="1"/>
    <cellStyle name="20% - Accent1 2" xfId="159" xr:uid="{96B9C616-76A3-4012-BB41-FC77FCBBAC2E}"/>
    <cellStyle name="20% - Accent1 2 2" xfId="323" xr:uid="{1C99EA26-5103-4F8B-8BAD-112C7D22DC4F}"/>
    <cellStyle name="20% - Accent1 3" xfId="183" xr:uid="{48FF43EC-3FB7-4029-9C67-BBA6C609184C}"/>
    <cellStyle name="20% - Accent2" xfId="17" builtinId="34" customBuiltin="1"/>
    <cellStyle name="20% - Accent2 2" xfId="161" xr:uid="{BBF950CF-D350-409D-A007-7BDD2A845AEB}"/>
    <cellStyle name="20% - Accent2 2 2" xfId="325" xr:uid="{D217E538-598E-4066-8438-74F36CDBC473}"/>
    <cellStyle name="20% - Accent2 3" xfId="186" xr:uid="{F964D163-407C-4737-97E7-1CB45BAA2D4D}"/>
    <cellStyle name="20% - Accent3" xfId="20" builtinId="38" customBuiltin="1"/>
    <cellStyle name="20% - Accent3 2" xfId="163" xr:uid="{E47652F0-3595-4AB9-8654-D088F35BB8AB}"/>
    <cellStyle name="20% - Accent3 2 2" xfId="327" xr:uid="{6A855CD6-64B3-4332-B669-C122CE804D05}"/>
    <cellStyle name="20% - Accent3 3" xfId="189" xr:uid="{14459A74-E11D-4E5A-82F6-79C2F4F0596B}"/>
    <cellStyle name="20% - Accent4" xfId="23" builtinId="42" customBuiltin="1"/>
    <cellStyle name="20% - Accent4 2" xfId="165" xr:uid="{A4003DCD-00CA-4416-BB3B-FEB9ABE6D6FB}"/>
    <cellStyle name="20% - Accent4 2 2" xfId="329" xr:uid="{531673C4-0284-4B98-B573-61B415C02345}"/>
    <cellStyle name="20% - Accent4 3" xfId="192" xr:uid="{876A0322-AD6A-44C1-B3B9-1CE95C1CD9C6}"/>
    <cellStyle name="20% - Accent5" xfId="26" builtinId="46" customBuiltin="1"/>
    <cellStyle name="20% - Accent5 2" xfId="167" xr:uid="{D29EE759-F611-47CC-8939-846443978E77}"/>
    <cellStyle name="20% - Accent5 2 2" xfId="331" xr:uid="{01BBA462-3F41-441E-B525-DF0AB3BBA24D}"/>
    <cellStyle name="20% - Accent5 3" xfId="195" xr:uid="{A4998303-37BE-4186-B714-B5D525988C62}"/>
    <cellStyle name="20% - Accent6" xfId="29" builtinId="50" customBuiltin="1"/>
    <cellStyle name="20% - Accent6 2" xfId="169" xr:uid="{6241FA67-F215-4881-80BE-E4A0D680591D}"/>
    <cellStyle name="20% - Accent6 2 2" xfId="333" xr:uid="{386D9AF3-360B-47E9-ADE2-5C0F3D8A4BB5}"/>
    <cellStyle name="20% - Accent6 3" xfId="198" xr:uid="{B9118A8C-3A8F-49EA-860D-3604AB9E15AB}"/>
    <cellStyle name="40% - Accent1" xfId="15" builtinId="31" customBuiltin="1"/>
    <cellStyle name="40% - Accent1 2" xfId="160" xr:uid="{46684796-2E60-445F-B756-0BAAB686E6A2}"/>
    <cellStyle name="40% - Accent1 2 2" xfId="324" xr:uid="{B8119177-416B-4959-BED7-23B25859B27E}"/>
    <cellStyle name="40% - Accent1 3" xfId="184" xr:uid="{9BF5EC85-E4FE-4ED5-BA93-CF9DF5DD8B47}"/>
    <cellStyle name="40% - Accent2" xfId="18" builtinId="35" customBuiltin="1"/>
    <cellStyle name="40% - Accent2 2" xfId="162" xr:uid="{6CA1C31A-0ACC-47F4-90F6-4E34DB8B6001}"/>
    <cellStyle name="40% - Accent2 2 2" xfId="326" xr:uid="{F714B1F0-EEF2-4ECC-B5A6-B86D6FE68CDF}"/>
    <cellStyle name="40% - Accent2 3" xfId="187" xr:uid="{2CAAB09E-7550-42F0-8492-3CBE78207C55}"/>
    <cellStyle name="40% - Accent3" xfId="21" builtinId="39" customBuiltin="1"/>
    <cellStyle name="40% - Accent3 2" xfId="164" xr:uid="{06669745-8255-4DB0-B4E0-DC2DC1C0B00D}"/>
    <cellStyle name="40% - Accent3 2 2" xfId="328" xr:uid="{F3CD443D-222C-474B-8271-D21983CBB21E}"/>
    <cellStyle name="40% - Accent3 3" xfId="190" xr:uid="{F7307DA6-2EFD-4F15-AFDF-1B59FD45F9B9}"/>
    <cellStyle name="40% - Accent4" xfId="24" builtinId="43" customBuiltin="1"/>
    <cellStyle name="40% - Accent4 2" xfId="166" xr:uid="{64B28A22-F272-400E-BFD0-B450DF717D4A}"/>
    <cellStyle name="40% - Accent4 2 2" xfId="330" xr:uid="{170196E6-A5F4-4C48-AF83-1FFD875BFFD2}"/>
    <cellStyle name="40% - Accent4 3" xfId="193" xr:uid="{2B127AC0-A131-439A-B175-CAF1D3B43636}"/>
    <cellStyle name="40% - Accent5" xfId="27" builtinId="47" customBuiltin="1"/>
    <cellStyle name="40% - Accent5 2" xfId="168" xr:uid="{2AC9E354-7A57-4947-A661-19C8069052D9}"/>
    <cellStyle name="40% - Accent5 2 2" xfId="332" xr:uid="{8C99BCD5-D6AF-41AF-BF0B-794C66576514}"/>
    <cellStyle name="40% - Accent5 3" xfId="196" xr:uid="{E8906E51-822A-4BD2-9791-456CED571063}"/>
    <cellStyle name="40% - Accent6" xfId="30" builtinId="51" customBuiltin="1"/>
    <cellStyle name="40% - Accent6 2" xfId="170" xr:uid="{667B3808-11B2-4E71-81E1-324B2A1A8F65}"/>
    <cellStyle name="40% - Accent6 2 2" xfId="334" xr:uid="{D25FBABA-73D6-4355-A584-2D9CDC63B4C8}"/>
    <cellStyle name="40% - Accent6 3" xfId="199" xr:uid="{EBB3F2AF-A179-4CE2-9958-738D65635EA1}"/>
    <cellStyle name="60% - Accent1 2" xfId="128" xr:uid="{A3A39774-F89A-4996-9348-057886FFC780}"/>
    <cellStyle name="60% - Accent1 2 2" xfId="296" xr:uid="{AC06F792-CCF1-4871-A600-32093FC67F16}"/>
    <cellStyle name="60% - Accent2 2" xfId="129" xr:uid="{409224F5-7178-4FB1-BF41-C2607D954652}"/>
    <cellStyle name="60% - Accent2 2 2" xfId="297" xr:uid="{AAA1ED95-1AFA-4AE8-894F-97F3206EDC40}"/>
    <cellStyle name="60% - Accent3 2" xfId="130" xr:uid="{D1AE3FD5-B19D-4B1D-9FAE-B0F064704C02}"/>
    <cellStyle name="60% - Accent3 2 2" xfId="298" xr:uid="{7FBA2B36-1344-4468-887A-8B99161175AB}"/>
    <cellStyle name="60% - Accent4 2" xfId="131" xr:uid="{F15DE09E-863F-4295-AA32-B774D9DB077A}"/>
    <cellStyle name="60% - Accent4 2 2" xfId="299" xr:uid="{A6363E8B-68FA-4419-95F9-777F663362A8}"/>
    <cellStyle name="60% - Accent5 2" xfId="132" xr:uid="{A0B1CD7D-C9DE-4FAC-89F3-C3E53EB7B2FF}"/>
    <cellStyle name="60% - Accent5 2 2" xfId="300" xr:uid="{6FEF659B-02D6-45D9-AC05-0300277D9803}"/>
    <cellStyle name="60% - Accent6 2" xfId="133" xr:uid="{76F391B4-579F-4D5D-9412-7765ECE64890}"/>
    <cellStyle name="60% - Accent6 2 2" xfId="301" xr:uid="{D37BF85F-36AC-4051-BBA0-66AC0F0A9D3F}"/>
    <cellStyle name="Accent1" xfId="13" builtinId="29" customBuiltin="1"/>
    <cellStyle name="Accent1 2" xfId="182" xr:uid="{77DF2C43-8175-4C8E-9A71-92F3E050B4B3}"/>
    <cellStyle name="Accent2" xfId="16" builtinId="33" customBuiltin="1"/>
    <cellStyle name="Accent2 2" xfId="185" xr:uid="{E6696054-9824-48EB-AD14-10ACFFC97732}"/>
    <cellStyle name="Accent3" xfId="19" builtinId="37" customBuiltin="1"/>
    <cellStyle name="Accent3 2" xfId="188" xr:uid="{A564ABCC-E722-47FC-95B3-E826EC50801E}"/>
    <cellStyle name="Accent4" xfId="22" builtinId="41" customBuiltin="1"/>
    <cellStyle name="Accent4 2" xfId="191" xr:uid="{9F1DEBC3-9A54-4F54-ACE5-9A4C79D3EE04}"/>
    <cellStyle name="Accent5" xfId="25" builtinId="45" customBuiltin="1"/>
    <cellStyle name="Accent5 2" xfId="194" xr:uid="{307DA0E4-3034-4226-A202-73308431FF42}"/>
    <cellStyle name="Accent6" xfId="28" builtinId="49" customBuiltin="1"/>
    <cellStyle name="Accent6 2" xfId="197" xr:uid="{4BC4B588-8910-40DC-AF24-2420E77F0EFB}"/>
    <cellStyle name="Bad" xfId="5" builtinId="27" customBuiltin="1"/>
    <cellStyle name="Bad 2" xfId="179" xr:uid="{E20325F5-1637-4D89-BF99-D0C4C450BCEB}"/>
    <cellStyle name="Body: normal cell" xfId="174" xr:uid="{326FA5DD-2B2C-42E5-A29D-2BC89E05C1C2}"/>
    <cellStyle name="Calculation" xfId="8" builtinId="22" customBuiltin="1"/>
    <cellStyle name="Check Cell" xfId="10" builtinId="23" customBuiltin="1"/>
    <cellStyle name="Comma 2" xfId="126" xr:uid="{D6A555BB-BF99-4469-9E26-8129A47E91E3}"/>
    <cellStyle name="Comma 2 2" xfId="294" xr:uid="{04989C13-5560-450B-B3F7-83944183B25D}"/>
    <cellStyle name="Comma0" xfId="32" xr:uid="{3C5B6E40-2547-4CCE-9C81-9D850D326E0C}"/>
    <cellStyle name="Comma0 2" xfId="201" xr:uid="{1A6992AF-39AA-4431-8624-65AF4071FB40}"/>
    <cellStyle name="Currency 2" xfId="34" xr:uid="{3731B3B7-AE5B-4F93-952C-B2D150B0E728}"/>
    <cellStyle name="Currency 2 2" xfId="203" xr:uid="{71F9080E-C94B-4D19-85B8-C2BCBE66B214}"/>
    <cellStyle name="Currency 3" xfId="33" xr:uid="{30924DD8-32FB-4A25-9E12-77362F226314}"/>
    <cellStyle name="Currency 3 2" xfId="202" xr:uid="{0B298AA6-88D7-4B3A-9766-B18BDBB0ABD4}"/>
    <cellStyle name="Currency0" xfId="35" xr:uid="{5F965FC3-F3C3-4281-AB4D-F76CAC8BE678}"/>
    <cellStyle name="Currency0 2" xfId="204" xr:uid="{AE9FF3E1-D28A-43B2-87B3-A0B910520203}"/>
    <cellStyle name="Date" xfId="36" xr:uid="{38594A09-71DC-4184-B2FD-2DADBFBE2F23}"/>
    <cellStyle name="Date 2" xfId="205" xr:uid="{9F484C6D-8D1B-4660-85F8-D2D55A7F4DC4}"/>
    <cellStyle name="Explanatory Text" xfId="12" builtinId="53" customBuiltin="1"/>
    <cellStyle name="Explanatory Text 2" xfId="181" xr:uid="{3DDFC0CA-B5D6-44B2-8493-9951CC3D370C}"/>
    <cellStyle name="F2" xfId="37" xr:uid="{24AF39E8-4C3B-4AD2-B45C-62564C99C561}"/>
    <cellStyle name="F2 2" xfId="206" xr:uid="{57454B0F-BA5B-436B-9BF9-B27B7406561A}"/>
    <cellStyle name="F3" xfId="38" xr:uid="{9B98B844-B297-43D1-9521-630FBDEA160C}"/>
    <cellStyle name="F3 2" xfId="207" xr:uid="{9D10FA17-A4A6-4898-AF38-2F8CF84E6C97}"/>
    <cellStyle name="F4" xfId="39" xr:uid="{67EC346E-A7FF-4625-BAE6-BA31B76EC70C}"/>
    <cellStyle name="F4 2" xfId="208" xr:uid="{F9791E8A-34D0-4DD8-913C-F5166B2B5893}"/>
    <cellStyle name="F5" xfId="40" xr:uid="{39A7ED11-BBAB-46EA-AB17-041644DFFF94}"/>
    <cellStyle name="F5 2" xfId="209" xr:uid="{4382BA6B-7FE8-4B5E-A2BB-B21D8604321F}"/>
    <cellStyle name="F6" xfId="41" xr:uid="{44FD227F-D1F4-486D-AF8F-3F54DBED8E1D}"/>
    <cellStyle name="F6 2" xfId="210" xr:uid="{C86A6D30-1DC2-4259-94BC-CDBFF019EE4D}"/>
    <cellStyle name="F7" xfId="42" xr:uid="{136FA18B-9E76-49B7-9602-AAA0D418C589}"/>
    <cellStyle name="F7 2" xfId="211" xr:uid="{6A24B5E0-2778-4D44-9139-9CA68FFD40FC}"/>
    <cellStyle name="F8" xfId="43" xr:uid="{15C6B4F8-0C60-4DE6-AEAA-78B08F0B4A52}"/>
    <cellStyle name="F8 2" xfId="212" xr:uid="{B81E7AB3-101D-45CA-B6B7-77DA8913449B}"/>
    <cellStyle name="Fixed" xfId="44" xr:uid="{C80F3D2F-D7FF-40F1-BA75-D4CB04BF0D84}"/>
    <cellStyle name="Fixed 2" xfId="213" xr:uid="{05AFF37B-6111-4F0E-BD28-3BA3C5C162B5}"/>
    <cellStyle name="Good" xfId="4" builtinId="26" customBuiltin="1"/>
    <cellStyle name="Good 2" xfId="178" xr:uid="{B658B128-3834-4888-8973-D57D47BC9030}"/>
    <cellStyle name="Heading 1 2" xfId="153" xr:uid="{97E004B9-E912-4B80-B017-13B6E14F37C3}"/>
    <cellStyle name="Heading 1 3" xfId="45" xr:uid="{378AABC1-923F-4FA7-BBDC-73C89AED1FF2}"/>
    <cellStyle name="Heading 1 3 2" xfId="214" xr:uid="{A2A47A79-DA6D-44B0-B1EC-8270D10561FE}"/>
    <cellStyle name="Heading 2 2" xfId="154" xr:uid="{16CF0549-FA90-47C1-A677-77CBC98221C4}"/>
    <cellStyle name="Heading 2 2 2" xfId="321" xr:uid="{AF19AFBB-5F24-44A9-A254-0E74FD39DFF8}"/>
    <cellStyle name="Heading 2 3" xfId="46" xr:uid="{D6C0C683-E990-4D9A-A8F1-383621D19B7A}"/>
    <cellStyle name="Heading 2 3 2" xfId="215" xr:uid="{16379A0F-FE8C-4452-9F0F-9D9E16B193D9}"/>
    <cellStyle name="Heading 3" xfId="2" builtinId="18" customBuiltin="1"/>
    <cellStyle name="Heading 4" xfId="3" builtinId="19" customBuiltin="1"/>
    <cellStyle name="Heading 4 2" xfId="177" xr:uid="{30E3B37D-C740-428D-9CB8-285A58BCAED9}"/>
    <cellStyle name="Heading1" xfId="47" xr:uid="{E7A56415-E8DA-47D3-8458-FFCC7A8E230E}"/>
    <cellStyle name="Heading1 2" xfId="216" xr:uid="{17EEE8D8-BD6D-448C-80FE-22D8DC5FA816}"/>
    <cellStyle name="Heading2" xfId="48" xr:uid="{E994BC02-E53D-4F36-854F-1ED3AA264A77}"/>
    <cellStyle name="Heading2 2" xfId="217" xr:uid="{922A6689-507D-4B3F-AD38-EF2D51F81DDA}"/>
    <cellStyle name="Input" xfId="6" builtinId="20" customBuiltin="1"/>
    <cellStyle name="Linked Cell" xfId="9" builtinId="24" customBuiltin="1"/>
    <cellStyle name="Neutral 2" xfId="127" xr:uid="{87699BE6-1779-48AB-8CFB-8B0E8B8C01E8}"/>
    <cellStyle name="Neutral 2 2" xfId="295" xr:uid="{A71B3417-6F5E-4127-B593-6C3FC4987998}"/>
    <cellStyle name="Normal" xfId="0" builtinId="0"/>
    <cellStyle name="Normal 2" xfId="1" xr:uid="{9550CF05-F664-4BA0-8C0E-8FE4DA3FCA5E}"/>
    <cellStyle name="Normal 2 2" xfId="175" xr:uid="{560A252F-D9B6-4FC2-BB84-E6745CF1847A}"/>
    <cellStyle name="Normal 2 2 2" xfId="338" xr:uid="{45A3CD1B-681F-4D98-ABE1-DE20D41E4BA2}"/>
    <cellStyle name="Normal 2 3" xfId="31" xr:uid="{65C38DBC-138E-4D2E-BE7D-1BF52EFCDF83}"/>
    <cellStyle name="Normal 2 4" xfId="200" xr:uid="{A9C67253-0DFD-4E19-BAEB-F5AEBD8CAED6}"/>
    <cellStyle name="Normal 3" xfId="176" xr:uid="{4BA50519-05C7-4E9B-B765-7F782C30FB0F}"/>
    <cellStyle name="Normal 4" xfId="293" xr:uid="{A6E33083-244D-41C5-9C85-B988E72EDF02}"/>
    <cellStyle name="Note 2" xfId="158" xr:uid="{C4030BAC-B3A9-4896-8B8C-14605D50B864}"/>
    <cellStyle name="Note 3" xfId="155" xr:uid="{018E5E66-F596-4B26-A5F4-D55583D6FC6F}"/>
    <cellStyle name="Output" xfId="7" builtinId="21" customBuiltin="1"/>
    <cellStyle name="Percent 2" xfId="157" xr:uid="{8ABCBE0C-EC62-4519-82B6-5834F5622B08}"/>
    <cellStyle name="Percent 2 2" xfId="322" xr:uid="{DB692DB4-4413-4B26-A6BA-601745EEAD02}"/>
    <cellStyle name="Percent 3" xfId="151" xr:uid="{E07C748B-7E22-4805-8790-E16EAE3EDD68}"/>
    <cellStyle name="Percent 3 2" xfId="319" xr:uid="{6E8A9E19-124E-411E-BED5-AACCFC15FBCA}"/>
    <cellStyle name="Percent 4" xfId="49" xr:uid="{DBCD90B5-FDF2-4C2D-9DF1-39A5D2B1139E}"/>
    <cellStyle name="Percent 4 2" xfId="218" xr:uid="{3BD8893E-C228-41BF-B163-CA6A4F2BE5E4}"/>
    <cellStyle name="Style 101" xfId="50" xr:uid="{A7CF0939-2C54-4A5B-B2A0-DCFD618D1BF3}"/>
    <cellStyle name="Style 101 2" xfId="219" xr:uid="{86CD9665-FB72-4227-B547-CAB9DB803BAC}"/>
    <cellStyle name="Style 103" xfId="51" xr:uid="{3FBF9C08-7CD9-41D6-9931-906A0332BA6B}"/>
    <cellStyle name="Style 103 2" xfId="220" xr:uid="{29A6514A-FE5E-4A88-9C6A-FB7B75FDC198}"/>
    <cellStyle name="Style 105" xfId="52" xr:uid="{66445124-483B-4CBC-ADD1-D63F90C6B19B}"/>
    <cellStyle name="Style 105 2" xfId="221" xr:uid="{4E618D58-A7B2-41EE-B0E8-D6AAEF8FB55E}"/>
    <cellStyle name="Style 107" xfId="53" xr:uid="{EAB79949-9021-4379-BF67-2FB3A4B2219A}"/>
    <cellStyle name="Style 107 2" xfId="222" xr:uid="{D9AF996A-DDB3-412C-B08F-A75B90E6C7A0}"/>
    <cellStyle name="Style 109" xfId="54" xr:uid="{102C2C28-A7A1-4E0F-AA63-6F6845BD5B7C}"/>
    <cellStyle name="Style 109 2" xfId="223" xr:uid="{1ACC66D0-8FBF-4081-BDAA-CED8FE2D21E7}"/>
    <cellStyle name="Style 111" xfId="55" xr:uid="{07A852FB-BC63-475E-9ADB-2CF896213B43}"/>
    <cellStyle name="Style 111 2" xfId="224" xr:uid="{0C40829E-7882-42EB-93C3-A1581BB07F71}"/>
    <cellStyle name="Style 113" xfId="56" xr:uid="{A245A834-9B71-4221-9998-581250549663}"/>
    <cellStyle name="Style 113 2" xfId="225" xr:uid="{43071040-005B-4D81-82C2-CC64A7300E0E}"/>
    <cellStyle name="Style 115" xfId="57" xr:uid="{4632F65A-9471-4DD4-B65C-72E8B15F648C}"/>
    <cellStyle name="Style 115 2" xfId="226" xr:uid="{31B6D3C9-F23F-49C5-B6C5-79495B1BE6E3}"/>
    <cellStyle name="Style 117" xfId="58" xr:uid="{53CADC11-ADAA-42D0-8C7F-5B09C5C68C8C}"/>
    <cellStyle name="Style 117 2" xfId="227" xr:uid="{9ED8765D-41A4-4E0F-B3FC-4FC346E1F2AB}"/>
    <cellStyle name="Style 119" xfId="59" xr:uid="{6CB7F75A-4321-4DD5-9374-AA3FC487E253}"/>
    <cellStyle name="Style 119 2" xfId="228" xr:uid="{3EEB9ECD-0B11-4405-88CE-55E9A7AE32F6}"/>
    <cellStyle name="Style 121" xfId="60" xr:uid="{1CB5A629-412A-48C5-9E0A-829F18B2CFF9}"/>
    <cellStyle name="Style 121 2" xfId="229" xr:uid="{B5D3E6A2-2FD4-4C7E-8EC9-A4E4D8053704}"/>
    <cellStyle name="Style 123" xfId="61" xr:uid="{6D8D3BED-6952-462F-989E-9FADB6FDE1C9}"/>
    <cellStyle name="Style 123 2" xfId="230" xr:uid="{A01CA6A9-7427-420E-847A-7E31B5894751}"/>
    <cellStyle name="Style 125" xfId="62" xr:uid="{C20C0986-4EB5-4366-81AE-552F6D49F409}"/>
    <cellStyle name="Style 125 2" xfId="231" xr:uid="{6ABCA318-0F50-4F57-8205-37F7B5A7D81E}"/>
    <cellStyle name="Style 127" xfId="63" xr:uid="{8865A6C1-0338-4817-B12A-6866FE24D975}"/>
    <cellStyle name="Style 127 2" xfId="232" xr:uid="{32616C53-1AA2-492B-A574-79C2441280EC}"/>
    <cellStyle name="Style 129" xfId="64" xr:uid="{89335C4B-0FB0-48ED-8EBE-59580E553361}"/>
    <cellStyle name="Style 129 2" xfId="233" xr:uid="{43C55AFF-F9AC-4412-9D0F-C32539C8193B}"/>
    <cellStyle name="Style 131" xfId="65" xr:uid="{417F83AC-49E4-4C1C-9EFA-9AE2DED86995}"/>
    <cellStyle name="Style 131 2" xfId="234" xr:uid="{CBBF92E4-2860-4DF1-955B-1B72221B3495}"/>
    <cellStyle name="Style 133" xfId="66" xr:uid="{B26D1A48-200C-49AC-BECC-F8B21CDCF1F6}"/>
    <cellStyle name="Style 133 2" xfId="235" xr:uid="{7B5FF4C4-078B-4DBB-86C6-D202A5B5A745}"/>
    <cellStyle name="Style 135" xfId="67" xr:uid="{2A5FEED8-42A0-4857-95B0-2BBF27C91C92}"/>
    <cellStyle name="Style 135 2" xfId="236" xr:uid="{CFADA110-6AEB-4576-85DD-CCA24CBF964D}"/>
    <cellStyle name="Style 137" xfId="68" xr:uid="{C3D7373E-5D3D-4AC7-A686-E158D0EFFA5D}"/>
    <cellStyle name="Style 137 2" xfId="237" xr:uid="{4976704F-0738-4B4A-B957-AEE0B3222F05}"/>
    <cellStyle name="Style 139" xfId="69" xr:uid="{088209E0-27FB-4901-B2F0-7EB65DBD5484}"/>
    <cellStyle name="Style 139 2" xfId="238" xr:uid="{254A369B-31A3-4A07-89AA-7D8CB365FCB9}"/>
    <cellStyle name="Style 141" xfId="70" xr:uid="{45ED0600-EFF5-42C1-A2A0-96E9CC40D45D}"/>
    <cellStyle name="Style 141 2" xfId="239" xr:uid="{5C797A56-2FAA-4EB4-8C4D-3C5A633B646A}"/>
    <cellStyle name="Style 143" xfId="71" xr:uid="{1660C671-2E36-456F-8562-E267720E677D}"/>
    <cellStyle name="Style 143 2" xfId="240" xr:uid="{9ADAFD77-209C-4876-BAD7-BA06A1A4EF8E}"/>
    <cellStyle name="Style 145" xfId="72" xr:uid="{CADE3A84-67D0-4EE1-BDD2-87465963E04D}"/>
    <cellStyle name="Style 145 2" xfId="241" xr:uid="{F273AA6F-3A25-4317-B741-D8B51A325AC6}"/>
    <cellStyle name="Style 147" xfId="73" xr:uid="{D38FC7DD-A495-4ECC-B245-93EC00AC3D14}"/>
    <cellStyle name="Style 147 2" xfId="242" xr:uid="{C73AADC0-290B-4CDA-9A46-A8F3DA31F2F4}"/>
    <cellStyle name="Style 149" xfId="74" xr:uid="{0F65AC0C-027A-457C-8F60-CF04E866D268}"/>
    <cellStyle name="Style 149 2" xfId="243" xr:uid="{1F5B4BDD-8E22-4DFC-9B8D-58736D959416}"/>
    <cellStyle name="Style 151" xfId="75" xr:uid="{B2904D71-1023-4DFC-9D69-10C90D95F582}"/>
    <cellStyle name="Style 151 2" xfId="244" xr:uid="{8A5B8CA2-9AB0-4C10-A1BA-F017AEA6475A}"/>
    <cellStyle name="Style 153" xfId="76" xr:uid="{85B2C0CC-6B5D-498E-AB82-024EC9641B3E}"/>
    <cellStyle name="Style 153 2" xfId="245" xr:uid="{6777C532-D4BD-422C-8099-CBF3AE547600}"/>
    <cellStyle name="Style 155" xfId="77" xr:uid="{D347CD8A-9710-43E9-9B27-E230ACFFEACA}"/>
    <cellStyle name="Style 155 2" xfId="246" xr:uid="{75FCDCAB-88F1-41FE-90B8-EBB8F5092638}"/>
    <cellStyle name="Style 157" xfId="78" xr:uid="{2C6DC387-02B8-4837-BC4B-AD140E40DBE9}"/>
    <cellStyle name="Style 157 2" xfId="247" xr:uid="{5AEB8776-2A6A-4C59-84A0-CABB420A2C11}"/>
    <cellStyle name="Style 159" xfId="79" xr:uid="{9E2F12E5-8247-49F2-8E9D-A0EF343F8DBA}"/>
    <cellStyle name="Style 159 2" xfId="248" xr:uid="{21B3D229-CB83-4D20-9CBA-FFC1652F7AC2}"/>
    <cellStyle name="Style 161" xfId="80" xr:uid="{B59AA590-5009-48FB-92DA-B352F337D869}"/>
    <cellStyle name="Style 161 2" xfId="249" xr:uid="{DA5664CA-FFC8-4419-9F00-4524C910151D}"/>
    <cellStyle name="Style 21" xfId="134" xr:uid="{CBDE28FF-494C-4D81-8258-EFAE3B17CF4D}"/>
    <cellStyle name="Style 21 2" xfId="302" xr:uid="{E01280EB-D4F2-4F6D-A523-B0B2A1E3A016}"/>
    <cellStyle name="Style 22" xfId="81" xr:uid="{E94E7DF3-DD25-4EF9-884B-DC57E07CE21A}"/>
    <cellStyle name="Style 22 2" xfId="135" xr:uid="{79A036C9-28C8-4792-B6FE-E0C42DF50E94}"/>
    <cellStyle name="Style 22 2 2" xfId="303" xr:uid="{CBB1DA1F-7F77-4D28-AB91-9E82CBB1D1FC}"/>
    <cellStyle name="Style 22 3" xfId="250" xr:uid="{B94B1A09-E179-448A-A195-31FD579FD46E}"/>
    <cellStyle name="Style 23" xfId="82" xr:uid="{2F637C57-95CF-4A72-B9E4-4B977DE054B4}"/>
    <cellStyle name="Style 23 2" xfId="136" xr:uid="{5EFBE684-E79B-42F8-8441-99D9D8F30126}"/>
    <cellStyle name="Style 23 2 2" xfId="304" xr:uid="{2883AEB6-F1C2-4E39-9D3A-A0A7F0DAD775}"/>
    <cellStyle name="Style 23 3" xfId="251" xr:uid="{82C2CE4B-C526-49A6-A86D-B1F5B6C226B7}"/>
    <cellStyle name="Style 24" xfId="83" xr:uid="{E5DB197B-0027-44CD-811E-AF0FD6125984}"/>
    <cellStyle name="Style 24 2" xfId="137" xr:uid="{91DB170C-DAA7-4AE4-B43B-388ECBDEEE43}"/>
    <cellStyle name="Style 24 2 2" xfId="305" xr:uid="{5CC5E9C0-39B0-4EF1-9051-EF8DC868D7BF}"/>
    <cellStyle name="Style 24 3" xfId="252" xr:uid="{C63FE3F5-3557-437F-AAD4-9CDB302667E2}"/>
    <cellStyle name="Style 25" xfId="138" xr:uid="{38DBA6B3-A4B8-4805-A673-CA30279AA995}"/>
    <cellStyle name="Style 25 2" xfId="306" xr:uid="{B24CF04E-A0BD-47C9-BE37-CF6BF3A97A49}"/>
    <cellStyle name="Style 26" xfId="84" xr:uid="{A8BA1A05-82D7-49C3-9406-624F6CB8711E}"/>
    <cellStyle name="Style 26 2" xfId="139" xr:uid="{77A4AA75-57FC-4F4A-8C0F-5F4AC8B01AA9}"/>
    <cellStyle name="Style 26 2 2" xfId="307" xr:uid="{6560EBEB-03C9-4CC0-8A3A-F1EB595D8078}"/>
    <cellStyle name="Style 26 3" xfId="253" xr:uid="{561DC44F-F12A-4AFC-B3BE-99A3ED584E8C}"/>
    <cellStyle name="Style 27" xfId="85" xr:uid="{23CE7F86-D0E0-4CB5-BE64-6202C0EF3E54}"/>
    <cellStyle name="Style 27 2" xfId="140" xr:uid="{5D1B6C96-A0D1-479A-A946-1A1559092422}"/>
    <cellStyle name="Style 27 2 2" xfId="308" xr:uid="{3518F9B7-E6E8-4778-918A-4F699ED99D8B}"/>
    <cellStyle name="Style 27 3" xfId="171" xr:uid="{3D11AE54-96E8-4C54-99DF-0F971452D474}"/>
    <cellStyle name="Style 27 3 2" xfId="335" xr:uid="{93C4B910-CC5C-4507-A644-633A402CEDE3}"/>
    <cellStyle name="Style 27 4" xfId="254" xr:uid="{202492F1-A468-4FCE-9DD3-0E12332574F3}"/>
    <cellStyle name="Style 28" xfId="141" xr:uid="{F64E4CA7-2C96-4804-931A-AA30D4FBE1E9}"/>
    <cellStyle name="Style 28 2" xfId="172" xr:uid="{C1F94E02-9A84-4EEF-8EAD-017744296B7C}"/>
    <cellStyle name="Style 28 2 2" xfId="336" xr:uid="{4076A5AE-E51E-45B0-89EB-98C54E4DBDB0}"/>
    <cellStyle name="Style 28 3" xfId="309" xr:uid="{3D0620C2-06BA-45B3-9B4A-907BFFA1F8DE}"/>
    <cellStyle name="Style 29" xfId="142" xr:uid="{6B55D6AD-304C-4DFB-9161-FB77B00CC673}"/>
    <cellStyle name="Style 29 2" xfId="310" xr:uid="{04ACE428-78E5-4020-A2CD-3C3F60B31B3C}"/>
    <cellStyle name="Style 30" xfId="143" xr:uid="{7C854DC4-0256-495B-926D-A7AA93A71403}"/>
    <cellStyle name="Style 30 2" xfId="311" xr:uid="{927AE499-59F2-44BB-B9B0-81BDB0BC88F5}"/>
    <cellStyle name="Style 31" xfId="144" xr:uid="{B1326771-C67B-4B76-B2E7-3ED7B9696BEE}"/>
    <cellStyle name="Style 31 2" xfId="312" xr:uid="{5592921E-36E8-4207-8644-E1B99A2D09D8}"/>
    <cellStyle name="Style 32" xfId="145" xr:uid="{9F8B9D60-2178-446A-AAC1-EE4D628EBF57}"/>
    <cellStyle name="Style 32 2" xfId="313" xr:uid="{9E6AB714-2510-4760-939E-72FE63F4FA48}"/>
    <cellStyle name="Style 33" xfId="146" xr:uid="{CEE83335-24AF-4BFB-ABA6-73B12E4AE064}"/>
    <cellStyle name="Style 33 2" xfId="314" xr:uid="{BB595E9D-2259-448E-86F9-097131C5794F}"/>
    <cellStyle name="Style 34" xfId="147" xr:uid="{3D3CF8B0-8330-4708-B62B-A7029B3D01B0}"/>
    <cellStyle name="Style 34 2" xfId="315" xr:uid="{1E9BA9B3-BA6D-405F-B89E-1068C69ACB9A}"/>
    <cellStyle name="Style 35" xfId="148" xr:uid="{F5F3FDBE-1D4D-4F3E-855F-5272E7062AC8}"/>
    <cellStyle name="Style 35 2" xfId="316" xr:uid="{219DDE6F-93A7-44D3-BEF6-FAEB3CCCD254}"/>
    <cellStyle name="Style 36" xfId="149" xr:uid="{BC633FC5-2AE6-48F1-8FB2-AC1AC1B6D281}"/>
    <cellStyle name="Style 36 2" xfId="317" xr:uid="{BF0009F6-AFC5-49DA-A123-9A6ACF4FF473}"/>
    <cellStyle name="Style 37" xfId="150" xr:uid="{E6089174-F6AC-4DDA-A866-980BDA5A5C0C}"/>
    <cellStyle name="Style 37 2" xfId="173" xr:uid="{0B6ECDC3-9DF0-462E-A694-DCBCB0E510F3}"/>
    <cellStyle name="Style 37 2 2" xfId="337" xr:uid="{EF4EBE0A-7288-4146-B619-2313387F4C15}"/>
    <cellStyle name="Style 37 3" xfId="318" xr:uid="{855370B4-7651-4E2E-9D1B-553EC167A044}"/>
    <cellStyle name="Style 40" xfId="86" xr:uid="{5128ADF3-E8F5-4A73-A469-BE9FCED8CB16}"/>
    <cellStyle name="Style 40 2" xfId="255" xr:uid="{14862CDC-4699-4913-856F-15C4AC85BBED}"/>
    <cellStyle name="Style 41" xfId="87" xr:uid="{7C95333E-4E87-433F-889E-CEBBCD2F04C1}"/>
    <cellStyle name="Style 41 2" xfId="256" xr:uid="{95C3D230-9714-4069-AB1D-773883949CF7}"/>
    <cellStyle name="Style 42" xfId="88" xr:uid="{86344C81-A873-4592-B0B5-3C6F6518C640}"/>
    <cellStyle name="Style 42 2" xfId="257" xr:uid="{D7723684-966B-4200-8B81-FD0D87F6F5C2}"/>
    <cellStyle name="Style 43" xfId="89" xr:uid="{0528C6A4-BBFB-4EEE-87F3-3A4B5719F745}"/>
    <cellStyle name="Style 43 2" xfId="258" xr:uid="{DC0D75A6-9BB1-4D08-9634-553013FD777C}"/>
    <cellStyle name="Style 44" xfId="90" xr:uid="{C3A1E7DC-9ECE-4D36-B303-0E91C6DA2D13}"/>
    <cellStyle name="Style 44 2" xfId="259" xr:uid="{8441B26E-A120-4829-8988-B27BE0362E89}"/>
    <cellStyle name="Style 45" xfId="91" xr:uid="{10E9D419-1671-4733-8DC5-BE3286B4D4F7}"/>
    <cellStyle name="Style 45 2" xfId="260" xr:uid="{3A39A753-B9E5-4162-9162-25295A21F464}"/>
    <cellStyle name="Style 46" xfId="92" xr:uid="{16DDF9C7-3B70-4078-9631-13DFA171D746}"/>
    <cellStyle name="Style 46 2" xfId="261" xr:uid="{31689597-E694-4F0A-BD04-9C9BB6212189}"/>
    <cellStyle name="Style 47" xfId="93" xr:uid="{D570D633-8298-4B27-9A88-98EF4E5F9383}"/>
    <cellStyle name="Style 47 2" xfId="262" xr:uid="{B6C77A9C-C500-40FD-B396-4519D5C79798}"/>
    <cellStyle name="Style 48" xfId="94" xr:uid="{31697CD4-434B-4445-9886-69650FCFDBB0}"/>
    <cellStyle name="Style 48 2" xfId="263" xr:uid="{498A5655-3980-4E62-9E48-FC3913D54225}"/>
    <cellStyle name="Style 49" xfId="95" xr:uid="{DF9F2A7B-9F04-4984-B451-32A63234BCCB}"/>
    <cellStyle name="Style 49 2" xfId="264" xr:uid="{2313B5A8-FC86-4086-B972-62C2D59391F6}"/>
    <cellStyle name="Style 50" xfId="96" xr:uid="{EF86D043-37B3-474F-902B-B43E7E7266D2}"/>
    <cellStyle name="Style 50 2" xfId="265" xr:uid="{C3FC6E2F-5C13-45F2-867D-3E50FC689A9C}"/>
    <cellStyle name="Style 54" xfId="97" xr:uid="{414F8735-BB64-479A-8051-4613828250BF}"/>
    <cellStyle name="Style 54 2" xfId="266" xr:uid="{6F44986D-93B0-43CB-8289-57B8D9E0F181}"/>
    <cellStyle name="Style 56" xfId="98" xr:uid="{31593967-5C21-4073-A1D9-4105560C8618}"/>
    <cellStyle name="Style 56 2" xfId="267" xr:uid="{F572271D-56FD-4A31-83FE-F2B5D1EAEB08}"/>
    <cellStyle name="Style 57" xfId="99" xr:uid="{C8DD86B5-445A-4794-9CB9-AAA16C4A884A}"/>
    <cellStyle name="Style 57 2" xfId="268" xr:uid="{CAEFE6AA-FC76-45BC-A459-6154003E036D}"/>
    <cellStyle name="Style 58" xfId="100" xr:uid="{723EC500-F5C5-49D8-957E-8942BD12FCB4}"/>
    <cellStyle name="Style 59" xfId="101" xr:uid="{CA44E3CA-6832-4B18-953F-2DBE8FDCECF8}"/>
    <cellStyle name="Style 59 2" xfId="269" xr:uid="{C228F633-1683-493B-B4E6-F263525680C0}"/>
    <cellStyle name="Style 60" xfId="102" xr:uid="{B06AB4F3-0957-489F-9930-ECE7A0A8B611}"/>
    <cellStyle name="Style 60 2" xfId="270" xr:uid="{F85F6AE5-51BD-42EA-A7F6-42BD6B0E0CE0}"/>
    <cellStyle name="Style 62" xfId="103" xr:uid="{2C38BB7E-12E2-48C9-801C-9A51EFD84682}"/>
    <cellStyle name="Style 62 2" xfId="271" xr:uid="{1D579790-D0D6-4F42-90C5-64D7ACE2703C}"/>
    <cellStyle name="Style 63" xfId="104" xr:uid="{D015BDA6-6703-4CD4-A47D-F551BDB89983}"/>
    <cellStyle name="Style 63 2" xfId="272" xr:uid="{BF6D09CF-7770-4746-9CCB-E3C6C0F9140E}"/>
    <cellStyle name="Style 64" xfId="105" xr:uid="{76C4A0F5-F4DA-4674-81C4-F5E35BC350A5}"/>
    <cellStyle name="Style 64 2" xfId="273" xr:uid="{1343A630-68EF-4E94-B8DA-E52303BF62FC}"/>
    <cellStyle name="Style 65" xfId="106" xr:uid="{867B0A6E-AAB2-406B-9B63-276EEB279062}"/>
    <cellStyle name="Style 65 2" xfId="274" xr:uid="{47096631-1F20-4077-BB05-1FC82561BA59}"/>
    <cellStyle name="Style 66" xfId="107" xr:uid="{1108D2AE-39D3-481B-B985-1F06366A3CEC}"/>
    <cellStyle name="Style 66 2" xfId="275" xr:uid="{3BACB747-4951-41B6-A115-B3877D6C1FBE}"/>
    <cellStyle name="Style 67" xfId="108" xr:uid="{882CB5F1-9016-4077-9EBF-725C276FC0AB}"/>
    <cellStyle name="Style 67 2" xfId="276" xr:uid="{90CB73DB-10C7-4E2F-BA93-DB9A0FB2B7F7}"/>
    <cellStyle name="Style 68" xfId="109" xr:uid="{3F9DFE89-6279-4E9C-9DE8-6603EF34D69D}"/>
    <cellStyle name="Style 68 2" xfId="277" xr:uid="{56D89FEF-CB07-4EF1-8F5C-B25B3A8ADF33}"/>
    <cellStyle name="Style 69" xfId="110" xr:uid="{42CEAACC-B98E-4975-B620-7A809FD61D07}"/>
    <cellStyle name="Style 69 2" xfId="278" xr:uid="{7D000F15-9C44-401A-A1C0-3FA736A9B15D}"/>
    <cellStyle name="Style 70" xfId="111" xr:uid="{2752EFFA-F0CB-4C0C-AA34-D60B4A4F44C8}"/>
    <cellStyle name="Style 70 2" xfId="279" xr:uid="{902A6931-B5AD-42FD-97BF-AF4139A033F6}"/>
    <cellStyle name="Style 71" xfId="112" xr:uid="{478DC354-6522-4354-B993-3BE549D16CD0}"/>
    <cellStyle name="Style 71 2" xfId="280" xr:uid="{F4302539-C787-4329-B9A4-D42EE574F66A}"/>
    <cellStyle name="Style 72" xfId="113" xr:uid="{2111B5B1-2043-4413-A0DB-D79B8445866F}"/>
    <cellStyle name="Style 72 2" xfId="281" xr:uid="{E90B31B4-53EF-4E8D-AA85-C24120264865}"/>
    <cellStyle name="Style 73" xfId="114" xr:uid="{396F673D-06B9-47CC-B8C0-5DFA4CD88EB2}"/>
    <cellStyle name="Style 73 2" xfId="282" xr:uid="{E8089BDB-E16D-4FB2-9C31-1826C0694A76}"/>
    <cellStyle name="Style 74" xfId="115" xr:uid="{B641B27A-E981-4E49-BD17-2CEC62E00621}"/>
    <cellStyle name="Style 74 2" xfId="283" xr:uid="{71062048-AC5E-48D5-BFA2-5D2B5079A5AA}"/>
    <cellStyle name="Style 83" xfId="116" xr:uid="{C19BE529-80DE-4CA6-A6AC-D6D75B053E28}"/>
    <cellStyle name="Style 83 2" xfId="284" xr:uid="{903C6FA1-EEB4-40C4-AFC1-BDD97BC6A0A4}"/>
    <cellStyle name="Style 85" xfId="117" xr:uid="{6B505F27-8E26-416A-B9CD-F9B7D60B8633}"/>
    <cellStyle name="Style 85 2" xfId="285" xr:uid="{F3270F66-67F4-4829-9A2C-4AF5C1E0C4CC}"/>
    <cellStyle name="Style 87" xfId="118" xr:uid="{53B2F172-4C5C-41E3-8D18-660B166AA25E}"/>
    <cellStyle name="Style 87 2" xfId="286" xr:uid="{5FC49221-7753-466D-BB85-000BFA5C07C9}"/>
    <cellStyle name="Style 89" xfId="119" xr:uid="{E01AB1DE-1860-48DB-96FB-15CBB4C97F9F}"/>
    <cellStyle name="Style 89 2" xfId="287" xr:uid="{69FA91F9-9E12-44A9-8C37-0EB8163E8E18}"/>
    <cellStyle name="Style 91" xfId="120" xr:uid="{644882FB-685B-4C11-94F7-C2E57832A9F9}"/>
    <cellStyle name="Style 91 2" xfId="288" xr:uid="{1980679A-EBDB-4835-BB70-7AE583083ABB}"/>
    <cellStyle name="Style 93" xfId="121" xr:uid="{D0F5ABE8-9405-4188-8702-620E4AE9805D}"/>
    <cellStyle name="Style 93 2" xfId="289" xr:uid="{58EB04E2-2C36-467C-A0D3-269D0C5405B1}"/>
    <cellStyle name="Style 95" xfId="122" xr:uid="{7C4930F8-7000-44DB-A0B4-EB0C76216039}"/>
    <cellStyle name="Style 95 2" xfId="290" xr:uid="{1625064D-01C6-48E1-AD48-DFE4F3BB1B78}"/>
    <cellStyle name="Style 97" xfId="123" xr:uid="{35E810BD-AE6D-48B5-921F-796F9BE66102}"/>
    <cellStyle name="Style 97 2" xfId="291" xr:uid="{4985C69C-8639-4FCF-806E-9799E068E299}"/>
    <cellStyle name="Style 99" xfId="124" xr:uid="{CFE8EAFA-0B73-40EA-BE8B-2770F9DBEEC4}"/>
    <cellStyle name="Style 99 2" xfId="292" xr:uid="{479E6699-8BA4-4A66-9EC8-784DD079A873}"/>
    <cellStyle name="Title 2" xfId="152" xr:uid="{D9CE4EE5-EADB-4397-B3F6-348D85C9FAF8}"/>
    <cellStyle name="Title 2 2" xfId="320" xr:uid="{A80936EB-514F-4A45-9C13-E7767E6C84D5}"/>
    <cellStyle name="Total 2" xfId="156" xr:uid="{B94BA229-F50C-4832-B45C-6C49155D1133}"/>
    <cellStyle name="Total 3" xfId="125" xr:uid="{5958BB86-C49B-4567-B73E-B00826613358}"/>
    <cellStyle name="Warning Text" xfId="11" builtinId="11" customBuiltin="1"/>
    <cellStyle name="Warning Text 2" xfId="180" xr:uid="{80481376-D931-4560-B9FB-56B17AE1C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D809-A168-4C06-9AE0-44BB9A26A7AF}">
  <sheetPr codeName="Sheet1"/>
  <dimension ref="A1:K31"/>
  <sheetViews>
    <sheetView tabSelected="1" zoomScale="115" zoomScaleNormal="115" workbookViewId="0">
      <pane ySplit="1" topLeftCell="A2" activePane="bottomLeft" state="frozen"/>
      <selection pane="bottomLeft" activeCell="K18" sqref="K18"/>
    </sheetView>
  </sheetViews>
  <sheetFormatPr defaultRowHeight="15" x14ac:dyDescent="0.25"/>
  <cols>
    <col min="3" max="3" width="8.5703125" bestFit="1" customWidth="1"/>
    <col min="4" max="6" width="8.28515625" bestFit="1" customWidth="1"/>
    <col min="7" max="7" width="9.140625" customWidth="1"/>
    <col min="8" max="11" width="11.7109375" customWidth="1"/>
    <col min="12" max="12" width="10.7109375" customWidth="1"/>
    <col min="13" max="15" width="11.7109375" customWidth="1"/>
    <col min="16" max="16" width="10.7109375" customWidth="1"/>
    <col min="17" max="19" width="11.7109375" customWidth="1"/>
    <col min="20" max="20" width="10.7109375" customWidth="1"/>
    <col min="21" max="41" width="11.7109375" customWidth="1"/>
    <col min="42" max="42" width="10.7109375" customWidth="1"/>
    <col min="43" max="79" width="11.7109375" customWidth="1"/>
    <col min="80" max="91" width="10.7109375" customWidth="1"/>
    <col min="92" max="169" width="11.7109375" customWidth="1"/>
  </cols>
  <sheetData>
    <row r="1" spans="1:11" x14ac:dyDescent="0.25">
      <c r="A1" t="s">
        <v>29</v>
      </c>
      <c r="B1" t="s">
        <v>6</v>
      </c>
      <c r="C1" s="1" t="s">
        <v>0</v>
      </c>
      <c r="D1" s="1" t="s">
        <v>2</v>
      </c>
      <c r="E1" s="1" t="s">
        <v>1</v>
      </c>
      <c r="F1" s="1" t="s">
        <v>4</v>
      </c>
      <c r="G1" s="1" t="s">
        <v>30</v>
      </c>
    </row>
    <row r="2" spans="1:11" x14ac:dyDescent="0.25">
      <c r="A2">
        <v>1</v>
      </c>
      <c r="B2" s="1" t="s">
        <v>7</v>
      </c>
      <c r="C2" s="14">
        <v>1262.7382668258476</v>
      </c>
      <c r="D2" s="14">
        <v>1160.6818905616901</v>
      </c>
      <c r="E2" s="14">
        <v>1345.018447145982</v>
      </c>
      <c r="F2" s="14">
        <v>1823.4322437703368</v>
      </c>
      <c r="G2" s="16">
        <v>167.87</v>
      </c>
      <c r="H2" s="15"/>
    </row>
    <row r="3" spans="1:11" x14ac:dyDescent="0.25">
      <c r="A3">
        <f>A2+1</f>
        <v>2</v>
      </c>
      <c r="B3" s="1" t="s">
        <v>8</v>
      </c>
      <c r="C3" s="14">
        <v>1216.6732152857319</v>
      </c>
      <c r="D3" s="14">
        <v>1099.8539901967495</v>
      </c>
      <c r="E3" s="14">
        <v>1326.6502925390985</v>
      </c>
      <c r="F3" s="14">
        <v>1805.0640891634532</v>
      </c>
      <c r="G3" s="16">
        <v>128.78</v>
      </c>
      <c r="H3" s="15"/>
      <c r="K3" s="12"/>
    </row>
    <row r="4" spans="1:11" x14ac:dyDescent="0.25">
      <c r="A4">
        <f t="shared" ref="A4:A25" si="0">A3+1</f>
        <v>3</v>
      </c>
      <c r="B4" s="1" t="s">
        <v>9</v>
      </c>
      <c r="C4" s="14">
        <v>1894.1950132993616</v>
      </c>
      <c r="D4" s="14">
        <v>1571.7540553925019</v>
      </c>
      <c r="E4" s="14">
        <v>1384.437850829059</v>
      </c>
      <c r="F4" s="14">
        <v>1862.8516474534135</v>
      </c>
      <c r="G4" s="16">
        <v>251.76</v>
      </c>
      <c r="H4" s="17"/>
    </row>
    <row r="5" spans="1:11" x14ac:dyDescent="0.25">
      <c r="A5">
        <f t="shared" si="0"/>
        <v>4</v>
      </c>
      <c r="B5" s="1" t="s">
        <v>10</v>
      </c>
      <c r="C5" s="14">
        <v>1438.9416384464514</v>
      </c>
      <c r="D5" s="14">
        <v>1251.7429271867602</v>
      </c>
      <c r="E5" s="14">
        <v>1344.1397454546322</v>
      </c>
      <c r="F5" s="14">
        <v>1822.5535420789868</v>
      </c>
      <c r="G5" s="16">
        <v>166</v>
      </c>
      <c r="H5" s="17"/>
    </row>
    <row r="6" spans="1:11" x14ac:dyDescent="0.25">
      <c r="A6">
        <f t="shared" si="0"/>
        <v>5</v>
      </c>
      <c r="B6" s="1" t="s">
        <v>11</v>
      </c>
      <c r="C6" s="14">
        <v>1303.4009267434199</v>
      </c>
      <c r="D6" s="14">
        <v>1191.1169790253009</v>
      </c>
      <c r="E6" s="14">
        <v>1349.5482248489845</v>
      </c>
      <c r="F6" s="14">
        <v>1827.9620214733391</v>
      </c>
      <c r="G6" s="16">
        <v>177.51</v>
      </c>
      <c r="H6" s="15"/>
    </row>
    <row r="7" spans="1:11" x14ac:dyDescent="0.25">
      <c r="A7">
        <f t="shared" si="0"/>
        <v>6</v>
      </c>
      <c r="B7" s="1" t="s">
        <v>12</v>
      </c>
      <c r="C7" s="14">
        <v>1499.4204370465113</v>
      </c>
      <c r="D7" s="14">
        <v>1332.4071299627287</v>
      </c>
      <c r="E7" s="14">
        <v>1368.6588119009659</v>
      </c>
      <c r="F7" s="14">
        <v>1847.0726085253207</v>
      </c>
      <c r="G7" s="16">
        <v>218.18</v>
      </c>
      <c r="H7" s="15"/>
    </row>
    <row r="8" spans="1:11" x14ac:dyDescent="0.25">
      <c r="A8">
        <f t="shared" si="0"/>
        <v>7</v>
      </c>
      <c r="B8" s="1" t="s">
        <v>13</v>
      </c>
      <c r="C8" s="14">
        <v>2293.519088860879</v>
      </c>
      <c r="D8" s="14">
        <v>1841.4841890319512</v>
      </c>
      <c r="E8" s="14">
        <v>1414.2761168187524</v>
      </c>
      <c r="F8" s="14">
        <v>1892.6899134431071</v>
      </c>
      <c r="G8" s="16">
        <v>315.26</v>
      </c>
      <c r="H8" s="15"/>
    </row>
    <row r="9" spans="1:11" x14ac:dyDescent="0.25">
      <c r="A9">
        <f t="shared" si="0"/>
        <v>8</v>
      </c>
      <c r="B9" s="1" t="s">
        <v>14</v>
      </c>
      <c r="C9" s="14">
        <v>3129.6771784878342</v>
      </c>
      <c r="D9" s="14">
        <v>2426.041502250243</v>
      </c>
      <c r="E9" s="14">
        <v>1486.6820759738998</v>
      </c>
      <c r="F9" s="14">
        <v>1965.0958725982543</v>
      </c>
      <c r="G9" s="16">
        <v>469.35</v>
      </c>
      <c r="H9" s="15"/>
    </row>
    <row r="10" spans="1:11" x14ac:dyDescent="0.25">
      <c r="A10">
        <f t="shared" si="0"/>
        <v>9</v>
      </c>
      <c r="B10" s="1" t="s">
        <v>15</v>
      </c>
      <c r="C10" s="14">
        <v>2640.8126214601607</v>
      </c>
      <c r="D10" s="14">
        <v>2066.4291267226913</v>
      </c>
      <c r="E10" s="14">
        <v>1435.3837531692568</v>
      </c>
      <c r="F10" s="14">
        <v>1913.7975497936113</v>
      </c>
      <c r="G10" s="16">
        <v>360.18</v>
      </c>
      <c r="H10" s="15"/>
    </row>
    <row r="11" spans="1:11" x14ac:dyDescent="0.25">
      <c r="A11">
        <f t="shared" si="0"/>
        <v>10</v>
      </c>
      <c r="B11" s="1" t="s">
        <v>32</v>
      </c>
      <c r="C11" s="14">
        <v>1743.5761404316524</v>
      </c>
      <c r="D11" s="14">
        <v>1404.5117534749779</v>
      </c>
      <c r="E11" s="14">
        <v>1340.2772171643128</v>
      </c>
      <c r="F11" s="14">
        <v>1818.6910137886673</v>
      </c>
      <c r="G11" s="16">
        <v>157.78</v>
      </c>
      <c r="H11" s="15"/>
    </row>
    <row r="12" spans="1:11" x14ac:dyDescent="0.25">
      <c r="A12">
        <f t="shared" si="0"/>
        <v>11</v>
      </c>
      <c r="B12" s="1" t="s">
        <v>33</v>
      </c>
      <c r="C12" s="14">
        <v>1596.1812019251142</v>
      </c>
      <c r="D12" s="14">
        <v>1343.4039275827508</v>
      </c>
      <c r="E12" s="14">
        <v>1348.5802433066417</v>
      </c>
      <c r="F12" s="14">
        <v>1826.9940399309962</v>
      </c>
      <c r="G12" s="16">
        <v>175.45</v>
      </c>
      <c r="H12" s="15"/>
    </row>
    <row r="13" spans="1:11" x14ac:dyDescent="0.25">
      <c r="A13">
        <f t="shared" si="0"/>
        <v>12</v>
      </c>
      <c r="B13" s="1" t="s">
        <v>34</v>
      </c>
      <c r="C13" s="14">
        <v>1610.523073432983</v>
      </c>
      <c r="D13" s="14">
        <v>1426.9211779574059</v>
      </c>
      <c r="E13" s="14">
        <v>1386.7403311967678</v>
      </c>
      <c r="F13" s="14">
        <v>1865.1541278211223</v>
      </c>
      <c r="G13" s="16">
        <v>256.66000000000003</v>
      </c>
      <c r="H13" s="15"/>
    </row>
    <row r="14" spans="1:11" x14ac:dyDescent="0.25">
      <c r="A14">
        <f t="shared" si="0"/>
        <v>13</v>
      </c>
      <c r="B14" s="1" t="s">
        <v>35</v>
      </c>
      <c r="C14" s="14">
        <v>901.85651889486576</v>
      </c>
      <c r="D14" s="14">
        <v>932.97664518119029</v>
      </c>
      <c r="E14" s="14">
        <v>1314.2518073090587</v>
      </c>
      <c r="F14" s="14">
        <v>1791.8197894863429</v>
      </c>
      <c r="G14" s="16">
        <v>135.59</v>
      </c>
      <c r="H14" s="15"/>
    </row>
    <row r="15" spans="1:11" x14ac:dyDescent="0.25">
      <c r="A15">
        <f t="shared" si="0"/>
        <v>14</v>
      </c>
      <c r="B15" s="1" t="s">
        <v>36</v>
      </c>
      <c r="C15" s="14">
        <v>738.90936114402393</v>
      </c>
      <c r="D15" s="14">
        <v>840.41395732296019</v>
      </c>
      <c r="E15" s="14">
        <v>1310.8685708503845</v>
      </c>
      <c r="F15" s="14">
        <v>1788.4365530276691</v>
      </c>
      <c r="G15" s="16">
        <v>128.38999999999999</v>
      </c>
      <c r="H15" s="15"/>
    </row>
    <row r="16" spans="1:11" x14ac:dyDescent="0.25">
      <c r="A16">
        <f t="shared" si="0"/>
        <v>15</v>
      </c>
      <c r="B16" s="1" t="s">
        <v>37</v>
      </c>
      <c r="C16" s="14">
        <v>617.14870707413957</v>
      </c>
      <c r="D16" s="14">
        <v>751.96912380595745</v>
      </c>
      <c r="E16" s="14">
        <v>1298.6560270224772</v>
      </c>
      <c r="F16" s="14">
        <v>1776.2240091997614</v>
      </c>
      <c r="G16" s="16">
        <v>102.4</v>
      </c>
      <c r="H16" s="15"/>
    </row>
    <row r="17" spans="1:8" x14ac:dyDescent="0.25">
      <c r="A17">
        <f t="shared" si="0"/>
        <v>16</v>
      </c>
      <c r="B17" s="1" t="s">
        <v>38</v>
      </c>
      <c r="C17" s="14">
        <v>604.12184598512681</v>
      </c>
      <c r="D17" s="14">
        <v>743.6390244400493</v>
      </c>
      <c r="E17" s="14">
        <v>1297.9182935169051</v>
      </c>
      <c r="F17" s="14">
        <v>1775.4862756941893</v>
      </c>
      <c r="G17" s="16">
        <v>100.83</v>
      </c>
      <c r="H17" s="15"/>
    </row>
    <row r="18" spans="1:8" x14ac:dyDescent="0.25">
      <c r="A18">
        <f t="shared" si="0"/>
        <v>17</v>
      </c>
      <c r="B18" s="1" t="s">
        <v>39</v>
      </c>
      <c r="C18" s="14">
        <v>451.67759756531962</v>
      </c>
      <c r="D18" s="14">
        <v>645.40247229735428</v>
      </c>
      <c r="E18" s="14">
        <v>1288.90572750616</v>
      </c>
      <c r="F18" s="14">
        <v>1766.4737096834442</v>
      </c>
      <c r="G18" s="16">
        <v>81.650000000000006</v>
      </c>
      <c r="H18" s="15"/>
    </row>
    <row r="19" spans="1:8" x14ac:dyDescent="0.25">
      <c r="A19">
        <f t="shared" si="0"/>
        <v>18</v>
      </c>
      <c r="B19" s="1" t="s">
        <v>40</v>
      </c>
      <c r="C19" s="14">
        <v>462.4847326629295</v>
      </c>
      <c r="D19" s="14">
        <v>663.4326313948161</v>
      </c>
      <c r="E19" s="14">
        <v>1295.1036287408697</v>
      </c>
      <c r="F19" s="14">
        <v>1772.6716109181539</v>
      </c>
      <c r="G19" s="16">
        <v>94.84</v>
      </c>
      <c r="H19" s="15"/>
    </row>
    <row r="20" spans="1:8" x14ac:dyDescent="0.25">
      <c r="A20">
        <f t="shared" si="0"/>
        <v>19</v>
      </c>
      <c r="B20" s="1" t="s">
        <v>41</v>
      </c>
      <c r="C20" s="14">
        <v>426.50064372070176</v>
      </c>
      <c r="D20" s="14">
        <v>628.24063455968803</v>
      </c>
      <c r="E20" s="14">
        <v>1286.9462697238446</v>
      </c>
      <c r="F20" s="14">
        <v>1764.5142519011292</v>
      </c>
      <c r="G20" s="16">
        <v>77.48</v>
      </c>
      <c r="H20" s="15"/>
    </row>
    <row r="21" spans="1:8" x14ac:dyDescent="0.25">
      <c r="A21">
        <f t="shared" si="0"/>
        <v>20</v>
      </c>
      <c r="B21" s="1" t="s">
        <v>42</v>
      </c>
      <c r="C21" s="14">
        <v>500.07643209578492</v>
      </c>
      <c r="D21" s="14">
        <v>682.83079382423125</v>
      </c>
      <c r="E21" s="14">
        <v>1294.9015743412542</v>
      </c>
      <c r="F21" s="14">
        <v>1772.4695565185384</v>
      </c>
      <c r="G21" s="16">
        <v>94.41</v>
      </c>
      <c r="H21" s="15"/>
    </row>
    <row r="22" spans="1:8" x14ac:dyDescent="0.25">
      <c r="A22">
        <f t="shared" si="0"/>
        <v>21</v>
      </c>
      <c r="B22" s="1" t="s">
        <v>43</v>
      </c>
      <c r="C22" s="14">
        <v>516.0435058484295</v>
      </c>
      <c r="D22" s="14">
        <v>697.15267355888125</v>
      </c>
      <c r="E22" s="14">
        <v>1297.8713041216456</v>
      </c>
      <c r="F22" s="14">
        <v>1775.4392862989303</v>
      </c>
      <c r="G22" s="16">
        <v>100.73</v>
      </c>
      <c r="H22" s="15"/>
    </row>
    <row r="23" spans="1:8" x14ac:dyDescent="0.25">
      <c r="A23">
        <f t="shared" si="0"/>
        <v>22</v>
      </c>
      <c r="B23" s="1" t="s">
        <v>44</v>
      </c>
      <c r="C23" s="14">
        <v>650.99206530037759</v>
      </c>
      <c r="D23" s="14">
        <v>755.68947991456776</v>
      </c>
      <c r="E23" s="14">
        <v>1291.5700262173657</v>
      </c>
      <c r="F23" s="14">
        <v>1769.1380083946501</v>
      </c>
      <c r="G23" s="16">
        <v>87.32</v>
      </c>
      <c r="H23" s="15"/>
    </row>
    <row r="24" spans="1:8" x14ac:dyDescent="0.25">
      <c r="A24">
        <f t="shared" si="0"/>
        <v>23</v>
      </c>
      <c r="B24" s="1" t="s">
        <v>45</v>
      </c>
      <c r="C24" s="14">
        <v>647.21858834007003</v>
      </c>
      <c r="D24" s="14">
        <v>757.31251369838776</v>
      </c>
      <c r="E24" s="14">
        <v>1293.3838168743769</v>
      </c>
      <c r="F24" s="14">
        <v>1770.9517990516615</v>
      </c>
      <c r="G24" s="16">
        <v>91.18</v>
      </c>
      <c r="H24" s="15"/>
    </row>
    <row r="25" spans="1:8" x14ac:dyDescent="0.25">
      <c r="A25">
        <f t="shared" si="0"/>
        <v>24</v>
      </c>
      <c r="B25" s="1" t="s">
        <v>46</v>
      </c>
      <c r="C25" s="14">
        <v>514.13839646576275</v>
      </c>
      <c r="D25" s="14">
        <v>665.88932495766085</v>
      </c>
      <c r="E25" s="14">
        <v>1282.6702347552427</v>
      </c>
      <c r="F25" s="14">
        <v>1760.2382169325274</v>
      </c>
      <c r="G25" s="16">
        <v>68.38</v>
      </c>
      <c r="H25" s="15"/>
    </row>
    <row r="26" spans="1:8" x14ac:dyDescent="0.25">
      <c r="C26" s="15"/>
      <c r="D26" s="15"/>
      <c r="E26" s="15"/>
      <c r="F26" s="15"/>
      <c r="G26" s="15"/>
      <c r="H26" s="15"/>
    </row>
    <row r="27" spans="1:8" x14ac:dyDescent="0.25">
      <c r="C27" s="15"/>
      <c r="D27" s="15"/>
      <c r="E27" s="15"/>
      <c r="F27" s="15"/>
      <c r="G27" s="15"/>
      <c r="H27" s="15"/>
    </row>
    <row r="28" spans="1:8" x14ac:dyDescent="0.25">
      <c r="C28" s="15"/>
      <c r="D28" s="15"/>
      <c r="E28" s="15"/>
      <c r="F28" s="15"/>
      <c r="G28" s="15"/>
      <c r="H28" s="15"/>
    </row>
    <row r="29" spans="1:8" x14ac:dyDescent="0.25">
      <c r="C29" s="15"/>
      <c r="D29" s="15"/>
      <c r="E29" s="15"/>
      <c r="F29" s="15"/>
      <c r="G29" s="15"/>
      <c r="H29" s="15"/>
    </row>
    <row r="30" spans="1:8" x14ac:dyDescent="0.25">
      <c r="C30" s="15"/>
      <c r="D30" s="15"/>
      <c r="E30" s="15"/>
      <c r="F30" s="15"/>
      <c r="G30" s="15"/>
      <c r="H30" s="15"/>
    </row>
    <row r="31" spans="1:8" x14ac:dyDescent="0.25">
      <c r="C31" s="15"/>
      <c r="D31" s="15"/>
      <c r="E31" s="15"/>
      <c r="F31" s="15"/>
      <c r="G31" s="15"/>
      <c r="H31" s="15"/>
    </row>
  </sheetData>
  <phoneticPr fontId="5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A92B-7A9B-4662-8884-2DD72E23802D}">
  <sheetPr codeName="Sheet2"/>
  <dimension ref="A1:O25"/>
  <sheetViews>
    <sheetView zoomScale="120" zoomScaleNormal="120" workbookViewId="0">
      <selection activeCell="G8" sqref="G8"/>
    </sheetView>
  </sheetViews>
  <sheetFormatPr defaultRowHeight="15" x14ac:dyDescent="0.25"/>
  <cols>
    <col min="1" max="1" width="7.42578125" bestFit="1" customWidth="1"/>
    <col min="2" max="2" width="9.42578125" bestFit="1" customWidth="1"/>
    <col min="3" max="3" width="7.85546875" bestFit="1" customWidth="1"/>
    <col min="4" max="5" width="8.140625" bestFit="1" customWidth="1"/>
  </cols>
  <sheetData>
    <row r="1" spans="1:15" ht="49.5" x14ac:dyDescent="0.25">
      <c r="A1" s="8"/>
      <c r="B1" s="9" t="s">
        <v>31</v>
      </c>
      <c r="C1" s="9" t="s">
        <v>2</v>
      </c>
      <c r="D1" s="9" t="s">
        <v>1</v>
      </c>
      <c r="E1" s="9" t="s">
        <v>4</v>
      </c>
      <c r="H1" s="8"/>
      <c r="I1" s="9"/>
      <c r="J1" s="9"/>
      <c r="K1" s="9"/>
      <c r="L1" s="9"/>
      <c r="M1" s="9"/>
      <c r="N1" s="9"/>
      <c r="O1" s="10"/>
    </row>
    <row r="2" spans="1:15" x14ac:dyDescent="0.25">
      <c r="A2" s="1" t="str">
        <f>Ammonia!B2</f>
        <v>Jan '22</v>
      </c>
      <c r="B2" s="2">
        <f>Ammonia!C2</f>
        <v>1262.7382668258476</v>
      </c>
      <c r="C2" s="2">
        <f>Ammonia!D2</f>
        <v>1160.6818905616901</v>
      </c>
      <c r="D2" s="2">
        <f>Ammonia!E2</f>
        <v>1345.018447145982</v>
      </c>
      <c r="E2" s="2">
        <f>Ammonia!F2</f>
        <v>1823.4322437703368</v>
      </c>
      <c r="G2" s="11"/>
      <c r="H2" s="2"/>
      <c r="I2" s="2"/>
      <c r="J2" s="2"/>
      <c r="K2" s="2"/>
      <c r="L2" s="2"/>
      <c r="M2" s="2"/>
      <c r="N2" s="2"/>
      <c r="O2" s="2"/>
    </row>
    <row r="3" spans="1:15" x14ac:dyDescent="0.25">
      <c r="A3" s="1" t="str">
        <f>Ammonia!B3</f>
        <v>Feb '22</v>
      </c>
      <c r="B3" s="2">
        <f>Ammonia!C3</f>
        <v>1216.6732152857319</v>
      </c>
      <c r="C3" s="2">
        <f>Ammonia!D3</f>
        <v>1099.8539901967495</v>
      </c>
      <c r="D3" s="2">
        <f>Ammonia!E3</f>
        <v>1326.6502925390985</v>
      </c>
      <c r="E3" s="2">
        <f>Ammonia!F3</f>
        <v>1805.0640891634532</v>
      </c>
      <c r="H3" s="1"/>
      <c r="I3" s="2"/>
      <c r="J3" s="2"/>
      <c r="K3" s="2"/>
      <c r="L3" s="2"/>
      <c r="M3" s="2"/>
      <c r="N3" s="2"/>
      <c r="O3" s="2"/>
    </row>
    <row r="4" spans="1:15" x14ac:dyDescent="0.25">
      <c r="A4" s="1" t="str">
        <f>Ammonia!B4</f>
        <v>Mar '22</v>
      </c>
      <c r="B4" s="2">
        <f>Ammonia!C4</f>
        <v>1894.1950132993616</v>
      </c>
      <c r="C4" s="2">
        <f>Ammonia!D4</f>
        <v>1571.7540553925019</v>
      </c>
      <c r="D4" s="2">
        <f>Ammonia!E4</f>
        <v>1384.437850829059</v>
      </c>
      <c r="E4" s="2">
        <f>Ammonia!F4</f>
        <v>1862.8516474534135</v>
      </c>
      <c r="H4" s="1"/>
      <c r="I4" s="2"/>
      <c r="J4" s="2"/>
      <c r="K4" s="2"/>
      <c r="L4" s="2"/>
      <c r="M4" s="2"/>
      <c r="N4" s="2"/>
      <c r="O4" s="2"/>
    </row>
    <row r="5" spans="1:15" x14ac:dyDescent="0.25">
      <c r="A5" s="1" t="str">
        <f>Ammonia!B5</f>
        <v>Apr '22</v>
      </c>
      <c r="B5" s="2">
        <f>Ammonia!C5</f>
        <v>1438.9416384464514</v>
      </c>
      <c r="C5" s="2">
        <f>Ammonia!D5</f>
        <v>1251.7429271867602</v>
      </c>
      <c r="D5" s="2">
        <f>Ammonia!E5</f>
        <v>1344.1397454546322</v>
      </c>
      <c r="E5" s="2">
        <f>Ammonia!F5</f>
        <v>1822.5535420789868</v>
      </c>
      <c r="H5" s="1"/>
      <c r="I5" s="2"/>
      <c r="J5" s="2"/>
      <c r="K5" s="2"/>
      <c r="L5" s="2"/>
      <c r="M5" s="2"/>
      <c r="N5" s="2"/>
      <c r="O5" s="2"/>
    </row>
    <row r="6" spans="1:15" x14ac:dyDescent="0.25">
      <c r="A6" s="1" t="str">
        <f>Ammonia!B6</f>
        <v>May '22</v>
      </c>
      <c r="B6" s="2">
        <f>Ammonia!C6</f>
        <v>1303.4009267434199</v>
      </c>
      <c r="C6" s="2">
        <f>Ammonia!D6</f>
        <v>1191.1169790253009</v>
      </c>
      <c r="D6" s="2">
        <f>Ammonia!E6</f>
        <v>1349.5482248489845</v>
      </c>
      <c r="E6" s="2">
        <f>Ammonia!F6</f>
        <v>1827.9620214733391</v>
      </c>
      <c r="H6" s="1"/>
      <c r="I6" s="2"/>
      <c r="J6" s="2"/>
      <c r="K6" s="2"/>
      <c r="L6" s="2"/>
      <c r="M6" s="2"/>
      <c r="N6" s="2"/>
      <c r="O6" s="2"/>
    </row>
    <row r="7" spans="1:15" x14ac:dyDescent="0.25">
      <c r="A7" s="1" t="str">
        <f>Ammonia!B7</f>
        <v>Jun '22</v>
      </c>
      <c r="B7" s="2">
        <f>Ammonia!C7</f>
        <v>1499.4204370465113</v>
      </c>
      <c r="C7" s="2">
        <f>Ammonia!D7</f>
        <v>1332.4071299627287</v>
      </c>
      <c r="D7" s="2">
        <f>Ammonia!E7</f>
        <v>1368.6588119009659</v>
      </c>
      <c r="E7" s="2">
        <f>Ammonia!F7</f>
        <v>1847.0726085253207</v>
      </c>
      <c r="H7" s="1"/>
      <c r="I7" s="2"/>
      <c r="J7" s="2"/>
      <c r="K7" s="2"/>
      <c r="L7" s="2"/>
      <c r="M7" s="2"/>
      <c r="N7" s="2"/>
      <c r="O7" s="2"/>
    </row>
    <row r="8" spans="1:15" x14ac:dyDescent="0.25">
      <c r="A8" s="1" t="str">
        <f>Ammonia!B8</f>
        <v>Jul '22</v>
      </c>
      <c r="B8" s="2">
        <f>Ammonia!C8</f>
        <v>2293.519088860879</v>
      </c>
      <c r="C8" s="2">
        <f>Ammonia!D8</f>
        <v>1841.4841890319512</v>
      </c>
      <c r="D8" s="2">
        <f>Ammonia!E8</f>
        <v>1414.2761168187524</v>
      </c>
      <c r="E8" s="2">
        <f>Ammonia!F8</f>
        <v>1892.6899134431071</v>
      </c>
      <c r="H8" s="1"/>
      <c r="I8" s="2"/>
      <c r="J8" s="2"/>
      <c r="K8" s="2"/>
      <c r="L8" s="2"/>
      <c r="M8" s="2"/>
      <c r="N8" s="2"/>
      <c r="O8" s="2"/>
    </row>
    <row r="9" spans="1:15" x14ac:dyDescent="0.25">
      <c r="A9" s="1" t="str">
        <f>Ammonia!B9</f>
        <v>Aug '22</v>
      </c>
      <c r="B9" s="2">
        <f>Ammonia!C9</f>
        <v>3129.6771784878342</v>
      </c>
      <c r="C9" s="2">
        <f>Ammonia!D9</f>
        <v>2426.041502250243</v>
      </c>
      <c r="D9" s="2">
        <f>Ammonia!E9</f>
        <v>1486.6820759738998</v>
      </c>
      <c r="E9" s="2">
        <f>Ammonia!F9</f>
        <v>1965.0958725982543</v>
      </c>
      <c r="H9" s="1"/>
      <c r="I9" s="2"/>
      <c r="J9" s="2"/>
      <c r="K9" s="2"/>
      <c r="L9" s="2"/>
      <c r="M9" s="2"/>
      <c r="N9" s="2"/>
      <c r="O9" s="2"/>
    </row>
    <row r="10" spans="1:15" x14ac:dyDescent="0.25">
      <c r="A10" s="1" t="str">
        <f>Ammonia!B10</f>
        <v>Sep '22</v>
      </c>
      <c r="B10" s="2">
        <f>Ammonia!C10</f>
        <v>2640.8126214601607</v>
      </c>
      <c r="C10" s="2">
        <f>Ammonia!D10</f>
        <v>2066.4291267226913</v>
      </c>
      <c r="D10" s="2">
        <f>Ammonia!E10</f>
        <v>1435.3837531692568</v>
      </c>
      <c r="E10" s="2">
        <f>Ammonia!F10</f>
        <v>1913.7975497936113</v>
      </c>
      <c r="H10" s="1"/>
      <c r="I10" s="2"/>
      <c r="J10" s="2"/>
      <c r="K10" s="2"/>
      <c r="L10" s="2"/>
      <c r="M10" s="2"/>
      <c r="N10" s="2"/>
      <c r="O10" s="2"/>
    </row>
    <row r="11" spans="1:15" x14ac:dyDescent="0.25">
      <c r="A11" s="1" t="str">
        <f>Ammonia!B11</f>
        <v>Oct '22</v>
      </c>
      <c r="B11" s="2">
        <f>Ammonia!C11</f>
        <v>1743.5761404316524</v>
      </c>
      <c r="C11" s="2">
        <f>Ammonia!D11</f>
        <v>1404.5117534749779</v>
      </c>
      <c r="D11" s="2">
        <f>Ammonia!E11</f>
        <v>1340.2772171643128</v>
      </c>
      <c r="E11" s="2">
        <f>Ammonia!F11</f>
        <v>1818.6910137886673</v>
      </c>
      <c r="H11" s="1"/>
      <c r="I11" s="2"/>
      <c r="J11" s="2"/>
      <c r="K11" s="2"/>
      <c r="L11" s="2"/>
      <c r="M11" s="2"/>
      <c r="N11" s="2"/>
      <c r="O11" s="2"/>
    </row>
    <row r="12" spans="1:15" x14ac:dyDescent="0.25">
      <c r="A12" s="1" t="str">
        <f>Ammonia!B12</f>
        <v>Nov '22</v>
      </c>
      <c r="B12" s="2">
        <f>Ammonia!C12</f>
        <v>1596.1812019251142</v>
      </c>
      <c r="C12" s="2">
        <f>Ammonia!D12</f>
        <v>1343.4039275827508</v>
      </c>
      <c r="D12" s="2">
        <f>Ammonia!E12</f>
        <v>1348.5802433066417</v>
      </c>
      <c r="E12" s="2">
        <f>Ammonia!F12</f>
        <v>1826.9940399309962</v>
      </c>
      <c r="H12" s="1"/>
      <c r="I12" s="2"/>
      <c r="J12" s="2"/>
      <c r="K12" s="2"/>
      <c r="L12" s="2"/>
      <c r="M12" s="2"/>
      <c r="N12" s="2"/>
      <c r="O12" s="2"/>
    </row>
    <row r="13" spans="1:15" x14ac:dyDescent="0.25">
      <c r="A13" s="1" t="str">
        <f>Ammonia!B13</f>
        <v>Dec '22</v>
      </c>
      <c r="B13" s="2">
        <f>Ammonia!C13</f>
        <v>1610.523073432983</v>
      </c>
      <c r="C13" s="2">
        <f>Ammonia!D13</f>
        <v>1426.9211779574059</v>
      </c>
      <c r="D13" s="2">
        <f>Ammonia!E13</f>
        <v>1386.7403311967678</v>
      </c>
      <c r="E13" s="2">
        <f>Ammonia!F13</f>
        <v>1865.1541278211223</v>
      </c>
      <c r="H13" s="1"/>
      <c r="I13" s="2"/>
      <c r="J13" s="2"/>
      <c r="K13" s="2"/>
      <c r="L13" s="2"/>
      <c r="M13" s="2"/>
      <c r="N13" s="2"/>
      <c r="O13" s="2"/>
    </row>
    <row r="14" spans="1:15" x14ac:dyDescent="0.25">
      <c r="A14" s="1" t="str">
        <f>Ammonia!B14</f>
        <v>Jan '23</v>
      </c>
      <c r="B14" s="2">
        <f>Ammonia!C14</f>
        <v>901.85651889486576</v>
      </c>
      <c r="C14" s="2">
        <f>Ammonia!D14</f>
        <v>932.97664518119029</v>
      </c>
      <c r="D14" s="2">
        <f>Ammonia!E14</f>
        <v>1314.2518073090587</v>
      </c>
      <c r="E14" s="2">
        <f>Ammonia!F14</f>
        <v>1791.8197894863429</v>
      </c>
      <c r="H14" s="1"/>
      <c r="I14" s="2"/>
      <c r="J14" s="2"/>
      <c r="K14" s="2"/>
      <c r="L14" s="2"/>
      <c r="M14" s="2"/>
      <c r="N14" s="2"/>
      <c r="O14" s="2"/>
    </row>
    <row r="15" spans="1:15" x14ac:dyDescent="0.25">
      <c r="A15" s="1" t="str">
        <f>Ammonia!B15</f>
        <v>Feb '23</v>
      </c>
      <c r="B15" s="2">
        <f>Ammonia!C15</f>
        <v>738.90936114402393</v>
      </c>
      <c r="C15" s="2">
        <f>Ammonia!D15</f>
        <v>840.41395732296019</v>
      </c>
      <c r="D15" s="2">
        <f>Ammonia!E15</f>
        <v>1310.8685708503845</v>
      </c>
      <c r="E15" s="2">
        <f>Ammonia!F15</f>
        <v>1788.4365530276691</v>
      </c>
      <c r="H15" s="1"/>
      <c r="I15" s="2"/>
      <c r="J15" s="2"/>
      <c r="K15" s="2"/>
      <c r="L15" s="2"/>
      <c r="M15" s="2"/>
      <c r="N15" s="2"/>
      <c r="O15" s="2"/>
    </row>
    <row r="16" spans="1:15" x14ac:dyDescent="0.25">
      <c r="A16" s="1" t="str">
        <f>Ammonia!B16</f>
        <v>Mar '23</v>
      </c>
      <c r="B16" s="2">
        <f>Ammonia!C16</f>
        <v>617.14870707413957</v>
      </c>
      <c r="C16" s="2">
        <f>Ammonia!D16</f>
        <v>751.96912380595745</v>
      </c>
      <c r="D16" s="2">
        <f>Ammonia!E16</f>
        <v>1298.6560270224772</v>
      </c>
      <c r="E16" s="2">
        <f>Ammonia!F16</f>
        <v>1776.2240091997614</v>
      </c>
      <c r="H16" s="1"/>
      <c r="I16" s="2"/>
      <c r="J16" s="2"/>
      <c r="K16" s="2"/>
      <c r="L16" s="2"/>
      <c r="M16" s="2"/>
      <c r="N16" s="2"/>
      <c r="O16" s="2"/>
    </row>
    <row r="17" spans="1:15" x14ac:dyDescent="0.25">
      <c r="A17" s="1" t="str">
        <f>Ammonia!B17</f>
        <v>Apr '23</v>
      </c>
      <c r="B17" s="2">
        <f>Ammonia!C17</f>
        <v>604.12184598512681</v>
      </c>
      <c r="C17" s="2">
        <f>Ammonia!D17</f>
        <v>743.6390244400493</v>
      </c>
      <c r="D17" s="2">
        <f>Ammonia!E17</f>
        <v>1297.9182935169051</v>
      </c>
      <c r="E17" s="2">
        <f>Ammonia!F17</f>
        <v>1775.4862756941893</v>
      </c>
      <c r="H17" s="1"/>
      <c r="I17" s="2"/>
      <c r="J17" s="2"/>
      <c r="K17" s="2"/>
      <c r="L17" s="2"/>
      <c r="M17" s="2"/>
      <c r="N17" s="2"/>
      <c r="O17" s="2"/>
    </row>
    <row r="18" spans="1:15" x14ac:dyDescent="0.25">
      <c r="A18" s="1" t="str">
        <f>Ammonia!B18</f>
        <v>May '23</v>
      </c>
      <c r="B18" s="2">
        <f>Ammonia!C18</f>
        <v>451.67759756531962</v>
      </c>
      <c r="C18" s="2">
        <f>Ammonia!D18</f>
        <v>645.40247229735428</v>
      </c>
      <c r="D18" s="2">
        <f>Ammonia!E18</f>
        <v>1288.90572750616</v>
      </c>
      <c r="E18" s="2">
        <f>Ammonia!F18</f>
        <v>1766.4737096834442</v>
      </c>
      <c r="H18" s="1"/>
      <c r="I18" s="2"/>
      <c r="J18" s="2"/>
      <c r="K18" s="2"/>
      <c r="L18" s="2"/>
      <c r="M18" s="2"/>
      <c r="N18" s="2"/>
      <c r="O18" s="2"/>
    </row>
    <row r="19" spans="1:15" x14ac:dyDescent="0.25">
      <c r="A19" s="1" t="str">
        <f>Ammonia!B19</f>
        <v>Jun '23</v>
      </c>
      <c r="B19" s="2">
        <f>Ammonia!C19</f>
        <v>462.4847326629295</v>
      </c>
      <c r="C19" s="2">
        <f>Ammonia!D19</f>
        <v>663.4326313948161</v>
      </c>
      <c r="D19" s="2">
        <f>Ammonia!E19</f>
        <v>1295.1036287408697</v>
      </c>
      <c r="E19" s="2">
        <f>Ammonia!F19</f>
        <v>1772.6716109181539</v>
      </c>
      <c r="H19" s="1"/>
      <c r="I19" s="2"/>
      <c r="J19" s="2"/>
      <c r="K19" s="2"/>
      <c r="L19" s="2"/>
      <c r="M19" s="2"/>
      <c r="N19" s="2"/>
      <c r="O19" s="2"/>
    </row>
    <row r="20" spans="1:15" x14ac:dyDescent="0.25">
      <c r="A20" s="1" t="str">
        <f>Ammonia!B20</f>
        <v>Jul '23</v>
      </c>
      <c r="B20" s="2">
        <f>Ammonia!C20</f>
        <v>426.50064372070176</v>
      </c>
      <c r="C20" s="2">
        <f>Ammonia!D20</f>
        <v>628.24063455968803</v>
      </c>
      <c r="D20" s="2">
        <f>Ammonia!E20</f>
        <v>1286.9462697238446</v>
      </c>
      <c r="E20" s="2">
        <f>Ammonia!F20</f>
        <v>1764.5142519011292</v>
      </c>
      <c r="H20" s="1"/>
      <c r="I20" s="2"/>
      <c r="J20" s="2"/>
      <c r="K20" s="2"/>
      <c r="L20" s="2"/>
      <c r="M20" s="2"/>
      <c r="N20" s="2"/>
      <c r="O20" s="2"/>
    </row>
    <row r="21" spans="1:15" x14ac:dyDescent="0.25">
      <c r="A21" s="1" t="str">
        <f>Ammonia!B21</f>
        <v>Aug '23</v>
      </c>
      <c r="B21" s="2">
        <f>Ammonia!C21</f>
        <v>500.07643209578492</v>
      </c>
      <c r="C21" s="2">
        <f>Ammonia!D21</f>
        <v>682.83079382423125</v>
      </c>
      <c r="D21" s="2">
        <f>Ammonia!E21</f>
        <v>1294.9015743412542</v>
      </c>
      <c r="E21" s="2">
        <f>Ammonia!F21</f>
        <v>1772.4695565185384</v>
      </c>
      <c r="H21" s="1"/>
      <c r="I21" s="2"/>
      <c r="J21" s="2"/>
      <c r="K21" s="2"/>
      <c r="L21" s="2"/>
      <c r="M21" s="2"/>
      <c r="N21" s="2"/>
      <c r="O21" s="2"/>
    </row>
    <row r="22" spans="1:15" x14ac:dyDescent="0.25">
      <c r="A22" s="1" t="str">
        <f>Ammonia!B22</f>
        <v>Sep '23</v>
      </c>
      <c r="B22" s="2">
        <f>Ammonia!C22</f>
        <v>516.0435058484295</v>
      </c>
      <c r="C22" s="2">
        <f>Ammonia!D22</f>
        <v>697.15267355888125</v>
      </c>
      <c r="D22" s="2">
        <f>Ammonia!E22</f>
        <v>1297.8713041216456</v>
      </c>
      <c r="E22" s="2">
        <f>Ammonia!F22</f>
        <v>1775.4392862989303</v>
      </c>
      <c r="H22" s="1"/>
      <c r="I22" s="2"/>
      <c r="J22" s="2"/>
      <c r="K22" s="2"/>
      <c r="L22" s="2"/>
      <c r="M22" s="2"/>
      <c r="N22" s="2"/>
      <c r="O22" s="2"/>
    </row>
    <row r="23" spans="1:15" x14ac:dyDescent="0.25">
      <c r="A23" s="1" t="str">
        <f>Ammonia!B23</f>
        <v>Oct '23</v>
      </c>
      <c r="B23" s="2">
        <f>Ammonia!C23</f>
        <v>650.99206530037759</v>
      </c>
      <c r="C23" s="2">
        <f>Ammonia!D23</f>
        <v>755.68947991456776</v>
      </c>
      <c r="D23" s="2">
        <f>Ammonia!E23</f>
        <v>1291.5700262173657</v>
      </c>
      <c r="E23" s="2">
        <f>Ammonia!F23</f>
        <v>1769.1380083946501</v>
      </c>
      <c r="H23" s="1"/>
      <c r="I23" s="2"/>
      <c r="J23" s="2"/>
      <c r="K23" s="2"/>
      <c r="L23" s="2"/>
      <c r="M23" s="2"/>
      <c r="N23" s="2"/>
      <c r="O23" s="2"/>
    </row>
    <row r="24" spans="1:15" x14ac:dyDescent="0.25">
      <c r="A24" s="1" t="str">
        <f>Ammonia!B24</f>
        <v>Nov '23</v>
      </c>
      <c r="B24" s="2">
        <f>Ammonia!C24</f>
        <v>647.21858834007003</v>
      </c>
      <c r="C24" s="2">
        <f>Ammonia!D24</f>
        <v>757.31251369838776</v>
      </c>
      <c r="D24" s="2">
        <f>Ammonia!E24</f>
        <v>1293.3838168743769</v>
      </c>
      <c r="E24" s="2">
        <f>Ammonia!F24</f>
        <v>1770.9517990516615</v>
      </c>
      <c r="H24" s="1"/>
      <c r="I24" s="2"/>
      <c r="J24" s="2"/>
      <c r="K24" s="2"/>
      <c r="L24" s="2"/>
      <c r="M24" s="2"/>
      <c r="N24" s="2"/>
      <c r="O24" s="2"/>
    </row>
    <row r="25" spans="1:15" x14ac:dyDescent="0.25">
      <c r="A25" s="1" t="str">
        <f>Ammonia!B25</f>
        <v>Dec '23</v>
      </c>
      <c r="B25" s="2">
        <f>Ammonia!C25</f>
        <v>514.13839646576275</v>
      </c>
      <c r="C25" s="2">
        <f>Ammonia!D25</f>
        <v>665.88932495766085</v>
      </c>
      <c r="D25" s="2">
        <f>Ammonia!E25</f>
        <v>1282.6702347552427</v>
      </c>
      <c r="E25" s="2">
        <f>Ammonia!F25</f>
        <v>1760.2382169325274</v>
      </c>
      <c r="H25" s="1"/>
      <c r="I25" s="2"/>
      <c r="J25" s="2"/>
      <c r="K25" s="2"/>
      <c r="L25" s="2"/>
      <c r="M25" s="2"/>
      <c r="N25" s="2"/>
      <c r="O25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DBFD-0A3D-4592-9606-547561A08A51}">
  <sheetPr codeName="Sheet4"/>
  <dimension ref="A1:F29"/>
  <sheetViews>
    <sheetView zoomScale="130" zoomScaleNormal="130"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3" max="3" width="9.7109375" bestFit="1" customWidth="1"/>
    <col min="4" max="4" width="8.140625" bestFit="1" customWidth="1"/>
    <col min="5" max="5" width="11.7109375" bestFit="1" customWidth="1"/>
    <col min="6" max="42" width="11.7109375" customWidth="1"/>
  </cols>
  <sheetData>
    <row r="1" spans="1:6" x14ac:dyDescent="0.25">
      <c r="A1" t="s">
        <v>29</v>
      </c>
      <c r="B1" t="s">
        <v>6</v>
      </c>
      <c r="C1" t="s">
        <v>0</v>
      </c>
      <c r="D1" s="1" t="s">
        <v>2</v>
      </c>
      <c r="E1" s="1" t="s">
        <v>3</v>
      </c>
      <c r="F1" s="1" t="s">
        <v>5</v>
      </c>
    </row>
    <row r="2" spans="1:6" x14ac:dyDescent="0.25">
      <c r="A2">
        <v>1</v>
      </c>
      <c r="B2" s="1" t="s">
        <v>7</v>
      </c>
      <c r="C2" s="14">
        <f>Ammonia!C2</f>
        <v>1262.7382668258476</v>
      </c>
      <c r="D2" s="2">
        <v>962.0593621094863</v>
      </c>
      <c r="E2" s="2">
        <v>1778.8248593302781</v>
      </c>
      <c r="F2" s="2">
        <v>2294.6748593302777</v>
      </c>
    </row>
    <row r="3" spans="1:6" x14ac:dyDescent="0.25">
      <c r="A3">
        <f>A2+1</f>
        <v>2</v>
      </c>
      <c r="B3" s="1" t="s">
        <v>8</v>
      </c>
      <c r="C3" s="14">
        <f>Ammonia!C3</f>
        <v>1216.6732152857319</v>
      </c>
      <c r="D3" s="2">
        <v>929.05729342779159</v>
      </c>
      <c r="E3" s="2">
        <v>1759.898102466492</v>
      </c>
      <c r="F3" s="2">
        <v>2275.7481024664921</v>
      </c>
    </row>
    <row r="4" spans="1:6" x14ac:dyDescent="0.25">
      <c r="A4">
        <f t="shared" ref="A4:A25" si="0">A3+1</f>
        <v>3</v>
      </c>
      <c r="B4" s="1" t="s">
        <v>9</v>
      </c>
      <c r="C4" s="14">
        <f>Ammonia!C4</f>
        <v>1894.1950132993616</v>
      </c>
      <c r="D4" s="2">
        <v>1381.0050484815463</v>
      </c>
      <c r="E4" s="2">
        <v>1902.685660652684</v>
      </c>
      <c r="F4" s="2">
        <v>2418.5356606526839</v>
      </c>
    </row>
    <row r="5" spans="1:6" x14ac:dyDescent="0.25">
      <c r="A5">
        <f t="shared" si="0"/>
        <v>4</v>
      </c>
      <c r="B5" s="1" t="s">
        <v>10</v>
      </c>
      <c r="C5" s="14">
        <f>Ammonia!C5</f>
        <v>1438.9416384464514</v>
      </c>
      <c r="D5" s="2">
        <v>1077.0924439843764</v>
      </c>
      <c r="E5" s="2">
        <v>1805.8036403971214</v>
      </c>
      <c r="F5" s="2">
        <v>2321.6536403971213</v>
      </c>
    </row>
    <row r="6" spans="1:6" x14ac:dyDescent="0.25">
      <c r="A6">
        <f t="shared" si="0"/>
        <v>5</v>
      </c>
      <c r="B6" s="1" t="s">
        <v>11</v>
      </c>
      <c r="C6" s="14">
        <f>Ammonia!C6</f>
        <v>1303.4009267434199</v>
      </c>
      <c r="D6" s="2">
        <v>989.35097622208048</v>
      </c>
      <c r="E6" s="2">
        <v>1788.0722470928722</v>
      </c>
      <c r="F6" s="2">
        <v>2303.9222470928721</v>
      </c>
    </row>
    <row r="7" spans="1:6" x14ac:dyDescent="0.25">
      <c r="A7">
        <f t="shared" si="0"/>
        <v>6</v>
      </c>
      <c r="B7" s="1" t="s">
        <v>12</v>
      </c>
      <c r="C7" s="14">
        <f>Ammonia!C7</f>
        <v>1499.4204370465113</v>
      </c>
      <c r="D7" s="2">
        <v>1120.4844016965974</v>
      </c>
      <c r="E7" s="2">
        <v>1830.910200000905</v>
      </c>
      <c r="F7" s="2">
        <v>2346.7602000009051</v>
      </c>
    </row>
    <row r="8" spans="1:6" x14ac:dyDescent="0.25">
      <c r="A8">
        <f t="shared" si="0"/>
        <v>7</v>
      </c>
      <c r="B8" s="1" t="s">
        <v>13</v>
      </c>
      <c r="C8" s="14">
        <f>Ammonia!C8</f>
        <v>2293.519088860879</v>
      </c>
      <c r="D8" s="2">
        <v>1646.7134555165317</v>
      </c>
      <c r="E8" s="2">
        <v>1984.1481872379472</v>
      </c>
      <c r="F8" s="2">
        <v>2499.9981872379471</v>
      </c>
    </row>
    <row r="9" spans="1:6" x14ac:dyDescent="0.25">
      <c r="A9">
        <f t="shared" si="0"/>
        <v>8</v>
      </c>
      <c r="B9" s="1" t="s">
        <v>14</v>
      </c>
      <c r="C9" s="14">
        <f>Ammonia!C9</f>
        <v>3129.6771784878342</v>
      </c>
      <c r="D9" s="2">
        <v>2204.6524766266102</v>
      </c>
      <c r="E9" s="2">
        <v>2161.0628722340039</v>
      </c>
      <c r="F9" s="2">
        <v>2676.9128722340038</v>
      </c>
    </row>
    <row r="10" spans="1:6" x14ac:dyDescent="0.25">
      <c r="A10">
        <f t="shared" si="0"/>
        <v>9</v>
      </c>
      <c r="B10" s="1" t="s">
        <v>15</v>
      </c>
      <c r="C10" s="14">
        <f>Ammonia!C10</f>
        <v>2640.8126214601607</v>
      </c>
      <c r="D10" s="2">
        <v>1877.0383214905778</v>
      </c>
      <c r="E10" s="2">
        <v>2051.9045779350599</v>
      </c>
      <c r="F10" s="2">
        <v>2567.7545779350603</v>
      </c>
    </row>
    <row r="11" spans="1:6" x14ac:dyDescent="0.25">
      <c r="A11">
        <f t="shared" si="0"/>
        <v>10</v>
      </c>
      <c r="B11" s="1" t="s">
        <v>32</v>
      </c>
      <c r="C11" s="14">
        <f>Ammonia!C11</f>
        <v>1743.5761404316524</v>
      </c>
      <c r="D11" s="2">
        <v>1275.6018120093477</v>
      </c>
      <c r="E11" s="2">
        <v>1850.9506197227588</v>
      </c>
      <c r="F11" s="2">
        <v>2366.8006197227587</v>
      </c>
    </row>
    <row r="12" spans="1:6" x14ac:dyDescent="0.25">
      <c r="A12">
        <f t="shared" si="0"/>
        <v>11</v>
      </c>
      <c r="B12" s="1" t="s">
        <v>33</v>
      </c>
      <c r="C12" s="14">
        <f>Ammonia!C12</f>
        <v>1596.1812019251142</v>
      </c>
      <c r="D12" s="2">
        <v>1180.5679293879114</v>
      </c>
      <c r="E12" s="2">
        <v>1833.2144649878815</v>
      </c>
      <c r="F12" s="2">
        <v>2349.0644649878814</v>
      </c>
    </row>
    <row r="13" spans="1:6" x14ac:dyDescent="0.25">
      <c r="A13">
        <f t="shared" si="0"/>
        <v>12</v>
      </c>
      <c r="B13" s="1" t="s">
        <v>34</v>
      </c>
      <c r="C13" s="14">
        <f>Ammonia!C13</f>
        <v>1610.523073432983</v>
      </c>
      <c r="D13" s="2">
        <v>1195.9517185432546</v>
      </c>
      <c r="E13" s="2">
        <v>1859.8190339078335</v>
      </c>
      <c r="F13" s="2">
        <v>2375.6690339078336</v>
      </c>
    </row>
    <row r="14" spans="1:6" x14ac:dyDescent="0.25">
      <c r="A14">
        <f t="shared" si="0"/>
        <v>13</v>
      </c>
      <c r="B14" s="1" t="s">
        <v>35</v>
      </c>
      <c r="C14" s="14">
        <f>Ammonia!C14</f>
        <v>901.85651889486576</v>
      </c>
      <c r="D14" s="2">
        <v>721.06206835312776</v>
      </c>
      <c r="E14" s="2">
        <v>1692.2786266447308</v>
      </c>
      <c r="F14" s="2">
        <v>2207.2166266447312</v>
      </c>
    </row>
    <row r="15" spans="1:6" x14ac:dyDescent="0.25">
      <c r="A15">
        <f t="shared" si="0"/>
        <v>14</v>
      </c>
      <c r="B15" s="1" t="s">
        <v>36</v>
      </c>
      <c r="C15" s="14">
        <f>Ammonia!C15</f>
        <v>738.90936114402393</v>
      </c>
      <c r="D15" s="2">
        <v>614.02243937524042</v>
      </c>
      <c r="E15" s="2">
        <v>1664.6507311745747</v>
      </c>
      <c r="F15" s="2">
        <v>2179.5887311745751</v>
      </c>
    </row>
    <row r="16" spans="1:6" x14ac:dyDescent="0.25">
      <c r="A16">
        <f t="shared" si="0"/>
        <v>15</v>
      </c>
      <c r="B16" s="1" t="s">
        <v>37</v>
      </c>
      <c r="C16" s="14">
        <f>Ammonia!C16</f>
        <v>617.14870707413957</v>
      </c>
      <c r="D16" s="2">
        <v>532.5130034746677</v>
      </c>
      <c r="E16" s="2">
        <v>1637.8230978512779</v>
      </c>
      <c r="F16" s="2">
        <v>2152.7610978512785</v>
      </c>
    </row>
    <row r="17" spans="1:6" x14ac:dyDescent="0.25">
      <c r="A17">
        <f t="shared" si="0"/>
        <v>16</v>
      </c>
      <c r="B17" s="1" t="s">
        <v>38</v>
      </c>
      <c r="C17" s="14">
        <f>Ammonia!C17</f>
        <v>604.12184598512681</v>
      </c>
      <c r="D17" s="2">
        <v>523.88210198288402</v>
      </c>
      <c r="E17" s="2">
        <v>1635.3160590452098</v>
      </c>
      <c r="F17" s="2">
        <v>2150.2540590452099</v>
      </c>
    </row>
    <row r="18" spans="1:6" x14ac:dyDescent="0.25">
      <c r="A18">
        <f t="shared" si="0"/>
        <v>17</v>
      </c>
      <c r="B18" s="1" t="s">
        <v>39</v>
      </c>
      <c r="C18" s="14">
        <f>Ammonia!C18</f>
        <v>451.67759756531962</v>
      </c>
      <c r="D18" s="2">
        <v>422.8209488928124</v>
      </c>
      <c r="E18" s="2">
        <v>1605.7357202653784</v>
      </c>
      <c r="F18" s="2">
        <v>2120.6737202653785</v>
      </c>
    </row>
    <row r="19" spans="1:6" x14ac:dyDescent="0.25">
      <c r="A19">
        <f t="shared" si="0"/>
        <v>18</v>
      </c>
      <c r="B19" s="1" t="s">
        <v>40</v>
      </c>
      <c r="C19" s="14">
        <f>Ammonia!C19</f>
        <v>462.4847326629295</v>
      </c>
      <c r="D19" s="2">
        <v>430.860855267734</v>
      </c>
      <c r="E19" s="2">
        <v>1611.3818260515538</v>
      </c>
      <c r="F19" s="2">
        <v>2126.3198260515542</v>
      </c>
    </row>
    <row r="20" spans="1:6" x14ac:dyDescent="0.25">
      <c r="A20">
        <f t="shared" si="0"/>
        <v>19</v>
      </c>
      <c r="B20" s="1" t="s">
        <v>41</v>
      </c>
      <c r="C20" s="14">
        <f>Ammonia!C20</f>
        <v>426.50064372070176</v>
      </c>
      <c r="D20" s="2">
        <v>406.05600626381147</v>
      </c>
      <c r="E20" s="2">
        <v>1600.5496775335982</v>
      </c>
      <c r="F20" s="2">
        <v>2115.4876775335988</v>
      </c>
    </row>
    <row r="21" spans="1:6" x14ac:dyDescent="0.25">
      <c r="A21">
        <f t="shared" si="0"/>
        <v>20</v>
      </c>
      <c r="B21" s="1" t="s">
        <v>42</v>
      </c>
      <c r="C21" s="14">
        <f>Ammonia!C21</f>
        <v>500.07643209578492</v>
      </c>
      <c r="D21" s="2">
        <v>455.40002354238271</v>
      </c>
      <c r="E21" s="2">
        <v>1617.1282367363196</v>
      </c>
      <c r="F21" s="2">
        <v>2132.0662367363202</v>
      </c>
    </row>
    <row r="22" spans="1:6" x14ac:dyDescent="0.25">
      <c r="A22">
        <f t="shared" si="0"/>
        <v>21</v>
      </c>
      <c r="B22" s="1" t="s">
        <v>43</v>
      </c>
      <c r="C22" s="14">
        <f>Ammonia!C22</f>
        <v>516.0435058484295</v>
      </c>
      <c r="D22" s="2">
        <v>466.30423043198073</v>
      </c>
      <c r="E22" s="2">
        <v>1621.5198173337942</v>
      </c>
      <c r="F22" s="2">
        <v>2136.4578173337941</v>
      </c>
    </row>
    <row r="23" spans="1:6" x14ac:dyDescent="0.25">
      <c r="A23">
        <f t="shared" si="0"/>
        <v>22</v>
      </c>
      <c r="B23" s="1" t="s">
        <v>44</v>
      </c>
      <c r="C23" s="14">
        <f>Ammonia!C23</f>
        <v>650.99206530037759</v>
      </c>
      <c r="D23" s="2">
        <v>553.51805088761841</v>
      </c>
      <c r="E23" s="2">
        <v>1638.5886599495798</v>
      </c>
      <c r="F23" s="2">
        <v>2153.5266599495799</v>
      </c>
    </row>
    <row r="24" spans="1:6" x14ac:dyDescent="0.25">
      <c r="A24">
        <f t="shared" si="0"/>
        <v>23</v>
      </c>
      <c r="B24" s="1" t="s">
        <v>45</v>
      </c>
      <c r="C24" s="14">
        <f>Ammonia!C24</f>
        <v>647.21858834007003</v>
      </c>
      <c r="D24" s="2">
        <v>551.33724059286692</v>
      </c>
      <c r="E24" s="2">
        <v>1639.15688275978</v>
      </c>
      <c r="F24" s="2">
        <v>2154.0948827597804</v>
      </c>
    </row>
    <row r="25" spans="1:6" x14ac:dyDescent="0.25">
      <c r="A25">
        <f t="shared" si="0"/>
        <v>24</v>
      </c>
      <c r="B25" s="1" t="s">
        <v>46</v>
      </c>
      <c r="C25" s="14">
        <f>Ammonia!C25</f>
        <v>514.13839646576275</v>
      </c>
      <c r="D25" s="2">
        <v>462.66509754786915</v>
      </c>
      <c r="E25" s="2">
        <v>1611.5170574508561</v>
      </c>
      <c r="F25" s="2">
        <v>2126.4550574508562</v>
      </c>
    </row>
    <row r="26" spans="1:6" x14ac:dyDescent="0.25">
      <c r="C26" s="15"/>
    </row>
    <row r="27" spans="1:6" x14ac:dyDescent="0.25">
      <c r="C27" s="15"/>
    </row>
    <row r="28" spans="1:6" x14ac:dyDescent="0.25">
      <c r="C28" s="15"/>
    </row>
    <row r="29" spans="1:6" x14ac:dyDescent="0.25">
      <c r="C2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5F79-2603-4E5C-A9F7-713E8D37F39C}">
  <sheetPr codeName="Sheet5"/>
  <dimension ref="A1:O25"/>
  <sheetViews>
    <sheetView zoomScale="120" zoomScaleNormal="120" workbookViewId="0">
      <selection activeCell="K11" sqref="K11"/>
    </sheetView>
  </sheetViews>
  <sheetFormatPr defaultRowHeight="15" x14ac:dyDescent="0.25"/>
  <cols>
    <col min="1" max="1" width="7.42578125" bestFit="1" customWidth="1"/>
    <col min="2" max="2" width="9.42578125" bestFit="1" customWidth="1"/>
    <col min="3" max="5" width="8.140625" bestFit="1" customWidth="1"/>
  </cols>
  <sheetData>
    <row r="1" spans="1:15" ht="49.5" x14ac:dyDescent="0.25">
      <c r="A1" s="8"/>
      <c r="B1" s="9" t="s">
        <v>31</v>
      </c>
      <c r="C1" s="9" t="s">
        <v>2</v>
      </c>
      <c r="D1" s="9" t="s">
        <v>1</v>
      </c>
      <c r="E1" s="9" t="s">
        <v>4</v>
      </c>
      <c r="H1" s="8"/>
      <c r="I1" s="9"/>
      <c r="J1" s="9"/>
      <c r="K1" s="9"/>
      <c r="L1" s="9"/>
      <c r="M1" s="9"/>
      <c r="N1" s="9"/>
      <c r="O1" s="10"/>
    </row>
    <row r="2" spans="1:15" x14ac:dyDescent="0.25">
      <c r="A2" s="1" t="str">
        <f>Ammonia!B2</f>
        <v>Jan '22</v>
      </c>
      <c r="B2" s="2">
        <f>Methanol!C2</f>
        <v>1262.7382668258476</v>
      </c>
      <c r="C2" s="2">
        <f>Methanol!D2</f>
        <v>962.0593621094863</v>
      </c>
      <c r="D2" s="2">
        <f>Methanol!E2</f>
        <v>1778.8248593302781</v>
      </c>
      <c r="E2" s="2">
        <f>Methanol!F2</f>
        <v>2294.6748593302777</v>
      </c>
      <c r="G2" s="11"/>
      <c r="H2" s="2"/>
      <c r="I2" s="2"/>
      <c r="J2" s="2"/>
      <c r="K2" s="2"/>
      <c r="L2" s="2"/>
      <c r="M2" s="2"/>
      <c r="N2" s="2"/>
      <c r="O2" s="2"/>
    </row>
    <row r="3" spans="1:15" x14ac:dyDescent="0.25">
      <c r="A3" s="1" t="str">
        <f>Ammonia!B3</f>
        <v>Feb '22</v>
      </c>
      <c r="B3" s="2">
        <f>Methanol!C3</f>
        <v>1216.6732152857319</v>
      </c>
      <c r="C3" s="2">
        <f>Methanol!D3</f>
        <v>929.05729342779159</v>
      </c>
      <c r="D3" s="2">
        <f>Methanol!E3</f>
        <v>1759.898102466492</v>
      </c>
      <c r="E3" s="2">
        <f>Methanol!F3</f>
        <v>2275.7481024664921</v>
      </c>
      <c r="H3" s="1"/>
      <c r="I3" s="2"/>
      <c r="J3" s="2"/>
      <c r="K3" s="2"/>
      <c r="L3" s="2"/>
      <c r="M3" s="2"/>
      <c r="N3" s="2"/>
      <c r="O3" s="2"/>
    </row>
    <row r="4" spans="1:15" x14ac:dyDescent="0.25">
      <c r="A4" s="1" t="str">
        <f>Ammonia!B4</f>
        <v>Mar '22</v>
      </c>
      <c r="B4" s="2">
        <f>Methanol!C4</f>
        <v>1894.1950132993616</v>
      </c>
      <c r="C4" s="2">
        <f>Methanol!D4</f>
        <v>1381.0050484815463</v>
      </c>
      <c r="D4" s="2">
        <f>Methanol!E4</f>
        <v>1902.685660652684</v>
      </c>
      <c r="E4" s="2">
        <f>Methanol!F4</f>
        <v>2418.5356606526839</v>
      </c>
      <c r="H4" s="1"/>
      <c r="I4" s="2"/>
      <c r="J4" s="2"/>
      <c r="K4" s="2"/>
      <c r="L4" s="2"/>
      <c r="M4" s="2"/>
      <c r="N4" s="2"/>
      <c r="O4" s="2"/>
    </row>
    <row r="5" spans="1:15" x14ac:dyDescent="0.25">
      <c r="A5" s="1" t="str">
        <f>Ammonia!B5</f>
        <v>Apr '22</v>
      </c>
      <c r="B5" s="2">
        <f>Methanol!C5</f>
        <v>1438.9416384464514</v>
      </c>
      <c r="C5" s="2">
        <f>Methanol!D5</f>
        <v>1077.0924439843764</v>
      </c>
      <c r="D5" s="2">
        <f>Methanol!E5</f>
        <v>1805.8036403971214</v>
      </c>
      <c r="E5" s="2">
        <f>Methanol!F5</f>
        <v>2321.6536403971213</v>
      </c>
      <c r="H5" s="1"/>
      <c r="I5" s="2"/>
      <c r="J5" s="2"/>
      <c r="K5" s="2"/>
      <c r="L5" s="2"/>
      <c r="M5" s="2"/>
      <c r="N5" s="2"/>
      <c r="O5" s="2"/>
    </row>
    <row r="6" spans="1:15" x14ac:dyDescent="0.25">
      <c r="A6" s="1" t="str">
        <f>Ammonia!B6</f>
        <v>May '22</v>
      </c>
      <c r="B6" s="2">
        <f>Methanol!C6</f>
        <v>1303.4009267434199</v>
      </c>
      <c r="C6" s="2">
        <f>Methanol!D6</f>
        <v>989.35097622208048</v>
      </c>
      <c r="D6" s="2">
        <f>Methanol!E6</f>
        <v>1788.0722470928722</v>
      </c>
      <c r="E6" s="2">
        <f>Methanol!F6</f>
        <v>2303.9222470928721</v>
      </c>
      <c r="H6" s="1"/>
      <c r="I6" s="2"/>
      <c r="J6" s="2"/>
      <c r="K6" s="2"/>
      <c r="L6" s="2"/>
      <c r="M6" s="2"/>
      <c r="N6" s="2"/>
      <c r="O6" s="2"/>
    </row>
    <row r="7" spans="1:15" x14ac:dyDescent="0.25">
      <c r="A7" s="1" t="str">
        <f>Ammonia!B7</f>
        <v>Jun '22</v>
      </c>
      <c r="B7" s="2">
        <f>Methanol!C7</f>
        <v>1499.4204370465113</v>
      </c>
      <c r="C7" s="2">
        <f>Methanol!D7</f>
        <v>1120.4844016965974</v>
      </c>
      <c r="D7" s="2">
        <f>Methanol!E7</f>
        <v>1830.910200000905</v>
      </c>
      <c r="E7" s="2">
        <f>Methanol!F7</f>
        <v>2346.7602000009051</v>
      </c>
      <c r="H7" s="1"/>
      <c r="I7" s="2"/>
      <c r="J7" s="2"/>
      <c r="K7" s="2"/>
      <c r="L7" s="2"/>
      <c r="M7" s="2"/>
      <c r="N7" s="2"/>
      <c r="O7" s="2"/>
    </row>
    <row r="8" spans="1:15" x14ac:dyDescent="0.25">
      <c r="A8" s="1" t="str">
        <f>Ammonia!B8</f>
        <v>Jul '22</v>
      </c>
      <c r="B8" s="2">
        <f>Methanol!C8</f>
        <v>2293.519088860879</v>
      </c>
      <c r="C8" s="2">
        <f>Methanol!D8</f>
        <v>1646.7134555165317</v>
      </c>
      <c r="D8" s="2">
        <f>Methanol!E8</f>
        <v>1984.1481872379472</v>
      </c>
      <c r="E8" s="2">
        <f>Methanol!F8</f>
        <v>2499.9981872379471</v>
      </c>
      <c r="H8" s="1"/>
      <c r="I8" s="2"/>
      <c r="J8" s="2"/>
      <c r="K8" s="2"/>
      <c r="L8" s="2"/>
      <c r="M8" s="2"/>
      <c r="N8" s="2"/>
      <c r="O8" s="2"/>
    </row>
    <row r="9" spans="1:15" x14ac:dyDescent="0.25">
      <c r="A9" s="1" t="str">
        <f>Ammonia!B9</f>
        <v>Aug '22</v>
      </c>
      <c r="B9" s="2">
        <f>Methanol!C9</f>
        <v>3129.6771784878342</v>
      </c>
      <c r="C9" s="2">
        <f>Methanol!D9</f>
        <v>2204.6524766266102</v>
      </c>
      <c r="D9" s="2">
        <f>Methanol!E9</f>
        <v>2161.0628722340039</v>
      </c>
      <c r="E9" s="2">
        <f>Methanol!F9</f>
        <v>2676.9128722340038</v>
      </c>
      <c r="H9" s="1"/>
      <c r="I9" s="2"/>
      <c r="J9" s="2"/>
      <c r="K9" s="2"/>
      <c r="L9" s="2"/>
      <c r="M9" s="2"/>
      <c r="N9" s="2"/>
      <c r="O9" s="2"/>
    </row>
    <row r="10" spans="1:15" x14ac:dyDescent="0.25">
      <c r="A10" s="1" t="str">
        <f>Ammonia!B10</f>
        <v>Sep '22</v>
      </c>
      <c r="B10" s="2">
        <f>Methanol!C10</f>
        <v>2640.8126214601607</v>
      </c>
      <c r="C10" s="2">
        <f>Methanol!D10</f>
        <v>1877.0383214905778</v>
      </c>
      <c r="D10" s="2">
        <f>Methanol!E10</f>
        <v>2051.9045779350599</v>
      </c>
      <c r="E10" s="2">
        <f>Methanol!F10</f>
        <v>2567.7545779350603</v>
      </c>
      <c r="H10" s="1"/>
      <c r="I10" s="2"/>
      <c r="J10" s="2"/>
      <c r="K10" s="2"/>
      <c r="L10" s="2"/>
      <c r="M10" s="2"/>
      <c r="N10" s="2"/>
      <c r="O10" s="2"/>
    </row>
    <row r="11" spans="1:15" x14ac:dyDescent="0.25">
      <c r="A11" s="1" t="str">
        <f>Ammonia!B11</f>
        <v>Oct '22</v>
      </c>
      <c r="B11" s="2">
        <f>Methanol!C11</f>
        <v>1743.5761404316524</v>
      </c>
      <c r="C11" s="2">
        <f>Methanol!D11</f>
        <v>1275.6018120093477</v>
      </c>
      <c r="D11" s="2">
        <f>Methanol!E11</f>
        <v>1850.9506197227588</v>
      </c>
      <c r="E11" s="2">
        <f>Methanol!F11</f>
        <v>2366.8006197227587</v>
      </c>
      <c r="H11" s="1"/>
      <c r="I11" s="2"/>
      <c r="J11" s="2"/>
      <c r="K11" s="2"/>
      <c r="L11" s="2"/>
      <c r="M11" s="2"/>
      <c r="N11" s="2"/>
      <c r="O11" s="2"/>
    </row>
    <row r="12" spans="1:15" x14ac:dyDescent="0.25">
      <c r="A12" s="1" t="str">
        <f>Ammonia!B12</f>
        <v>Nov '22</v>
      </c>
      <c r="B12" s="2">
        <f>Methanol!C12</f>
        <v>1596.1812019251142</v>
      </c>
      <c r="C12" s="2">
        <f>Methanol!D12</f>
        <v>1180.5679293879114</v>
      </c>
      <c r="D12" s="2">
        <f>Methanol!E12</f>
        <v>1833.2144649878815</v>
      </c>
      <c r="E12" s="2">
        <f>Methanol!F12</f>
        <v>2349.0644649878814</v>
      </c>
      <c r="H12" s="1"/>
      <c r="I12" s="2"/>
      <c r="J12" s="2"/>
      <c r="K12" s="2"/>
      <c r="L12" s="2"/>
      <c r="M12" s="2"/>
      <c r="N12" s="2"/>
      <c r="O12" s="2"/>
    </row>
    <row r="13" spans="1:15" x14ac:dyDescent="0.25">
      <c r="A13" s="1" t="str">
        <f>Ammonia!B13</f>
        <v>Dec '22</v>
      </c>
      <c r="B13" s="2">
        <f>Methanol!C13</f>
        <v>1610.523073432983</v>
      </c>
      <c r="C13" s="2">
        <f>Methanol!D13</f>
        <v>1195.9517185432546</v>
      </c>
      <c r="D13" s="2">
        <f>Methanol!E13</f>
        <v>1859.8190339078335</v>
      </c>
      <c r="E13" s="2">
        <f>Methanol!F13</f>
        <v>2375.6690339078336</v>
      </c>
      <c r="H13" s="1"/>
      <c r="I13" s="2"/>
      <c r="J13" s="2"/>
      <c r="K13" s="2"/>
      <c r="L13" s="2"/>
      <c r="M13" s="2"/>
      <c r="N13" s="2"/>
      <c r="O13" s="2"/>
    </row>
    <row r="14" spans="1:15" x14ac:dyDescent="0.25">
      <c r="A14" s="1" t="str">
        <f>Ammonia!B14</f>
        <v>Jan '23</v>
      </c>
      <c r="B14" s="2">
        <f>Methanol!C14</f>
        <v>901.85651889486576</v>
      </c>
      <c r="C14" s="2">
        <f>Methanol!D14</f>
        <v>721.06206835312776</v>
      </c>
      <c r="D14" s="2">
        <f>Methanol!E14</f>
        <v>1692.2786266447308</v>
      </c>
      <c r="E14" s="2">
        <f>Methanol!F14</f>
        <v>2207.2166266447312</v>
      </c>
      <c r="H14" s="1"/>
      <c r="I14" s="2"/>
      <c r="J14" s="2"/>
      <c r="K14" s="2"/>
      <c r="L14" s="2"/>
      <c r="M14" s="2"/>
      <c r="N14" s="2"/>
      <c r="O14" s="2"/>
    </row>
    <row r="15" spans="1:15" x14ac:dyDescent="0.25">
      <c r="A15" s="1" t="str">
        <f>Ammonia!B15</f>
        <v>Feb '23</v>
      </c>
      <c r="B15" s="2">
        <f>Methanol!C15</f>
        <v>738.90936114402393</v>
      </c>
      <c r="C15" s="2">
        <f>Methanol!D15</f>
        <v>614.02243937524042</v>
      </c>
      <c r="D15" s="2">
        <f>Methanol!E15</f>
        <v>1664.6507311745747</v>
      </c>
      <c r="E15" s="2">
        <f>Methanol!F15</f>
        <v>2179.5887311745751</v>
      </c>
      <c r="H15" s="1"/>
      <c r="I15" s="2"/>
      <c r="J15" s="2"/>
      <c r="K15" s="2"/>
      <c r="L15" s="2"/>
      <c r="M15" s="2"/>
      <c r="N15" s="2"/>
      <c r="O15" s="2"/>
    </row>
    <row r="16" spans="1:15" x14ac:dyDescent="0.25">
      <c r="A16" s="1" t="str">
        <f>Ammonia!B16</f>
        <v>Mar '23</v>
      </c>
      <c r="B16" s="2">
        <f>Methanol!C16</f>
        <v>617.14870707413957</v>
      </c>
      <c r="C16" s="2">
        <f>Methanol!D16</f>
        <v>532.5130034746677</v>
      </c>
      <c r="D16" s="2">
        <f>Methanol!E16</f>
        <v>1637.8230978512779</v>
      </c>
      <c r="E16" s="2">
        <f>Methanol!F16</f>
        <v>2152.7610978512785</v>
      </c>
      <c r="H16" s="1"/>
      <c r="I16" s="2"/>
      <c r="J16" s="2"/>
      <c r="K16" s="2"/>
      <c r="L16" s="2"/>
      <c r="M16" s="2"/>
      <c r="N16" s="2"/>
      <c r="O16" s="2"/>
    </row>
    <row r="17" spans="1:15" x14ac:dyDescent="0.25">
      <c r="A17" s="1" t="str">
        <f>Ammonia!B17</f>
        <v>Apr '23</v>
      </c>
      <c r="B17" s="2">
        <f>Methanol!C17</f>
        <v>604.12184598512681</v>
      </c>
      <c r="C17" s="2">
        <f>Methanol!D17</f>
        <v>523.88210198288402</v>
      </c>
      <c r="D17" s="2">
        <f>Methanol!E17</f>
        <v>1635.3160590452098</v>
      </c>
      <c r="E17" s="2">
        <f>Methanol!F17</f>
        <v>2150.2540590452099</v>
      </c>
      <c r="H17" s="1"/>
      <c r="I17" s="2"/>
      <c r="J17" s="2"/>
      <c r="K17" s="2"/>
      <c r="L17" s="2"/>
      <c r="M17" s="2"/>
      <c r="N17" s="2"/>
      <c r="O17" s="2"/>
    </row>
    <row r="18" spans="1:15" x14ac:dyDescent="0.25">
      <c r="A18" s="1" t="str">
        <f>Ammonia!B18</f>
        <v>May '23</v>
      </c>
      <c r="B18" s="2">
        <f>Methanol!C18</f>
        <v>451.67759756531962</v>
      </c>
      <c r="C18" s="2">
        <f>Methanol!D18</f>
        <v>422.8209488928124</v>
      </c>
      <c r="D18" s="2">
        <f>Methanol!E18</f>
        <v>1605.7357202653784</v>
      </c>
      <c r="E18" s="2">
        <f>Methanol!F18</f>
        <v>2120.6737202653785</v>
      </c>
      <c r="H18" s="1"/>
      <c r="I18" s="2"/>
      <c r="J18" s="2"/>
      <c r="K18" s="2"/>
      <c r="L18" s="2"/>
      <c r="M18" s="2"/>
      <c r="N18" s="2"/>
      <c r="O18" s="2"/>
    </row>
    <row r="19" spans="1:15" x14ac:dyDescent="0.25">
      <c r="A19" s="1" t="str">
        <f>Ammonia!B19</f>
        <v>Jun '23</v>
      </c>
      <c r="B19" s="2">
        <f>Methanol!C19</f>
        <v>462.4847326629295</v>
      </c>
      <c r="C19" s="2">
        <f>Methanol!D19</f>
        <v>430.860855267734</v>
      </c>
      <c r="D19" s="2">
        <f>Methanol!E19</f>
        <v>1611.3818260515538</v>
      </c>
      <c r="E19" s="2">
        <f>Methanol!F19</f>
        <v>2126.3198260515542</v>
      </c>
      <c r="H19" s="1"/>
      <c r="I19" s="2"/>
      <c r="J19" s="2"/>
      <c r="K19" s="2"/>
      <c r="L19" s="2"/>
      <c r="M19" s="2"/>
      <c r="N19" s="2"/>
      <c r="O19" s="2"/>
    </row>
    <row r="20" spans="1:15" x14ac:dyDescent="0.25">
      <c r="A20" s="1" t="str">
        <f>Ammonia!B20</f>
        <v>Jul '23</v>
      </c>
      <c r="B20" s="2">
        <f>Methanol!C20</f>
        <v>426.50064372070176</v>
      </c>
      <c r="C20" s="2">
        <f>Methanol!D20</f>
        <v>406.05600626381147</v>
      </c>
      <c r="D20" s="2">
        <f>Methanol!E20</f>
        <v>1600.5496775335982</v>
      </c>
      <c r="E20" s="2">
        <f>Methanol!F20</f>
        <v>2115.4876775335988</v>
      </c>
      <c r="H20" s="1"/>
      <c r="I20" s="2"/>
      <c r="J20" s="2"/>
      <c r="K20" s="2"/>
      <c r="L20" s="2"/>
      <c r="M20" s="2"/>
      <c r="N20" s="2"/>
      <c r="O20" s="2"/>
    </row>
    <row r="21" spans="1:15" x14ac:dyDescent="0.25">
      <c r="A21" s="1" t="str">
        <f>Ammonia!B21</f>
        <v>Aug '23</v>
      </c>
      <c r="B21" s="2">
        <f>Methanol!C21</f>
        <v>500.07643209578492</v>
      </c>
      <c r="C21" s="2">
        <f>Methanol!D21</f>
        <v>455.40002354238271</v>
      </c>
      <c r="D21" s="2">
        <f>Methanol!E21</f>
        <v>1617.1282367363196</v>
      </c>
      <c r="E21" s="2">
        <f>Methanol!F21</f>
        <v>2132.0662367363202</v>
      </c>
      <c r="H21" s="1"/>
      <c r="I21" s="2"/>
      <c r="J21" s="2"/>
      <c r="K21" s="2"/>
      <c r="L21" s="2"/>
      <c r="M21" s="2"/>
      <c r="N21" s="2"/>
      <c r="O21" s="2"/>
    </row>
    <row r="22" spans="1:15" x14ac:dyDescent="0.25">
      <c r="A22" s="1" t="str">
        <f>Ammonia!B22</f>
        <v>Sep '23</v>
      </c>
      <c r="B22" s="2">
        <f>Methanol!C22</f>
        <v>516.0435058484295</v>
      </c>
      <c r="C22" s="2">
        <f>Methanol!D22</f>
        <v>466.30423043198073</v>
      </c>
      <c r="D22" s="2">
        <f>Methanol!E22</f>
        <v>1621.5198173337942</v>
      </c>
      <c r="E22" s="2">
        <f>Methanol!F22</f>
        <v>2136.4578173337941</v>
      </c>
      <c r="H22" s="1"/>
      <c r="I22" s="2"/>
      <c r="J22" s="2"/>
      <c r="K22" s="2"/>
      <c r="L22" s="2"/>
      <c r="M22" s="2"/>
      <c r="N22" s="2"/>
      <c r="O22" s="2"/>
    </row>
    <row r="23" spans="1:15" x14ac:dyDescent="0.25">
      <c r="A23" s="1" t="str">
        <f>Ammonia!B23</f>
        <v>Oct '23</v>
      </c>
      <c r="B23" s="2">
        <f>Methanol!C23</f>
        <v>650.99206530037759</v>
      </c>
      <c r="C23" s="2">
        <f>Methanol!D23</f>
        <v>553.51805088761841</v>
      </c>
      <c r="D23" s="2">
        <f>Methanol!E23</f>
        <v>1638.5886599495798</v>
      </c>
      <c r="E23" s="2">
        <f>Methanol!F23</f>
        <v>2153.5266599495799</v>
      </c>
      <c r="H23" s="1"/>
      <c r="I23" s="2"/>
      <c r="J23" s="2"/>
      <c r="K23" s="2"/>
      <c r="L23" s="2"/>
      <c r="M23" s="2"/>
      <c r="N23" s="2"/>
      <c r="O23" s="2"/>
    </row>
    <row r="24" spans="1:15" x14ac:dyDescent="0.25">
      <c r="A24" s="1" t="str">
        <f>Ammonia!B24</f>
        <v>Nov '23</v>
      </c>
      <c r="B24" s="2">
        <f>Methanol!C24</f>
        <v>647.21858834007003</v>
      </c>
      <c r="C24" s="2">
        <f>Methanol!D24</f>
        <v>551.33724059286692</v>
      </c>
      <c r="D24" s="2">
        <f>Methanol!E24</f>
        <v>1639.15688275978</v>
      </c>
      <c r="E24" s="2">
        <f>Methanol!F24</f>
        <v>2154.0948827597804</v>
      </c>
      <c r="H24" s="1"/>
      <c r="I24" s="2"/>
      <c r="J24" s="2"/>
      <c r="K24" s="2"/>
      <c r="L24" s="2"/>
      <c r="M24" s="2"/>
      <c r="N24" s="2"/>
      <c r="O24" s="2"/>
    </row>
    <row r="25" spans="1:15" x14ac:dyDescent="0.25">
      <c r="A25" s="1" t="str">
        <f>Ammonia!B25</f>
        <v>Dec '23</v>
      </c>
      <c r="B25" s="2">
        <f>Methanol!C25</f>
        <v>514.13839646576275</v>
      </c>
      <c r="C25" s="2">
        <f>Methanol!D25</f>
        <v>462.66509754786915</v>
      </c>
      <c r="D25" s="2">
        <f>Methanol!E25</f>
        <v>1611.5170574508561</v>
      </c>
      <c r="E25" s="2">
        <f>Methanol!F25</f>
        <v>2126.4550574508562</v>
      </c>
      <c r="H25" s="1"/>
      <c r="I25" s="2"/>
      <c r="J25" s="2"/>
      <c r="K25" s="2"/>
      <c r="L25" s="2"/>
      <c r="M25" s="2"/>
      <c r="N25" s="2"/>
      <c r="O25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D226-5D2A-412E-B724-3C7E7D5C30B3}">
  <sheetPr codeName="Sheet9"/>
  <dimension ref="A1:J36"/>
  <sheetViews>
    <sheetView workbookViewId="0">
      <selection activeCell="J9" sqref="J9"/>
    </sheetView>
  </sheetViews>
  <sheetFormatPr defaultRowHeight="15" x14ac:dyDescent="0.25"/>
  <cols>
    <col min="1" max="1" width="16.5703125" bestFit="1" customWidth="1"/>
    <col min="8" max="8" width="9.5703125" bestFit="1" customWidth="1"/>
  </cols>
  <sheetData>
    <row r="1" spans="1:10" x14ac:dyDescent="0.25">
      <c r="A1" s="13" t="s">
        <v>27</v>
      </c>
      <c r="B1" s="13"/>
      <c r="C1" s="13"/>
      <c r="D1" s="13"/>
      <c r="E1" s="13"/>
      <c r="F1" s="13"/>
      <c r="G1" s="13"/>
      <c r="H1" s="13"/>
      <c r="I1" s="13"/>
    </row>
    <row r="2" spans="1:10" x14ac:dyDescent="0.25">
      <c r="A2" s="5"/>
      <c r="B2" s="13">
        <v>2022</v>
      </c>
      <c r="C2" s="13"/>
      <c r="D2" s="13"/>
      <c r="E2" s="13"/>
      <c r="F2" s="13">
        <v>2023</v>
      </c>
      <c r="G2" s="13"/>
      <c r="H2" s="13"/>
      <c r="I2" s="13"/>
    </row>
    <row r="3" spans="1:10" x14ac:dyDescent="0.25">
      <c r="A3" s="5"/>
      <c r="B3" s="4" t="s">
        <v>16</v>
      </c>
      <c r="C3" s="4" t="s">
        <v>17</v>
      </c>
      <c r="D3" s="4" t="s">
        <v>18</v>
      </c>
      <c r="E3" s="4" t="s">
        <v>21</v>
      </c>
      <c r="F3" s="4" t="s">
        <v>16</v>
      </c>
      <c r="G3" s="4" t="s">
        <v>17</v>
      </c>
      <c r="H3" s="4" t="s">
        <v>18</v>
      </c>
      <c r="I3" s="4" t="s">
        <v>21</v>
      </c>
    </row>
    <row r="4" spans="1:10" x14ac:dyDescent="0.25">
      <c r="A4" s="4" t="s">
        <v>19</v>
      </c>
      <c r="B4" s="6">
        <v>4.4999999999999998E-2</v>
      </c>
      <c r="C4" s="6">
        <v>2.9000000000000001E-2</v>
      </c>
      <c r="D4" s="6">
        <v>5.8999999999999997E-2</v>
      </c>
      <c r="E4" s="7">
        <v>37</v>
      </c>
      <c r="F4" s="6">
        <f>B4*$B$12/$B$11</f>
        <v>4.401286764705882E-2</v>
      </c>
      <c r="G4" s="6">
        <f t="shared" ref="G4:H4" si="0">C4*$B$12/$B$11</f>
        <v>2.836384803921569E-2</v>
      </c>
      <c r="H4" s="6">
        <f t="shared" si="0"/>
        <v>5.7705759803921564E-2</v>
      </c>
      <c r="I4" s="7">
        <v>37</v>
      </c>
      <c r="J4" t="s">
        <v>22</v>
      </c>
    </row>
    <row r="5" spans="1:10" x14ac:dyDescent="0.25">
      <c r="A5" s="4" t="s">
        <v>20</v>
      </c>
      <c r="B5" s="6">
        <v>4.9000000000000002E-2</v>
      </c>
      <c r="C5" s="6">
        <v>0.03</v>
      </c>
      <c r="D5" s="6">
        <v>0.12</v>
      </c>
      <c r="E5" s="7">
        <v>16.899999999999999</v>
      </c>
      <c r="F5" s="6">
        <f>B5*$B$12/$B$11</f>
        <v>4.7925122549019615E-2</v>
      </c>
      <c r="G5" s="6">
        <f t="shared" ref="G5" si="1">C5*$B$12/$B$11</f>
        <v>2.9341911764705884E-2</v>
      </c>
      <c r="H5" s="6">
        <f t="shared" ref="H5" si="2">D5*$B$12/$B$11</f>
        <v>0.11736764705882353</v>
      </c>
      <c r="I5" s="5">
        <v>16.899999999999999</v>
      </c>
      <c r="J5" t="s">
        <v>22</v>
      </c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</row>
    <row r="8" spans="1:10" x14ac:dyDescent="0.25">
      <c r="A8" s="5" t="s">
        <v>23</v>
      </c>
      <c r="B8" s="5">
        <v>607.5</v>
      </c>
      <c r="C8" s="1"/>
      <c r="D8" s="1"/>
      <c r="E8" s="1"/>
      <c r="F8" s="1"/>
      <c r="G8" s="1"/>
      <c r="H8" s="1"/>
      <c r="I8" s="1"/>
    </row>
    <row r="9" spans="1:10" x14ac:dyDescent="0.25">
      <c r="A9" s="5" t="s">
        <v>24</v>
      </c>
      <c r="B9" s="5">
        <v>596.20000000000005</v>
      </c>
      <c r="C9" s="1"/>
      <c r="D9" s="1"/>
      <c r="E9" s="1"/>
      <c r="F9" s="1"/>
      <c r="G9" s="1"/>
      <c r="H9" s="1"/>
      <c r="I9" s="1"/>
    </row>
    <row r="10" spans="1:10" x14ac:dyDescent="0.25">
      <c r="A10" s="5" t="s">
        <v>25</v>
      </c>
      <c r="B10" s="7">
        <v>708</v>
      </c>
      <c r="C10" s="1"/>
      <c r="D10" s="3"/>
      <c r="E10" s="1"/>
      <c r="F10" s="1"/>
      <c r="G10" s="1"/>
      <c r="I10" s="1"/>
    </row>
    <row r="11" spans="1:10" x14ac:dyDescent="0.25">
      <c r="A11" s="5" t="s">
        <v>26</v>
      </c>
      <c r="B11" s="7">
        <v>816</v>
      </c>
      <c r="C11" s="1"/>
      <c r="D11" s="1"/>
      <c r="E11" s="1"/>
      <c r="F11" s="1"/>
      <c r="G11" s="1"/>
      <c r="H11" s="1"/>
      <c r="I11" s="1"/>
    </row>
    <row r="12" spans="1:10" x14ac:dyDescent="0.25">
      <c r="A12" s="5" t="s">
        <v>47</v>
      </c>
      <c r="B12" s="5">
        <v>798.1</v>
      </c>
      <c r="C12" s="1"/>
      <c r="D12" s="1"/>
      <c r="E12" s="1"/>
      <c r="F12" s="1"/>
      <c r="G12" s="1"/>
      <c r="H12" s="1"/>
      <c r="I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10" x14ac:dyDescent="0.25">
      <c r="A14" s="13" t="s">
        <v>28</v>
      </c>
      <c r="B14" s="13"/>
      <c r="C14" s="13"/>
      <c r="D14" s="13"/>
      <c r="E14" s="13"/>
      <c r="F14" s="13"/>
      <c r="G14" s="13"/>
      <c r="H14" s="13"/>
      <c r="I14" s="13"/>
    </row>
    <row r="15" spans="1:10" x14ac:dyDescent="0.25">
      <c r="A15" s="5"/>
      <c r="B15" s="13">
        <v>2022</v>
      </c>
      <c r="C15" s="13"/>
      <c r="D15" s="13"/>
      <c r="E15" s="13"/>
      <c r="F15" s="13">
        <v>2023</v>
      </c>
      <c r="G15" s="13"/>
      <c r="H15" s="13"/>
      <c r="I15" s="13"/>
    </row>
    <row r="16" spans="1:10" x14ac:dyDescent="0.25">
      <c r="A16" s="5"/>
      <c r="B16" s="4" t="s">
        <v>16</v>
      </c>
      <c r="C16" s="4" t="s">
        <v>17</v>
      </c>
      <c r="D16" s="4" t="s">
        <v>18</v>
      </c>
      <c r="E16" s="4" t="s">
        <v>21</v>
      </c>
      <c r="F16" s="4" t="s">
        <v>16</v>
      </c>
      <c r="G16" s="4" t="s">
        <v>17</v>
      </c>
      <c r="H16" s="4" t="s">
        <v>18</v>
      </c>
      <c r="I16" s="4" t="s">
        <v>21</v>
      </c>
    </row>
    <row r="17" spans="1:9" x14ac:dyDescent="0.25">
      <c r="A17" s="4" t="s">
        <v>19</v>
      </c>
      <c r="B17" s="6">
        <v>5.6253000000000002</v>
      </c>
      <c r="C17" s="6">
        <v>4.7453000000000003</v>
      </c>
      <c r="D17" s="6">
        <v>6.3952999999999998</v>
      </c>
      <c r="E17" s="7">
        <f>E4</f>
        <v>37</v>
      </c>
      <c r="F17" s="6">
        <v>5.5709999999999997</v>
      </c>
      <c r="G17" s="6">
        <v>4.7103000000000002</v>
      </c>
      <c r="H17" s="6">
        <v>6.3240999999999996</v>
      </c>
      <c r="I17" s="7">
        <f t="shared" ref="I17:I18" si="3">I4</f>
        <v>37</v>
      </c>
    </row>
    <row r="18" spans="1:9" x14ac:dyDescent="0.25">
      <c r="A18" s="4" t="s">
        <v>20</v>
      </c>
      <c r="B18" s="6">
        <v>8.3402999999999992</v>
      </c>
      <c r="C18" s="6">
        <v>7.2953000000000001</v>
      </c>
      <c r="D18" s="6">
        <v>12.2453</v>
      </c>
      <c r="E18" s="7">
        <f>E5</f>
        <v>16.899999999999999</v>
      </c>
      <c r="F18" s="6">
        <v>8.2812000000000001</v>
      </c>
      <c r="G18" s="6">
        <v>7.2591000000000001</v>
      </c>
      <c r="H18" s="6">
        <v>12.1005</v>
      </c>
      <c r="I18" s="7">
        <f t="shared" si="3"/>
        <v>16.899999999999999</v>
      </c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</sheetData>
  <mergeCells count="6">
    <mergeCell ref="B15:E15"/>
    <mergeCell ref="F15:I15"/>
    <mergeCell ref="A14:I14"/>
    <mergeCell ref="A1:I1"/>
    <mergeCell ref="F2:I2"/>
    <mergeCell ref="B2:E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"/>
  <sheetViews>
    <sheetView workbookViewId="0">
      <selection activeCell="I22" sqref="I22"/>
    </sheetView>
  </sheetViews>
  <sheetFormatPr defaultRowHeight="15" x14ac:dyDescent="0.25"/>
  <cols>
    <col min="2" max="2" width="11.7109375" customWidth="1"/>
    <col min="3" max="5" width="6.7109375" customWidth="1"/>
    <col min="6" max="27" width="11.7109375" customWidth="1"/>
    <col min="28" max="28" width="10.7109375" customWidth="1"/>
    <col min="29" max="40" width="11.7109375" customWidth="1"/>
    <col min="41" max="41" width="10.7109375" customWidth="1"/>
    <col min="42" max="51" width="11.7109375" customWidth="1"/>
  </cols>
  <sheetData>
    <row r="1" spans="1:5" x14ac:dyDescent="0.25">
      <c r="A1" s="1" t="s">
        <v>29</v>
      </c>
      <c r="B1" s="1" t="s">
        <v>6</v>
      </c>
      <c r="C1" s="1" t="s">
        <v>48</v>
      </c>
      <c r="D1" s="1" t="s">
        <v>17</v>
      </c>
      <c r="E1" s="1" t="s">
        <v>18</v>
      </c>
    </row>
    <row r="2" spans="1:5" x14ac:dyDescent="0.25">
      <c r="A2" s="1">
        <v>1</v>
      </c>
      <c r="B2" s="1" t="s">
        <v>7</v>
      </c>
      <c r="C2" s="2">
        <v>482.30435933027792</v>
      </c>
      <c r="D2" s="2">
        <v>346.94238402163597</v>
      </c>
      <c r="E2" s="2">
        <v>617.66633463891992</v>
      </c>
    </row>
    <row r="3" spans="1:5" x14ac:dyDescent="0.25">
      <c r="A3" s="1">
        <f>A2+1</f>
        <v>2</v>
      </c>
      <c r="B3" s="1" t="s">
        <v>8</v>
      </c>
      <c r="C3" s="2">
        <v>475.10460246649205</v>
      </c>
      <c r="D3" s="2">
        <v>339.74262715785011</v>
      </c>
      <c r="E3" s="2">
        <v>610.46657777513406</v>
      </c>
    </row>
    <row r="4" spans="1:5" x14ac:dyDescent="0.25">
      <c r="A4" s="1">
        <f t="shared" ref="A4:A25" si="0">A3+1</f>
        <v>3</v>
      </c>
      <c r="B4" s="1" t="s">
        <v>9</v>
      </c>
      <c r="C4" s="2">
        <v>580.99816065268408</v>
      </c>
      <c r="D4" s="2">
        <v>445.63618534404213</v>
      </c>
      <c r="E4" s="2">
        <v>716.36013596132602</v>
      </c>
    </row>
    <row r="5" spans="1:5" x14ac:dyDescent="0.25">
      <c r="A5" s="1">
        <f t="shared" si="0"/>
        <v>4</v>
      </c>
      <c r="B5" s="1" t="s">
        <v>10</v>
      </c>
      <c r="C5" s="2">
        <v>509.84414039712158</v>
      </c>
      <c r="D5" s="2">
        <v>374.48216508847963</v>
      </c>
      <c r="E5" s="2">
        <v>645.20611570576352</v>
      </c>
    </row>
    <row r="6" spans="1:5" x14ac:dyDescent="0.25">
      <c r="A6" s="1">
        <f t="shared" si="0"/>
        <v>5</v>
      </c>
      <c r="B6" s="1" t="s">
        <v>11</v>
      </c>
      <c r="C6" s="2">
        <v>488.65974709287229</v>
      </c>
      <c r="D6" s="2">
        <v>353.29777178423035</v>
      </c>
      <c r="E6" s="2">
        <v>624.02172240151435</v>
      </c>
    </row>
    <row r="7" spans="1:5" x14ac:dyDescent="0.25">
      <c r="A7" s="1">
        <f t="shared" si="0"/>
        <v>6</v>
      </c>
      <c r="B7" s="1" t="s">
        <v>12</v>
      </c>
      <c r="C7" s="2">
        <v>519.29670000090516</v>
      </c>
      <c r="D7" s="2">
        <v>383.93472469226322</v>
      </c>
      <c r="E7" s="2">
        <v>654.65867530954711</v>
      </c>
    </row>
    <row r="8" spans="1:5" x14ac:dyDescent="0.25">
      <c r="A8" s="1">
        <f t="shared" si="0"/>
        <v>7</v>
      </c>
      <c r="B8" s="1" t="s">
        <v>13</v>
      </c>
      <c r="C8" s="2">
        <v>643.41068723794729</v>
      </c>
      <c r="D8" s="2">
        <v>508.04871192930528</v>
      </c>
      <c r="E8" s="2">
        <v>778.77266254658923</v>
      </c>
    </row>
    <row r="9" spans="1:5" x14ac:dyDescent="0.25">
      <c r="A9" s="1">
        <f t="shared" si="0"/>
        <v>8</v>
      </c>
      <c r="B9" s="1" t="s">
        <v>14</v>
      </c>
      <c r="C9" s="2">
        <v>774.09837223400393</v>
      </c>
      <c r="D9" s="2">
        <v>638.73639692536199</v>
      </c>
      <c r="E9" s="2">
        <v>909.46034754264588</v>
      </c>
    </row>
    <row r="10" spans="1:5" x14ac:dyDescent="0.25">
      <c r="A10" s="1">
        <f t="shared" si="0"/>
        <v>9</v>
      </c>
      <c r="B10" s="1" t="s">
        <v>15</v>
      </c>
      <c r="C10" s="2">
        <v>697.69107793506009</v>
      </c>
      <c r="D10" s="2">
        <v>562.32910262641815</v>
      </c>
      <c r="E10" s="2">
        <v>833.05305324370215</v>
      </c>
    </row>
    <row r="11" spans="1:5" x14ac:dyDescent="0.25">
      <c r="A11" s="1">
        <f t="shared" si="0"/>
        <v>10</v>
      </c>
      <c r="B11" s="1" t="s">
        <v>32</v>
      </c>
      <c r="C11" s="2">
        <v>557.45711972275876</v>
      </c>
      <c r="D11" s="2">
        <v>422.09514441411687</v>
      </c>
      <c r="E11" s="2">
        <v>692.81909503140082</v>
      </c>
    </row>
    <row r="12" spans="1:5" x14ac:dyDescent="0.25">
      <c r="A12" s="1">
        <f t="shared" si="0"/>
        <v>11</v>
      </c>
      <c r="B12" s="1" t="s">
        <v>33</v>
      </c>
      <c r="C12" s="2">
        <v>534.41996498788149</v>
      </c>
      <c r="D12" s="2">
        <v>399.05798967923954</v>
      </c>
      <c r="E12" s="2">
        <v>669.78194029652354</v>
      </c>
    </row>
    <row r="13" spans="1:5" x14ac:dyDescent="0.25">
      <c r="A13" s="1">
        <f t="shared" si="0"/>
        <v>12</v>
      </c>
      <c r="B13" s="1" t="s">
        <v>34</v>
      </c>
      <c r="C13" s="2">
        <v>536.66153390783347</v>
      </c>
      <c r="D13" s="2">
        <v>401.29955859919158</v>
      </c>
      <c r="E13" s="2">
        <v>672.02350921647553</v>
      </c>
    </row>
    <row r="14" spans="1:5" x14ac:dyDescent="0.25">
      <c r="A14" s="1">
        <f t="shared" si="0"/>
        <v>13</v>
      </c>
      <c r="B14" s="1" t="s">
        <v>35</v>
      </c>
      <c r="C14" s="2">
        <v>419.64957976973079</v>
      </c>
      <c r="D14" s="2">
        <v>287.25694190964856</v>
      </c>
      <c r="E14" s="2">
        <v>552.04221762981308</v>
      </c>
    </row>
    <row r="15" spans="1:5" x14ac:dyDescent="0.25">
      <c r="A15" s="1">
        <f t="shared" si="0"/>
        <v>14</v>
      </c>
      <c r="B15" s="1" t="s">
        <v>36</v>
      </c>
      <c r="C15" s="2">
        <v>394.18168429957461</v>
      </c>
      <c r="D15" s="2">
        <v>261.78904643949238</v>
      </c>
      <c r="E15" s="2">
        <v>526.57432215965696</v>
      </c>
    </row>
    <row r="16" spans="1:5" x14ac:dyDescent="0.25">
      <c r="A16" s="1">
        <f t="shared" si="0"/>
        <v>15</v>
      </c>
      <c r="B16" s="1" t="s">
        <v>37</v>
      </c>
      <c r="C16" s="2">
        <v>375.15105097627787</v>
      </c>
      <c r="D16" s="2">
        <v>242.75841311619564</v>
      </c>
      <c r="E16" s="2">
        <v>507.54368883636016</v>
      </c>
    </row>
    <row r="17" spans="1:5" x14ac:dyDescent="0.25">
      <c r="A17" s="1">
        <f t="shared" si="0"/>
        <v>16</v>
      </c>
      <c r="B17" s="1" t="s">
        <v>38</v>
      </c>
      <c r="C17" s="2">
        <v>373.11501217020975</v>
      </c>
      <c r="D17" s="2">
        <v>240.72237431012749</v>
      </c>
      <c r="E17" s="2">
        <v>505.50765003029204</v>
      </c>
    </row>
    <row r="18" spans="1:5" x14ac:dyDescent="0.25">
      <c r="A18" s="1">
        <f t="shared" si="0"/>
        <v>17</v>
      </c>
      <c r="B18" s="1" t="s">
        <v>39</v>
      </c>
      <c r="C18" s="2">
        <v>349.28867339037845</v>
      </c>
      <c r="D18" s="2">
        <v>216.89603553029622</v>
      </c>
      <c r="E18" s="2">
        <v>481.68131125046074</v>
      </c>
    </row>
    <row r="19" spans="1:5" x14ac:dyDescent="0.25">
      <c r="A19" s="1">
        <f t="shared" si="0"/>
        <v>18</v>
      </c>
      <c r="B19" s="1" t="s">
        <v>40</v>
      </c>
      <c r="C19" s="2">
        <v>350.97777917655384</v>
      </c>
      <c r="D19" s="2">
        <v>218.58514131647161</v>
      </c>
      <c r="E19" s="2">
        <v>483.37041703663613</v>
      </c>
    </row>
    <row r="20" spans="1:5" x14ac:dyDescent="0.25">
      <c r="A20" s="1">
        <f t="shared" si="0"/>
        <v>19</v>
      </c>
      <c r="B20" s="1" t="s">
        <v>41</v>
      </c>
      <c r="C20" s="2">
        <v>345.35363065859832</v>
      </c>
      <c r="D20" s="2">
        <v>212.96099279851612</v>
      </c>
      <c r="E20" s="2">
        <v>477.74626851868061</v>
      </c>
    </row>
    <row r="21" spans="1:5" x14ac:dyDescent="0.25">
      <c r="A21" s="1">
        <f t="shared" si="0"/>
        <v>20</v>
      </c>
      <c r="B21" s="1" t="s">
        <v>42</v>
      </c>
      <c r="C21" s="2">
        <v>356.85318986131949</v>
      </c>
      <c r="D21" s="2">
        <v>224.46055200123726</v>
      </c>
      <c r="E21" s="2">
        <v>489.24582772140178</v>
      </c>
    </row>
    <row r="22" spans="1:5" x14ac:dyDescent="0.25">
      <c r="A22" s="1">
        <f t="shared" si="0"/>
        <v>21</v>
      </c>
      <c r="B22" s="1" t="s">
        <v>43</v>
      </c>
      <c r="C22" s="2">
        <v>359.34877045879404</v>
      </c>
      <c r="D22" s="2">
        <v>226.95613259871183</v>
      </c>
      <c r="E22" s="2">
        <v>491.74140831887632</v>
      </c>
    </row>
    <row r="23" spans="1:5" x14ac:dyDescent="0.25">
      <c r="A23" s="1">
        <f t="shared" si="0"/>
        <v>22</v>
      </c>
      <c r="B23" s="1" t="s">
        <v>44</v>
      </c>
      <c r="C23" s="2">
        <v>380.4406130745798</v>
      </c>
      <c r="D23" s="2">
        <v>248.04797521449757</v>
      </c>
      <c r="E23" s="2">
        <v>512.83325093466215</v>
      </c>
    </row>
    <row r="24" spans="1:5" x14ac:dyDescent="0.25">
      <c r="A24" s="1">
        <f t="shared" si="0"/>
        <v>23</v>
      </c>
      <c r="B24" s="1" t="s">
        <v>45</v>
      </c>
      <c r="C24" s="2">
        <v>379.85083588478005</v>
      </c>
      <c r="D24" s="2">
        <v>247.45819802469779</v>
      </c>
      <c r="E24" s="2">
        <v>512.24347374486229</v>
      </c>
    </row>
    <row r="25" spans="1:5" x14ac:dyDescent="0.25">
      <c r="A25" s="1">
        <f t="shared" si="0"/>
        <v>24</v>
      </c>
      <c r="B25" s="1" t="s">
        <v>46</v>
      </c>
      <c r="C25" s="2">
        <v>359.05101057585608</v>
      </c>
      <c r="D25" s="2">
        <v>226.65837271577382</v>
      </c>
      <c r="E25" s="2">
        <v>491.44364843593837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Ammonia</vt:lpstr>
      <vt:lpstr>Ammonia summary</vt:lpstr>
      <vt:lpstr>Methanol</vt:lpstr>
      <vt:lpstr>Methanol summary</vt:lpstr>
      <vt:lpstr>LCOH</vt:lpstr>
      <vt:lpstr>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2022-09-15T21:09:22Z</dcterms:created>
  <dcterms:modified xsi:type="dcterms:W3CDTF">2024-03-12T13:37:25Z</dcterms:modified>
</cp:coreProperties>
</file>