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Methanol\"/>
    </mc:Choice>
  </mc:AlternateContent>
  <xr:revisionPtr revIDLastSave="0" documentId="13_ncr:1_{319C58AB-32AC-4535-9E69-D10F1F9EDACC}" xr6:coauthVersionLast="47" xr6:coauthVersionMax="47" xr10:uidLastSave="{00000000-0000-0000-0000-000000000000}"/>
  <bookViews>
    <workbookView xWindow="-108" yWindow="-108" windowWidth="30936" windowHeight="16896" xr2:uid="{D1C12496-0C4E-4EDE-AC2B-F45B8AF5ECE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11" i="1" l="1"/>
  <c r="D6" i="1" s="1"/>
  <c r="D7" i="1" l="1"/>
  <c r="D5" i="1"/>
  <c r="D4" i="1"/>
  <c r="D3" i="1"/>
  <c r="D9" i="1"/>
  <c r="D10" i="1"/>
  <c r="D8" i="1"/>
</calcChain>
</file>

<file path=xl/sharedStrings.xml><?xml version="1.0" encoding="utf-8"?>
<sst xmlns="http://schemas.openxmlformats.org/spreadsheetml/2006/main" count="10" uniqueCount="10">
  <si>
    <t>Unit/kg methanol</t>
  </si>
  <si>
    <t>$/kg methanol</t>
  </si>
  <si>
    <t>Natural gas</t>
  </si>
  <si>
    <t>Water</t>
  </si>
  <si>
    <t>Nitrogen</t>
  </si>
  <si>
    <t>Hydrogen</t>
  </si>
  <si>
    <t>Electricity</t>
  </si>
  <si>
    <t>Fixed costs</t>
  </si>
  <si>
    <t>Other utilities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</si>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</sst>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D9E0-756E-4123-9E97-659CCE065E4A}">
  <sheetPr codeName="Sheet1"/>
  <dimension ref="A2:K15"/>
  <sheetViews>
    <sheetView tabSelected="1" workbookViewId="0">
      <selection activeCell="O7" sqref="O7"/>
    </sheetView>
  </sheetViews>
  <sheetFormatPr defaultRowHeight="14.4" x14ac:dyDescent="0.3"/>
  <cols>
    <col min="1" max="1" width="17.77734375" bestFit="1" customWidth="1"/>
    <col min="2" max="2" width="15.21875" bestFit="1" customWidth="1"/>
    <col min="3" max="3" width="12.6640625" bestFit="1" customWidth="1"/>
    <col min="4" max="4" width="5.5546875" bestFit="1" customWidth="1"/>
    <col min="6" max="6" width="18.21875" bestFit="1" customWidth="1"/>
    <col min="7" max="7" width="12" bestFit="1" customWidth="1"/>
    <col min="8" max="8" width="12.44140625" bestFit="1" customWidth="1"/>
    <col min="9" max="9" width="7.5546875" bestFit="1" customWidth="1"/>
    <col min="10" max="10" width="18.21875" bestFit="1" customWidth="1"/>
    <col min="11" max="11" width="11" bestFit="1" customWidth="1"/>
  </cols>
  <sheetData>
    <row r="2" spans="1:11" x14ac:dyDescent="0.3">
      <c r="B2" t="s">
        <v>0</v>
      </c>
      <c r="C2" t="s">
        <v>1</v>
      </c>
      <c r="G2" s="1"/>
      <c r="K2" s="1"/>
    </row>
    <row r="3" spans="1:11" x14ac:dyDescent="0.3">
      <c r="A3" s="2" t="s">
        <v>2</v>
      </c>
      <c r="B3" s="3">
        <v>0</v>
      </c>
      <c r="C3" s="3">
        <f>G13</f>
        <v>0</v>
      </c>
      <c r="D3" s="4">
        <f>C3/$C$11*100</f>
        <v>0</v>
      </c>
      <c r="E3" s="5"/>
      <c r="G3" s="1"/>
      <c r="K3" s="1"/>
    </row>
    <row r="4" spans="1:11" x14ac:dyDescent="0.3">
      <c r="A4" s="2" t="s">
        <v>3</v>
      </c>
      <c r="B4" s="3">
        <v>0</v>
      </c>
      <c r="C4" s="3">
        <f>G17</f>
        <v>0</v>
      </c>
      <c r="D4" s="4">
        <f t="shared" ref="D4:D10" si="0">C4/$C$11*100</f>
        <v>0</v>
      </c>
      <c r="E4" s="5"/>
      <c r="F4" s="5"/>
      <c r="G4" s="6"/>
    </row>
    <row r="5" spans="1:11" x14ac:dyDescent="0.3">
      <c r="A5" s="2" t="s">
        <v>4</v>
      </c>
      <c r="B5" s="3">
        <v>1.45</v>
      </c>
      <c r="C5" s="3">
        <v>0.23200000000000001</v>
      </c>
      <c r="D5" s="4">
        <f t="shared" si="0"/>
        <v>16.811801304798685</v>
      </c>
      <c r="E5" s="5"/>
      <c r="F5" s="5"/>
      <c r="G5" s="1"/>
    </row>
    <row r="6" spans="1:11" x14ac:dyDescent="0.3">
      <c r="A6" s="2" t="s">
        <v>5</v>
      </c>
      <c r="B6" s="3">
        <v>0.19</v>
      </c>
      <c r="C6" s="3">
        <v>0.99560000000000004</v>
      </c>
      <c r="D6" s="4">
        <f t="shared" si="0"/>
        <v>72.14581628904125</v>
      </c>
      <c r="E6" s="5"/>
    </row>
    <row r="7" spans="1:11" x14ac:dyDescent="0.3">
      <c r="A7" s="2" t="s">
        <v>6</v>
      </c>
      <c r="B7" s="3">
        <v>0.3</v>
      </c>
      <c r="C7" s="3">
        <v>3.1383000000000001E-2</v>
      </c>
      <c r="D7" s="4">
        <f t="shared" si="0"/>
        <v>2.2741584497780045</v>
      </c>
      <c r="G7" s="1"/>
    </row>
    <row r="8" spans="1:11" x14ac:dyDescent="0.3">
      <c r="A8" s="2" t="s">
        <v>8</v>
      </c>
      <c r="B8" s="3">
        <v>0</v>
      </c>
      <c r="C8" s="3">
        <v>2.07E-2</v>
      </c>
      <c r="D8" s="4">
        <f t="shared" si="0"/>
        <v>1.5000184784885031</v>
      </c>
      <c r="G8" s="1"/>
    </row>
    <row r="9" spans="1:11" x14ac:dyDescent="0.3">
      <c r="A9" s="2" t="s">
        <v>9</v>
      </c>
      <c r="B9" s="3">
        <v>0</v>
      </c>
      <c r="C9" s="3">
        <v>8.4500000000000006E-2</v>
      </c>
      <c r="D9" s="4">
        <f t="shared" si="0"/>
        <v>6.1232638373081416</v>
      </c>
      <c r="G9" s="1"/>
    </row>
    <row r="10" spans="1:11" x14ac:dyDescent="0.3">
      <c r="A10" s="2" t="s">
        <v>7</v>
      </c>
      <c r="B10" s="3">
        <v>0</v>
      </c>
      <c r="C10" s="3">
        <v>1.5800000000000002E-2</v>
      </c>
      <c r="D10" s="4">
        <f t="shared" si="0"/>
        <v>1.1449416405854276</v>
      </c>
    </row>
    <row r="11" spans="1:11" x14ac:dyDescent="0.3">
      <c r="A11" s="2"/>
      <c r="C11" s="7">
        <f>SUM(C3:C10)</f>
        <v>1.379983</v>
      </c>
      <c r="G11" s="1"/>
    </row>
    <row r="12" spans="1:11" x14ac:dyDescent="0.3">
      <c r="G12" s="1"/>
      <c r="I12" s="8"/>
      <c r="J12" s="8"/>
      <c r="K12" s="8"/>
    </row>
    <row r="13" spans="1:11" x14ac:dyDescent="0.3">
      <c r="I13" s="8"/>
      <c r="J13" s="8"/>
      <c r="K13" s="8"/>
    </row>
    <row r="14" spans="1:11" x14ac:dyDescent="0.3">
      <c r="C14" s="6"/>
    </row>
    <row r="15" spans="1:11" x14ac:dyDescent="0.3">
      <c r="D15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2022-11-14T14:41:01Z</dcterms:created>
  <dcterms:modified xsi:type="dcterms:W3CDTF">2023-01-04T16:23:18Z</dcterms:modified>
</cp:coreProperties>
</file>