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Natural gas v chemicals\Methanol\"/>
    </mc:Choice>
  </mc:AlternateContent>
  <xr:revisionPtr revIDLastSave="0" documentId="13_ncr:1_{FE06AD1F-DE13-4468-9DB2-1DC6549618EB}" xr6:coauthVersionLast="47" xr6:coauthVersionMax="47" xr10:uidLastSave="{00000000-0000-0000-0000-000000000000}"/>
  <bookViews>
    <workbookView xWindow="-108" yWindow="-108" windowWidth="30936" windowHeight="16896" xr2:uid="{610277D9-C277-4573-B7AE-D6F218DB31C2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1" l="1"/>
  <c r="G8" i="1" l="1"/>
  <c r="G9" i="1" s="1"/>
  <c r="G3" i="1"/>
  <c r="G5" i="1" s="1"/>
  <c r="K5" i="1"/>
  <c r="K6" i="1" s="1"/>
  <c r="G11" i="1"/>
  <c r="G12" i="1" s="1"/>
  <c r="G16" i="1"/>
  <c r="G19" i="1"/>
  <c r="G20" i="1" s="1"/>
  <c r="G21" i="1" l="1"/>
  <c r="C7" i="1" s="1"/>
  <c r="B3" i="1"/>
  <c r="B7" i="1"/>
  <c r="B4" i="1"/>
  <c r="G17" i="1"/>
  <c r="C4" i="1" s="1"/>
  <c r="G13" i="1"/>
  <c r="C3" i="1" s="1"/>
  <c r="C9" i="1"/>
  <c r="C10" i="1"/>
  <c r="C11" i="1" l="1"/>
  <c r="D4" i="1" l="1"/>
  <c r="D5" i="1"/>
  <c r="D7" i="1"/>
  <c r="D6" i="1"/>
  <c r="D8" i="1"/>
  <c r="D9" i="1"/>
  <c r="D10" i="1"/>
  <c r="D3" i="1"/>
</calcChain>
</file>

<file path=xl/sharedStrings.xml><?xml version="1.0" encoding="utf-8"?>
<sst xmlns="http://schemas.openxmlformats.org/spreadsheetml/2006/main" count="33" uniqueCount="22">
  <si>
    <t>Natural gas</t>
  </si>
  <si>
    <t>Water</t>
  </si>
  <si>
    <t>Nitrogen</t>
  </si>
  <si>
    <t>Hydrogen</t>
  </si>
  <si>
    <t>Electricity</t>
  </si>
  <si>
    <t>Other utilities</t>
  </si>
  <si>
    <t>CAPEX</t>
  </si>
  <si>
    <t>Fixed costs</t>
  </si>
  <si>
    <t>ACCR</t>
  </si>
  <si>
    <t>Unit/kg methanol</t>
  </si>
  <si>
    <t>$/kg methanol</t>
  </si>
  <si>
    <t>CAPEX total</t>
  </si>
  <si>
    <t>M$ 2009</t>
  </si>
  <si>
    <t>CEPCI 2009</t>
  </si>
  <si>
    <t>CEPCI 2019</t>
  </si>
  <si>
    <t>M$ 2019</t>
  </si>
  <si>
    <t>M$ 2019/year</t>
  </si>
  <si>
    <t>Methanol produced</t>
  </si>
  <si>
    <t>kg/hr</t>
  </si>
  <si>
    <t>Methane</t>
  </si>
  <si>
    <t>M$ 2009 /year</t>
  </si>
  <si>
    <t>kg/year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</si>
</sst>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/>
    <xf numFmtId="164" fontId="1" fillId="0" borderId="0" xfId="0" applyNumberFormat="1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FF0A-869D-4E39-86BC-8112DDEDC6FB}">
  <sheetPr codeName="Sheet1"/>
  <dimension ref="A2:M21"/>
  <sheetViews>
    <sheetView tabSelected="1" workbookViewId="0">
      <selection activeCell="L15" sqref="L15"/>
    </sheetView>
  </sheetViews>
  <sheetFormatPr defaultRowHeight="14.4" x14ac:dyDescent="0.3"/>
  <cols>
    <col min="1" max="1" width="17.77734375" bestFit="1" customWidth="1"/>
    <col min="2" max="2" width="15.21875" bestFit="1" customWidth="1"/>
    <col min="3" max="3" width="12.6640625" bestFit="1" customWidth="1"/>
    <col min="6" max="6" width="18.21875" bestFit="1" customWidth="1"/>
    <col min="7" max="7" width="12" bestFit="1" customWidth="1"/>
    <col min="8" max="8" width="12.44140625" bestFit="1" customWidth="1"/>
    <col min="9" max="9" width="7.5546875" bestFit="1" customWidth="1"/>
    <col min="10" max="10" width="18.21875" bestFit="1" customWidth="1"/>
    <col min="11" max="11" width="11" bestFit="1" customWidth="1"/>
  </cols>
  <sheetData>
    <row r="2" spans="1:13" x14ac:dyDescent="0.3">
      <c r="B2" t="s">
        <v>9</v>
      </c>
      <c r="C2" t="s">
        <v>10</v>
      </c>
      <c r="F2" t="s">
        <v>11</v>
      </c>
      <c r="G2" s="5">
        <v>1255.7587000000001</v>
      </c>
      <c r="H2" t="s">
        <v>12</v>
      </c>
      <c r="J2" t="s">
        <v>13</v>
      </c>
      <c r="K2" s="5">
        <v>521.9</v>
      </c>
      <c r="M2">
        <v>204.529</v>
      </c>
    </row>
    <row r="3" spans="1:13" x14ac:dyDescent="0.3">
      <c r="A3" s="1" t="s">
        <v>0</v>
      </c>
      <c r="B3" s="2">
        <f>(1.04*10^9+9.1544*10^7)/K5</f>
        <v>0.6656141176470588</v>
      </c>
      <c r="C3" s="2">
        <f>G13</f>
        <v>2.7892290612355309E-2</v>
      </c>
      <c r="D3" s="8">
        <f>C3/$C$11*100</f>
        <v>11.714109069445266</v>
      </c>
      <c r="E3" s="3"/>
      <c r="G3" s="5">
        <f>G2*K3/K2</f>
        <v>1461.7233382831962</v>
      </c>
      <c r="H3" t="s">
        <v>15</v>
      </c>
      <c r="J3" t="s">
        <v>14</v>
      </c>
      <c r="K3" s="5">
        <v>607.5</v>
      </c>
      <c r="M3">
        <f>M2*K3/K2</f>
        <v>238.07504790189691</v>
      </c>
    </row>
    <row r="4" spans="1:13" x14ac:dyDescent="0.3">
      <c r="A4" s="1" t="s">
        <v>1</v>
      </c>
      <c r="B4" s="2">
        <f>1.168*10^9/K5</f>
        <v>0.68705882352941172</v>
      </c>
      <c r="C4" s="2">
        <f>G17</f>
        <v>1.6775526075538476E-5</v>
      </c>
      <c r="D4" s="8">
        <f t="shared" ref="D4:D10" si="0">C4/$C$11*100</f>
        <v>7.0453282190862309E-3</v>
      </c>
      <c r="E4" s="3"/>
      <c r="F4" s="3" t="s">
        <v>8</v>
      </c>
      <c r="G4" s="6">
        <v>0.12749996980950773</v>
      </c>
    </row>
    <row r="5" spans="1:13" x14ac:dyDescent="0.3">
      <c r="A5" s="1" t="s">
        <v>2</v>
      </c>
      <c r="B5" s="2">
        <v>0</v>
      </c>
      <c r="C5" s="2">
        <v>0</v>
      </c>
      <c r="D5" s="8">
        <f t="shared" si="0"/>
        <v>0</v>
      </c>
      <c r="E5" s="3"/>
      <c r="F5" s="3"/>
      <c r="G5" s="5">
        <f>G3*G4</f>
        <v>186.36968150096038</v>
      </c>
      <c r="H5" t="s">
        <v>16</v>
      </c>
      <c r="J5" t="s">
        <v>17</v>
      </c>
      <c r="K5">
        <f>1.7*10^9</f>
        <v>1700000000</v>
      </c>
      <c r="L5" t="s">
        <v>21</v>
      </c>
    </row>
    <row r="6" spans="1:13" x14ac:dyDescent="0.3">
      <c r="A6" s="1" t="s">
        <v>3</v>
      </c>
      <c r="B6" s="2">
        <v>0</v>
      </c>
      <c r="C6" s="2">
        <v>0</v>
      </c>
      <c r="D6" s="8">
        <f t="shared" si="0"/>
        <v>0</v>
      </c>
      <c r="E6" s="3"/>
      <c r="K6">
        <f>K5/8000</f>
        <v>212500</v>
      </c>
      <c r="L6" t="s">
        <v>18</v>
      </c>
    </row>
    <row r="7" spans="1:13" x14ac:dyDescent="0.3">
      <c r="A7" s="1" t="s">
        <v>4</v>
      </c>
      <c r="B7" s="2">
        <f>1.203248*10^9/K5</f>
        <v>0.70779294117647062</v>
      </c>
      <c r="C7" s="2">
        <f>G21</f>
        <v>2.6364211365711262E-2</v>
      </c>
      <c r="D7" s="8">
        <f t="shared" si="0"/>
        <v>11.072351559790789</v>
      </c>
      <c r="F7" t="s">
        <v>7</v>
      </c>
      <c r="G7" s="5">
        <v>850</v>
      </c>
      <c r="H7" t="s">
        <v>12</v>
      </c>
    </row>
    <row r="8" spans="1:13" x14ac:dyDescent="0.3">
      <c r="A8" s="1" t="s">
        <v>5</v>
      </c>
      <c r="B8" s="2">
        <v>0</v>
      </c>
      <c r="C8" s="2">
        <v>0</v>
      </c>
      <c r="D8" s="8">
        <f t="shared" si="0"/>
        <v>0</v>
      </c>
      <c r="G8" s="5">
        <f>G7*K3/K2</f>
        <v>989.41368078175901</v>
      </c>
      <c r="H8" t="s">
        <v>15</v>
      </c>
    </row>
    <row r="9" spans="1:13" x14ac:dyDescent="0.3">
      <c r="A9" s="1" t="s">
        <v>6</v>
      </c>
      <c r="B9" s="2">
        <v>0</v>
      </c>
      <c r="C9" s="2">
        <f>G5*10^6/8000/K6</f>
        <v>0.10962922441232963</v>
      </c>
      <c r="D9" s="8">
        <f t="shared" si="0"/>
        <v>46.041707718184369</v>
      </c>
      <c r="G9" s="5">
        <f>G8*G4</f>
        <v>126.15021442878819</v>
      </c>
      <c r="H9" t="s">
        <v>16</v>
      </c>
    </row>
    <row r="10" spans="1:13" x14ac:dyDescent="0.3">
      <c r="A10" s="1" t="s">
        <v>7</v>
      </c>
      <c r="B10" s="2">
        <v>0</v>
      </c>
      <c r="C10" s="2">
        <f>G9*10^6/8000/K6</f>
        <v>7.4206008487522457E-2</v>
      </c>
      <c r="D10" s="8">
        <f t="shared" si="0"/>
        <v>31.164786324360488</v>
      </c>
    </row>
    <row r="11" spans="1:13" x14ac:dyDescent="0.3">
      <c r="A11" s="1"/>
      <c r="C11" s="4">
        <f>SUM(C3:C10)</f>
        <v>0.23810851040399419</v>
      </c>
      <c r="F11" t="s">
        <v>19</v>
      </c>
      <c r="G11" s="5">
        <f>37.44+3.2956</f>
        <v>40.735599999999998</v>
      </c>
      <c r="H11" t="s">
        <v>20</v>
      </c>
    </row>
    <row r="12" spans="1:13" x14ac:dyDescent="0.3">
      <c r="G12" s="5">
        <f>G11*K3/K2</f>
        <v>47.416894041004028</v>
      </c>
      <c r="H12" t="s">
        <v>16</v>
      </c>
      <c r="I12" s="7"/>
      <c r="J12" s="7"/>
      <c r="K12" s="7"/>
    </row>
    <row r="13" spans="1:13" x14ac:dyDescent="0.3">
      <c r="G13">
        <f>G12*10^6/8000/K6</f>
        <v>2.7892290612355309E-2</v>
      </c>
      <c r="I13" s="7"/>
      <c r="J13" s="7"/>
      <c r="K13" s="7"/>
    </row>
    <row r="15" spans="1:13" x14ac:dyDescent="0.3">
      <c r="F15" t="s">
        <v>1</v>
      </c>
      <c r="G15">
        <v>2.4500000000000001E-2</v>
      </c>
      <c r="H15" t="s">
        <v>20</v>
      </c>
    </row>
    <row r="16" spans="1:13" x14ac:dyDescent="0.3">
      <c r="G16">
        <f>G15*K3/K2</f>
        <v>2.8518394328415408E-2</v>
      </c>
      <c r="H16" t="s">
        <v>16</v>
      </c>
    </row>
    <row r="17" spans="6:8" x14ac:dyDescent="0.3">
      <c r="G17">
        <f>G16*10^6/8000/K6</f>
        <v>1.6775526075538476E-5</v>
      </c>
    </row>
    <row r="19" spans="6:8" x14ac:dyDescent="0.3">
      <c r="F19" t="s">
        <v>4</v>
      </c>
      <c r="G19">
        <f>38.5039</f>
        <v>38.503900000000002</v>
      </c>
      <c r="H19" t="s">
        <v>20</v>
      </c>
    </row>
    <row r="20" spans="6:8" x14ac:dyDescent="0.3">
      <c r="G20">
        <f>G19*K3/K2</f>
        <v>44.819159321709144</v>
      </c>
      <c r="H20" t="s">
        <v>16</v>
      </c>
    </row>
    <row r="21" spans="6:8" x14ac:dyDescent="0.3">
      <c r="G21">
        <f>G20*10^6/8000/K6</f>
        <v>2.6364211365711262E-2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2022-11-13T11:54:34Z</dcterms:created>
  <dcterms:modified xsi:type="dcterms:W3CDTF">2022-11-14T15:17:59Z</dcterms:modified>
</cp:coreProperties>
</file>