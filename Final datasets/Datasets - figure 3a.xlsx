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Fossil vs. green chemicals\Scripts\"/>
    </mc:Choice>
  </mc:AlternateContent>
  <xr:revisionPtr revIDLastSave="0" documentId="13_ncr:1_{AAFA7C4A-45D9-4583-BDD0-9553E0ECCEDF}" xr6:coauthVersionLast="36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AU breakdown" sheetId="2" r:id="rId1"/>
    <sheet name="Wind breakdown" sheetId="3" r:id="rId2"/>
    <sheet name="Solar breakdown" sheetId="5" r:id="rId3"/>
    <sheet name="SMR CCS breakdown" sheetId="7" r:id="rId4"/>
    <sheet name="Summary" sheetId="4" r:id="rId5"/>
    <sheet name="Summary S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2" i="2"/>
  <c r="J50" i="6" l="1"/>
  <c r="I50" i="6"/>
  <c r="H50" i="6"/>
  <c r="G50" i="6"/>
  <c r="F50" i="6"/>
  <c r="E50" i="6"/>
  <c r="D50" i="6"/>
  <c r="C50" i="6"/>
  <c r="L49" i="6"/>
  <c r="K49" i="6"/>
  <c r="J49" i="6"/>
  <c r="I49" i="6"/>
  <c r="H49" i="6"/>
  <c r="G49" i="6"/>
  <c r="F49" i="6"/>
  <c r="E49" i="6"/>
  <c r="D49" i="6"/>
  <c r="C49" i="6"/>
  <c r="B50" i="6"/>
  <c r="B49" i="6"/>
  <c r="J45" i="6"/>
  <c r="I45" i="6"/>
  <c r="H45" i="6"/>
  <c r="G45" i="6"/>
  <c r="F45" i="6"/>
  <c r="E45" i="6"/>
  <c r="D45" i="6"/>
  <c r="C45" i="6"/>
  <c r="L44" i="6"/>
  <c r="K44" i="6"/>
  <c r="J44" i="6"/>
  <c r="I44" i="6"/>
  <c r="H44" i="6"/>
  <c r="G44" i="6"/>
  <c r="F44" i="6"/>
  <c r="E44" i="6"/>
  <c r="D44" i="6"/>
  <c r="C44" i="6"/>
  <c r="B45" i="6"/>
  <c r="B44" i="6"/>
  <c r="J40" i="6"/>
  <c r="I40" i="6"/>
  <c r="H40" i="6"/>
  <c r="G40" i="6"/>
  <c r="F40" i="6"/>
  <c r="E40" i="6"/>
  <c r="D40" i="6"/>
  <c r="C40" i="6"/>
  <c r="L39" i="6"/>
  <c r="K39" i="6"/>
  <c r="J39" i="6"/>
  <c r="I39" i="6"/>
  <c r="H39" i="6"/>
  <c r="G39" i="6"/>
  <c r="F39" i="6"/>
  <c r="E39" i="6"/>
  <c r="D39" i="6"/>
  <c r="C39" i="6"/>
  <c r="B40" i="6"/>
  <c r="B39" i="6"/>
  <c r="J35" i="6"/>
  <c r="I35" i="6"/>
  <c r="H35" i="6"/>
  <c r="G35" i="6"/>
  <c r="F35" i="6"/>
  <c r="E35" i="6"/>
  <c r="D35" i="6"/>
  <c r="C35" i="6"/>
  <c r="L34" i="6"/>
  <c r="K34" i="6"/>
  <c r="J34" i="6"/>
  <c r="I34" i="6"/>
  <c r="H34" i="6"/>
  <c r="G34" i="6"/>
  <c r="F34" i="6"/>
  <c r="E34" i="6"/>
  <c r="D34" i="6"/>
  <c r="C34" i="6"/>
  <c r="B35" i="6"/>
  <c r="B34" i="6"/>
  <c r="J30" i="6"/>
  <c r="I30" i="6"/>
  <c r="H30" i="6"/>
  <c r="G30" i="6"/>
  <c r="F30" i="6"/>
  <c r="E30" i="6"/>
  <c r="D30" i="6"/>
  <c r="C30" i="6"/>
  <c r="L29" i="6"/>
  <c r="K29" i="6"/>
  <c r="J29" i="6"/>
  <c r="I29" i="6"/>
  <c r="H29" i="6"/>
  <c r="G29" i="6"/>
  <c r="F29" i="6"/>
  <c r="E29" i="6"/>
  <c r="D29" i="6"/>
  <c r="C29" i="6"/>
  <c r="B30" i="6"/>
  <c r="B29" i="6"/>
  <c r="J25" i="6"/>
  <c r="I25" i="6"/>
  <c r="H25" i="6"/>
  <c r="G25" i="6"/>
  <c r="F25" i="6"/>
  <c r="E25" i="6"/>
  <c r="D25" i="6"/>
  <c r="C25" i="6"/>
  <c r="L24" i="6"/>
  <c r="K24" i="6"/>
  <c r="J24" i="6"/>
  <c r="I24" i="6"/>
  <c r="H24" i="6"/>
  <c r="G24" i="6"/>
  <c r="F24" i="6"/>
  <c r="E24" i="6"/>
  <c r="D24" i="6"/>
  <c r="C24" i="6"/>
  <c r="B24" i="6"/>
  <c r="B25" i="6"/>
  <c r="J20" i="6"/>
  <c r="I20" i="6"/>
  <c r="H20" i="6"/>
  <c r="G20" i="6"/>
  <c r="F20" i="6"/>
  <c r="E20" i="6"/>
  <c r="D20" i="6"/>
  <c r="C20" i="6"/>
  <c r="L19" i="6"/>
  <c r="K19" i="6"/>
  <c r="J19" i="6"/>
  <c r="I19" i="6"/>
  <c r="H19" i="6"/>
  <c r="G19" i="6"/>
  <c r="F19" i="6"/>
  <c r="E19" i="6"/>
  <c r="D19" i="6"/>
  <c r="C19" i="6"/>
  <c r="B20" i="6"/>
  <c r="B19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C14" i="6"/>
  <c r="B15" i="6"/>
  <c r="B14" i="6"/>
  <c r="J10" i="6"/>
  <c r="I10" i="6"/>
  <c r="H10" i="6"/>
  <c r="G10" i="6"/>
  <c r="F10" i="6"/>
  <c r="E10" i="6"/>
  <c r="D10" i="6"/>
  <c r="C10" i="6"/>
  <c r="B10" i="6"/>
  <c r="J5" i="6"/>
  <c r="I5" i="6"/>
  <c r="H5" i="6"/>
  <c r="G5" i="6"/>
  <c r="F5" i="6"/>
  <c r="E5" i="6"/>
  <c r="D5" i="6"/>
  <c r="C5" i="6"/>
  <c r="B5" i="6"/>
  <c r="L48" i="6"/>
  <c r="K48" i="6"/>
  <c r="J48" i="6"/>
  <c r="I48" i="6"/>
  <c r="H48" i="6"/>
  <c r="G48" i="6"/>
  <c r="F48" i="6"/>
  <c r="E48" i="6"/>
  <c r="D48" i="6"/>
  <c r="C48" i="6"/>
  <c r="B48" i="6"/>
  <c r="J47" i="6"/>
  <c r="I47" i="6"/>
  <c r="H47" i="6"/>
  <c r="G47" i="6"/>
  <c r="F47" i="6"/>
  <c r="E47" i="6"/>
  <c r="D47" i="6"/>
  <c r="C47" i="6"/>
  <c r="B47" i="6"/>
  <c r="L43" i="6"/>
  <c r="K43" i="6"/>
  <c r="J43" i="6"/>
  <c r="I43" i="6"/>
  <c r="H43" i="6"/>
  <c r="G43" i="6"/>
  <c r="F43" i="6"/>
  <c r="E43" i="6"/>
  <c r="D43" i="6"/>
  <c r="C43" i="6"/>
  <c r="B43" i="6"/>
  <c r="J42" i="6"/>
  <c r="I42" i="6"/>
  <c r="H42" i="6"/>
  <c r="G42" i="6"/>
  <c r="F42" i="6"/>
  <c r="E42" i="6"/>
  <c r="D42" i="6"/>
  <c r="C42" i="6"/>
  <c r="B42" i="6"/>
  <c r="L38" i="6"/>
  <c r="K38" i="6"/>
  <c r="J38" i="6"/>
  <c r="I38" i="6"/>
  <c r="H38" i="6"/>
  <c r="G38" i="6"/>
  <c r="F38" i="6"/>
  <c r="E38" i="6"/>
  <c r="D38" i="6"/>
  <c r="C38" i="6"/>
  <c r="B38" i="6"/>
  <c r="J37" i="6"/>
  <c r="I37" i="6"/>
  <c r="H37" i="6"/>
  <c r="G37" i="6"/>
  <c r="F37" i="6"/>
  <c r="E37" i="6"/>
  <c r="D37" i="6"/>
  <c r="C37" i="6"/>
  <c r="B37" i="6"/>
  <c r="L33" i="6"/>
  <c r="K33" i="6"/>
  <c r="J33" i="6"/>
  <c r="I33" i="6"/>
  <c r="H33" i="6"/>
  <c r="G33" i="6"/>
  <c r="F33" i="6"/>
  <c r="E33" i="6"/>
  <c r="D33" i="6"/>
  <c r="C33" i="6"/>
  <c r="B33" i="6"/>
  <c r="J32" i="6"/>
  <c r="I32" i="6"/>
  <c r="H32" i="6"/>
  <c r="G32" i="6"/>
  <c r="F32" i="6"/>
  <c r="E32" i="6"/>
  <c r="D32" i="6"/>
  <c r="C32" i="6"/>
  <c r="B32" i="6"/>
  <c r="L28" i="6"/>
  <c r="K28" i="6"/>
  <c r="J28" i="6"/>
  <c r="I28" i="6"/>
  <c r="H28" i="6"/>
  <c r="G28" i="6"/>
  <c r="F28" i="6"/>
  <c r="E28" i="6"/>
  <c r="D28" i="6"/>
  <c r="C28" i="6"/>
  <c r="B28" i="6"/>
  <c r="J27" i="6"/>
  <c r="I27" i="6"/>
  <c r="H27" i="6"/>
  <c r="G27" i="6"/>
  <c r="F27" i="6"/>
  <c r="E27" i="6"/>
  <c r="D27" i="6"/>
  <c r="C27" i="6"/>
  <c r="B27" i="6"/>
  <c r="L23" i="6"/>
  <c r="K23" i="6"/>
  <c r="J23" i="6"/>
  <c r="I23" i="6"/>
  <c r="H23" i="6"/>
  <c r="G23" i="6"/>
  <c r="F23" i="6"/>
  <c r="E23" i="6"/>
  <c r="D23" i="6"/>
  <c r="C23" i="6"/>
  <c r="B23" i="6"/>
  <c r="J22" i="6"/>
  <c r="I22" i="6"/>
  <c r="H22" i="6"/>
  <c r="G22" i="6"/>
  <c r="F22" i="6"/>
  <c r="E22" i="6"/>
  <c r="D22" i="6"/>
  <c r="C22" i="6"/>
  <c r="B22" i="6"/>
  <c r="L18" i="6"/>
  <c r="K18" i="6"/>
  <c r="J18" i="6"/>
  <c r="I18" i="6"/>
  <c r="H18" i="6"/>
  <c r="G18" i="6"/>
  <c r="F18" i="6"/>
  <c r="E18" i="6"/>
  <c r="D18" i="6"/>
  <c r="C18" i="6"/>
  <c r="B18" i="6"/>
  <c r="J17" i="6"/>
  <c r="I17" i="6"/>
  <c r="H17" i="6"/>
  <c r="G17" i="6"/>
  <c r="F17" i="6"/>
  <c r="E17" i="6"/>
  <c r="D17" i="6"/>
  <c r="C17" i="6"/>
  <c r="B17" i="6"/>
  <c r="L13" i="6"/>
  <c r="K13" i="6"/>
  <c r="J13" i="6"/>
  <c r="I13" i="6"/>
  <c r="H13" i="6"/>
  <c r="G13" i="6"/>
  <c r="F13" i="6"/>
  <c r="E13" i="6"/>
  <c r="D13" i="6"/>
  <c r="C13" i="6"/>
  <c r="B13" i="6"/>
  <c r="J12" i="6"/>
  <c r="I12" i="6"/>
  <c r="H12" i="6"/>
  <c r="G12" i="6"/>
  <c r="F12" i="6"/>
  <c r="E12" i="6"/>
  <c r="D12" i="6"/>
  <c r="C12" i="6"/>
  <c r="B12" i="6"/>
  <c r="L9" i="6"/>
  <c r="K9" i="6"/>
  <c r="J9" i="6"/>
  <c r="I9" i="6"/>
  <c r="H9" i="6"/>
  <c r="G9" i="6"/>
  <c r="F9" i="6"/>
  <c r="E9" i="6"/>
  <c r="D9" i="6"/>
  <c r="C9" i="6"/>
  <c r="B9" i="6"/>
  <c r="J8" i="6"/>
  <c r="I8" i="6"/>
  <c r="H8" i="6"/>
  <c r="G8" i="6"/>
  <c r="F8" i="6"/>
  <c r="E8" i="6"/>
  <c r="D8" i="6"/>
  <c r="C8" i="6"/>
  <c r="B8" i="6"/>
  <c r="J7" i="6"/>
  <c r="I7" i="6"/>
  <c r="H7" i="6"/>
  <c r="G7" i="6"/>
  <c r="F7" i="6"/>
  <c r="E7" i="6"/>
  <c r="D7" i="6"/>
  <c r="C7" i="6"/>
  <c r="B7" i="6"/>
  <c r="L4" i="6"/>
  <c r="K4" i="6"/>
  <c r="J4" i="6"/>
  <c r="I4" i="6"/>
  <c r="H4" i="6"/>
  <c r="G4" i="6"/>
  <c r="F4" i="6"/>
  <c r="E4" i="6"/>
  <c r="D4" i="6"/>
  <c r="C4" i="6"/>
  <c r="B4" i="6"/>
  <c r="J3" i="6"/>
  <c r="I3" i="6"/>
  <c r="H3" i="6"/>
  <c r="G3" i="6"/>
  <c r="F3" i="6"/>
  <c r="E3" i="6"/>
  <c r="D3" i="6"/>
  <c r="C3" i="6"/>
  <c r="B3" i="6"/>
  <c r="J2" i="6"/>
  <c r="I2" i="6"/>
  <c r="H2" i="6"/>
  <c r="G2" i="6"/>
  <c r="F2" i="6"/>
  <c r="E2" i="6"/>
  <c r="D2" i="6"/>
  <c r="C2" i="6"/>
  <c r="B2" i="6"/>
  <c r="L30" i="4"/>
  <c r="K30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L27" i="4"/>
  <c r="K27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L24" i="4"/>
  <c r="K24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L21" i="4"/>
  <c r="K21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L18" i="4"/>
  <c r="K18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L15" i="4"/>
  <c r="K15" i="4"/>
  <c r="J15" i="4"/>
  <c r="I15" i="4"/>
  <c r="H15" i="4"/>
  <c r="G15" i="4"/>
  <c r="F15" i="4"/>
  <c r="E15" i="4"/>
  <c r="D15" i="4"/>
  <c r="C15" i="4"/>
  <c r="B15" i="4"/>
  <c r="J14" i="4"/>
  <c r="I14" i="4"/>
  <c r="H14" i="4"/>
  <c r="G14" i="4"/>
  <c r="F14" i="4"/>
  <c r="E14" i="4"/>
  <c r="D14" i="4"/>
  <c r="C14" i="4"/>
  <c r="B14" i="4"/>
  <c r="L12" i="4"/>
  <c r="K12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L9" i="4"/>
  <c r="K9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3" i="4"/>
  <c r="I3" i="4"/>
  <c r="H3" i="4"/>
  <c r="G3" i="4"/>
  <c r="F3" i="4"/>
  <c r="E3" i="4"/>
  <c r="D3" i="4"/>
  <c r="C3" i="4"/>
  <c r="B3" i="4"/>
  <c r="J2" i="4"/>
  <c r="I2" i="4"/>
  <c r="H2" i="4"/>
  <c r="G2" i="4"/>
  <c r="F2" i="4"/>
  <c r="E2" i="4"/>
  <c r="D2" i="4"/>
  <c r="C2" i="4"/>
  <c r="B2" i="4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</calcChain>
</file>

<file path=xl/sharedStrings.xml><?xml version="1.0" encoding="utf-8"?>
<sst xmlns="http://schemas.openxmlformats.org/spreadsheetml/2006/main" count="338" uniqueCount="63">
  <si>
    <t>Sep '22</t>
  </si>
  <si>
    <t>Aug '22</t>
  </si>
  <si>
    <t>Jul '22</t>
  </si>
  <si>
    <t>Jun '22</t>
  </si>
  <si>
    <t>May '22</t>
  </si>
  <si>
    <t>Apr '22</t>
  </si>
  <si>
    <t>Mar '22</t>
  </si>
  <si>
    <t>Feb '22</t>
  </si>
  <si>
    <t>Jan '22</t>
  </si>
  <si>
    <t>Dec '21</t>
  </si>
  <si>
    <t>Nov '21</t>
  </si>
  <si>
    <t>Oct '21</t>
  </si>
  <si>
    <t>Sep '21</t>
  </si>
  <si>
    <t>Aug '21</t>
  </si>
  <si>
    <t>Jul '21</t>
  </si>
  <si>
    <t>Jun '21</t>
  </si>
  <si>
    <t>May '21</t>
  </si>
  <si>
    <t>Apr '21</t>
  </si>
  <si>
    <t>Mar '21</t>
  </si>
  <si>
    <t>Feb '21</t>
  </si>
  <si>
    <t>Jan '21</t>
  </si>
  <si>
    <t>Dec '20</t>
  </si>
  <si>
    <t>Nov '20</t>
  </si>
  <si>
    <t>Oct '20</t>
  </si>
  <si>
    <t>Sep '20</t>
  </si>
  <si>
    <t>Aug '20</t>
  </si>
  <si>
    <t>Jul '20</t>
  </si>
  <si>
    <t>Jun '20</t>
  </si>
  <si>
    <t>May '20</t>
  </si>
  <si>
    <t>Apr '20</t>
  </si>
  <si>
    <t>Mar '20</t>
  </si>
  <si>
    <t>Feb '20</t>
  </si>
  <si>
    <t>Jan '20</t>
  </si>
  <si>
    <t>Dec '19</t>
  </si>
  <si>
    <t>Nov '19</t>
  </si>
  <si>
    <t>Oct '19</t>
  </si>
  <si>
    <t>Sep '19</t>
  </si>
  <si>
    <t>Aug '19</t>
  </si>
  <si>
    <t>Jul '19</t>
  </si>
  <si>
    <t>Jun '19</t>
  </si>
  <si>
    <t>May '19</t>
  </si>
  <si>
    <t>Apr '19</t>
  </si>
  <si>
    <t>Mar '19</t>
  </si>
  <si>
    <t>Feb '19</t>
  </si>
  <si>
    <t>Jan '19</t>
  </si>
  <si>
    <t>Total</t>
  </si>
  <si>
    <t>Fixed costs</t>
  </si>
  <si>
    <t>CAPEX</t>
  </si>
  <si>
    <t>Other utilities</t>
  </si>
  <si>
    <t>Electricity</t>
  </si>
  <si>
    <t>Hydrogen</t>
  </si>
  <si>
    <t>Nitrogen</t>
  </si>
  <si>
    <t>Water</t>
  </si>
  <si>
    <t>Natural gas</t>
  </si>
  <si>
    <t>Time</t>
  </si>
  <si>
    <t>Low</t>
  </si>
  <si>
    <t>High</t>
  </si>
  <si>
    <t>Avg 20</t>
  </si>
  <si>
    <t>Avg 19</t>
  </si>
  <si>
    <t>Nov '22</t>
  </si>
  <si>
    <t>Oct '22</t>
  </si>
  <si>
    <t>kg NG/kg H2</t>
  </si>
  <si>
    <t>without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</si>
</sst>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'BAU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breakdown'!$B$2:$B$46</c:f>
              <c:numCache>
                <c:formatCode>0.00</c:formatCode>
                <c:ptCount val="45"/>
                <c:pt idx="0">
                  <c:v>171.80479117905773</c:v>
                </c:pt>
                <c:pt idx="1">
                  <c:v>141.44476643645712</c:v>
                </c:pt>
                <c:pt idx="2">
                  <c:v>121.91079702842725</c:v>
                </c:pt>
                <c:pt idx="3">
                  <c:v>115.79172227410467</c:v>
                </c:pt>
                <c:pt idx="4">
                  <c:v>102.141478591385</c:v>
                </c:pt>
                <c:pt idx="5">
                  <c:v>84.490301415454411</c:v>
                </c:pt>
                <c:pt idx="6">
                  <c:v>85.196348502491645</c:v>
                </c:pt>
                <c:pt idx="7">
                  <c:v>86.608442676566085</c:v>
                </c:pt>
                <c:pt idx="8">
                  <c:v>99.081941214223704</c:v>
                </c:pt>
                <c:pt idx="9">
                  <c:v>119.08660868027836</c:v>
                </c:pt>
                <c:pt idx="10">
                  <c:v>121.20474994139006</c:v>
                </c:pt>
                <c:pt idx="11">
                  <c:v>108.73125140373243</c:v>
                </c:pt>
                <c:pt idx="12">
                  <c:v>85.431697531504042</c:v>
                </c:pt>
                <c:pt idx="13">
                  <c:v>68.486567442610692</c:v>
                </c:pt>
                <c:pt idx="14">
                  <c:v>64.014935891374947</c:v>
                </c:pt>
                <c:pt idx="15">
                  <c:v>49.893994150630469</c:v>
                </c:pt>
                <c:pt idx="16">
                  <c:v>37.185146583960439</c:v>
                </c:pt>
                <c:pt idx="17">
                  <c:v>41.186080077171376</c:v>
                </c:pt>
                <c:pt idx="18">
                  <c:v>42.362825222233418</c:v>
                </c:pt>
                <c:pt idx="19">
                  <c:v>67.309822297548635</c:v>
                </c:pt>
                <c:pt idx="20">
                  <c:v>92.962866459901107</c:v>
                </c:pt>
                <c:pt idx="21">
                  <c:v>115.08567518706744</c:v>
                </c:pt>
                <c:pt idx="22">
                  <c:v>113.90893004200541</c:v>
                </c:pt>
                <c:pt idx="23">
                  <c:v>137.91453100127103</c:v>
                </c:pt>
                <c:pt idx="24">
                  <c:v>171.09874409202052</c:v>
                </c:pt>
                <c:pt idx="25">
                  <c:v>144.97500187164326</c:v>
                </c:pt>
                <c:pt idx="26">
                  <c:v>144.26895478460602</c:v>
                </c:pt>
                <c:pt idx="27">
                  <c:v>168.27455574387162</c:v>
                </c:pt>
                <c:pt idx="28">
                  <c:v>209.6959848500554</c:v>
                </c:pt>
                <c:pt idx="29">
                  <c:v>242.40949988278012</c:v>
                </c:pt>
                <c:pt idx="30">
                  <c:v>294.42163529452222</c:v>
                </c:pt>
                <c:pt idx="31">
                  <c:v>363.14355176614532</c:v>
                </c:pt>
                <c:pt idx="32">
                  <c:v>537.53718226433955</c:v>
                </c:pt>
                <c:pt idx="33">
                  <c:v>730.7587350835264</c:v>
                </c:pt>
                <c:pt idx="34">
                  <c:v>650.03401813227049</c:v>
                </c:pt>
                <c:pt idx="35">
                  <c:v>895.03235733418705</c:v>
                </c:pt>
                <c:pt idx="36">
                  <c:v>665.0963559890647</c:v>
                </c:pt>
                <c:pt idx="37">
                  <c:v>640.85540600078662</c:v>
                </c:pt>
                <c:pt idx="38">
                  <c:v>997.64453398359706</c:v>
                </c:pt>
                <c:pt idx="39">
                  <c:v>757.82387341995343</c:v>
                </c:pt>
                <c:pt idx="40">
                  <c:v>686.51311762919386</c:v>
                </c:pt>
                <c:pt idx="41">
                  <c:v>789.83134136564081</c:v>
                </c:pt>
                <c:pt idx="42">
                  <c:v>1208.0465659206895</c:v>
                </c:pt>
                <c:pt idx="43">
                  <c:v>1648.3845992029048</c:v>
                </c:pt>
                <c:pt idx="44">
                  <c:v>1390.9127614633303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C-4D3C-A3DB-668ACE0ECE7E}"/>
            </c:ext>
          </c:extLst>
        </c:ser>
        <c:ser>
          <c:idx val="1"/>
          <c:order val="1"/>
          <c:tx>
            <c:strRef>
              <c:f>'BAU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breakdown'!$C$2:$C$46</c:f>
              <c:numCache>
                <c:formatCode>0.00</c:formatCode>
                <c:ptCount val="45"/>
                <c:pt idx="0">
                  <c:v>0.14728913510739874</c:v>
                </c:pt>
                <c:pt idx="1">
                  <c:v>0.14728913510739874</c:v>
                </c:pt>
                <c:pt idx="2">
                  <c:v>0.14728913510739874</c:v>
                </c:pt>
                <c:pt idx="3">
                  <c:v>0.14728913510739874</c:v>
                </c:pt>
                <c:pt idx="4">
                  <c:v>0.14728913510739874</c:v>
                </c:pt>
                <c:pt idx="5">
                  <c:v>0.14728913510739874</c:v>
                </c:pt>
                <c:pt idx="6">
                  <c:v>0.14728913510739874</c:v>
                </c:pt>
                <c:pt idx="7">
                  <c:v>0.14728913510739874</c:v>
                </c:pt>
                <c:pt idx="8">
                  <c:v>0.14728913510739874</c:v>
                </c:pt>
                <c:pt idx="9">
                  <c:v>0.14728913510739874</c:v>
                </c:pt>
                <c:pt idx="10">
                  <c:v>0.14728913510739874</c:v>
                </c:pt>
                <c:pt idx="11">
                  <c:v>0.14728913510739874</c:v>
                </c:pt>
                <c:pt idx="12">
                  <c:v>0.14454943596877554</c:v>
                </c:pt>
                <c:pt idx="13">
                  <c:v>0.14454943596877554</c:v>
                </c:pt>
                <c:pt idx="14">
                  <c:v>0.14454943596877554</c:v>
                </c:pt>
                <c:pt idx="15">
                  <c:v>0.14454943596877554</c:v>
                </c:pt>
                <c:pt idx="16">
                  <c:v>0.14454943596877554</c:v>
                </c:pt>
                <c:pt idx="17">
                  <c:v>0.14454943596877554</c:v>
                </c:pt>
                <c:pt idx="18">
                  <c:v>0.14454943596877554</c:v>
                </c:pt>
                <c:pt idx="19">
                  <c:v>0.14454943596877554</c:v>
                </c:pt>
                <c:pt idx="20">
                  <c:v>0.14454943596877554</c:v>
                </c:pt>
                <c:pt idx="21">
                  <c:v>0.14454943596877554</c:v>
                </c:pt>
                <c:pt idx="22">
                  <c:v>0.14454943596877554</c:v>
                </c:pt>
                <c:pt idx="23">
                  <c:v>0.14454943596877554</c:v>
                </c:pt>
                <c:pt idx="24">
                  <c:v>0.17165548585356102</c:v>
                </c:pt>
                <c:pt idx="25">
                  <c:v>0.17165548585356102</c:v>
                </c:pt>
                <c:pt idx="26">
                  <c:v>0.17165548585356102</c:v>
                </c:pt>
                <c:pt idx="27">
                  <c:v>0.17165548585356102</c:v>
                </c:pt>
                <c:pt idx="28">
                  <c:v>0.17165548585356102</c:v>
                </c:pt>
                <c:pt idx="29">
                  <c:v>0.17165548585356102</c:v>
                </c:pt>
                <c:pt idx="30">
                  <c:v>0.17165548585356102</c:v>
                </c:pt>
                <c:pt idx="31">
                  <c:v>0.17165548585356102</c:v>
                </c:pt>
                <c:pt idx="32">
                  <c:v>0.17165548585356102</c:v>
                </c:pt>
                <c:pt idx="33">
                  <c:v>0.17165548585356102</c:v>
                </c:pt>
                <c:pt idx="34">
                  <c:v>0.17165548585356102</c:v>
                </c:pt>
                <c:pt idx="35">
                  <c:v>0.17165548585356102</c:v>
                </c:pt>
                <c:pt idx="36">
                  <c:v>0.19820389786057363</c:v>
                </c:pt>
                <c:pt idx="37">
                  <c:v>0.19820389786057363</c:v>
                </c:pt>
                <c:pt idx="38">
                  <c:v>0.19820389786057363</c:v>
                </c:pt>
                <c:pt idx="39">
                  <c:v>0.19820389786057363</c:v>
                </c:pt>
                <c:pt idx="40">
                  <c:v>0.19820389786057363</c:v>
                </c:pt>
                <c:pt idx="41">
                  <c:v>0.19820389786057363</c:v>
                </c:pt>
                <c:pt idx="42">
                  <c:v>0.19820389786057363</c:v>
                </c:pt>
                <c:pt idx="43">
                  <c:v>0.19820389786057363</c:v>
                </c:pt>
                <c:pt idx="44">
                  <c:v>0.19820389786057363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C-4D3C-A3DB-668ACE0ECE7E}"/>
            </c:ext>
          </c:extLst>
        </c:ser>
        <c:ser>
          <c:idx val="2"/>
          <c:order val="2"/>
          <c:tx>
            <c:strRef>
              <c:f>'BAU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breakdown'!$D$2:$D$46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C-4D3C-A3DB-668ACE0ECE7E}"/>
            </c:ext>
          </c:extLst>
        </c:ser>
        <c:ser>
          <c:idx val="3"/>
          <c:order val="3"/>
          <c:tx>
            <c:strRef>
              <c:f>'BAU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breakdown'!$E$2:$E$46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C-4D3C-A3DB-668ACE0ECE7E}"/>
            </c:ext>
          </c:extLst>
        </c:ser>
        <c:ser>
          <c:idx val="4"/>
          <c:order val="4"/>
          <c:tx>
            <c:strRef>
              <c:f>'BAU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breakdown'!$F$2:$F$46</c:f>
              <c:numCache>
                <c:formatCode>0.00</c:formatCode>
                <c:ptCount val="45"/>
                <c:pt idx="0">
                  <c:v>46.217648629351018</c:v>
                </c:pt>
                <c:pt idx="1">
                  <c:v>40.044070791793516</c:v>
                </c:pt>
                <c:pt idx="2">
                  <c:v>28.63230569812659</c:v>
                </c:pt>
                <c:pt idx="3">
                  <c:v>34.581389796136556</c:v>
                </c:pt>
                <c:pt idx="4">
                  <c:v>35.385825696181932</c:v>
                </c:pt>
                <c:pt idx="5">
                  <c:v>30.400193897063517</c:v>
                </c:pt>
                <c:pt idx="6">
                  <c:v>37.144359989304377</c:v>
                </c:pt>
                <c:pt idx="7">
                  <c:v>34.441081208919343</c:v>
                </c:pt>
                <c:pt idx="8">
                  <c:v>33.458921098398832</c:v>
                </c:pt>
                <c:pt idx="9">
                  <c:v>34.562681984507599</c:v>
                </c:pt>
                <c:pt idx="10">
                  <c:v>38.351013839372435</c:v>
                </c:pt>
                <c:pt idx="11">
                  <c:v>29.904436888896019</c:v>
                </c:pt>
                <c:pt idx="12">
                  <c:v>32.719962539054819</c:v>
                </c:pt>
                <c:pt idx="13">
                  <c:v>20.494407639528049</c:v>
                </c:pt>
                <c:pt idx="14">
                  <c:v>21.064995894211396</c:v>
                </c:pt>
                <c:pt idx="15">
                  <c:v>15.948409413690246</c:v>
                </c:pt>
                <c:pt idx="16">
                  <c:v>16.462874233486705</c:v>
                </c:pt>
                <c:pt idx="17">
                  <c:v>24.535294951383879</c:v>
                </c:pt>
                <c:pt idx="18">
                  <c:v>28.127194784144613</c:v>
                </c:pt>
                <c:pt idx="19">
                  <c:v>32.635777386724492</c:v>
                </c:pt>
                <c:pt idx="20">
                  <c:v>40.857860597653364</c:v>
                </c:pt>
                <c:pt idx="21">
                  <c:v>31.765864145977755</c:v>
                </c:pt>
                <c:pt idx="22">
                  <c:v>36.293154560186593</c:v>
                </c:pt>
                <c:pt idx="23">
                  <c:v>40.736259822065108</c:v>
                </c:pt>
                <c:pt idx="24">
                  <c:v>49.379268794645625</c:v>
                </c:pt>
                <c:pt idx="25">
                  <c:v>45.562875222337347</c:v>
                </c:pt>
                <c:pt idx="26">
                  <c:v>44.131727632721741</c:v>
                </c:pt>
                <c:pt idx="27">
                  <c:v>50.193058600505481</c:v>
                </c:pt>
                <c:pt idx="28">
                  <c:v>49.884379708627606</c:v>
                </c:pt>
                <c:pt idx="29">
                  <c:v>69.340503802748259</c:v>
                </c:pt>
                <c:pt idx="30">
                  <c:v>76.037900365916713</c:v>
                </c:pt>
                <c:pt idx="31">
                  <c:v>77.459694049717839</c:v>
                </c:pt>
                <c:pt idx="32">
                  <c:v>120.0480272230502</c:v>
                </c:pt>
                <c:pt idx="33">
                  <c:v>130.52440173526901</c:v>
                </c:pt>
                <c:pt idx="34">
                  <c:v>164.86258998022907</c:v>
                </c:pt>
                <c:pt idx="35">
                  <c:v>206.683902876774</c:v>
                </c:pt>
                <c:pt idx="36">
                  <c:v>157.02401690769392</c:v>
                </c:pt>
                <c:pt idx="37">
                  <c:v>120.45959907888736</c:v>
                </c:pt>
                <c:pt idx="38">
                  <c:v>235.4939327853757</c:v>
                </c:pt>
                <c:pt idx="39">
                  <c:v>155.27483652038595</c:v>
                </c:pt>
                <c:pt idx="40">
                  <c:v>166.04118211285368</c:v>
                </c:pt>
                <c:pt idx="41">
                  <c:v>204.08351706034824</c:v>
                </c:pt>
                <c:pt idx="42">
                  <c:v>294.89123470733057</c:v>
                </c:pt>
                <c:pt idx="43">
                  <c:v>439.02556940266959</c:v>
                </c:pt>
                <c:pt idx="44">
                  <c:v>336.90897962597961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C-4D3C-A3DB-668ACE0ECE7E}"/>
            </c:ext>
          </c:extLst>
        </c:ser>
        <c:ser>
          <c:idx val="5"/>
          <c:order val="5"/>
          <c:tx>
            <c:strRef>
              <c:f>'BAU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breakdown'!$G$2:$G$46</c:f>
              <c:numCache>
                <c:formatCode>0.00</c:formatCode>
                <c:ptCount val="45"/>
                <c:pt idx="0">
                  <c:v>50.640799166079823</c:v>
                </c:pt>
                <c:pt idx="1">
                  <c:v>50.640799166079823</c:v>
                </c:pt>
                <c:pt idx="2">
                  <c:v>50.640799166079823</c:v>
                </c:pt>
                <c:pt idx="3">
                  <c:v>50.640799166079823</c:v>
                </c:pt>
                <c:pt idx="4">
                  <c:v>50.640799166079823</c:v>
                </c:pt>
                <c:pt idx="5">
                  <c:v>50.640799166079823</c:v>
                </c:pt>
                <c:pt idx="6">
                  <c:v>50.640799166079823</c:v>
                </c:pt>
                <c:pt idx="7">
                  <c:v>50.640799166079823</c:v>
                </c:pt>
                <c:pt idx="8">
                  <c:v>50.640799166079823</c:v>
                </c:pt>
                <c:pt idx="9">
                  <c:v>50.640799166079823</c:v>
                </c:pt>
                <c:pt idx="10">
                  <c:v>50.640799166079823</c:v>
                </c:pt>
                <c:pt idx="11">
                  <c:v>50.640799166079823</c:v>
                </c:pt>
                <c:pt idx="12">
                  <c:v>49.698838621920643</c:v>
                </c:pt>
                <c:pt idx="13">
                  <c:v>49.698838621920643</c:v>
                </c:pt>
                <c:pt idx="14">
                  <c:v>49.698838621920643</c:v>
                </c:pt>
                <c:pt idx="15">
                  <c:v>49.698838621920643</c:v>
                </c:pt>
                <c:pt idx="16">
                  <c:v>49.698838621920643</c:v>
                </c:pt>
                <c:pt idx="17">
                  <c:v>49.698838621920643</c:v>
                </c:pt>
                <c:pt idx="18">
                  <c:v>49.698838621920643</c:v>
                </c:pt>
                <c:pt idx="19">
                  <c:v>49.698838621920643</c:v>
                </c:pt>
                <c:pt idx="20">
                  <c:v>49.698838621920643</c:v>
                </c:pt>
                <c:pt idx="21">
                  <c:v>49.698838621920643</c:v>
                </c:pt>
                <c:pt idx="22">
                  <c:v>49.698838621920643</c:v>
                </c:pt>
                <c:pt idx="23">
                  <c:v>49.698838621920643</c:v>
                </c:pt>
                <c:pt idx="24">
                  <c:v>59.018412855283152</c:v>
                </c:pt>
                <c:pt idx="25">
                  <c:v>59.018412855283152</c:v>
                </c:pt>
                <c:pt idx="26">
                  <c:v>59.018412855283152</c:v>
                </c:pt>
                <c:pt idx="27">
                  <c:v>59.018412855283152</c:v>
                </c:pt>
                <c:pt idx="28">
                  <c:v>59.018412855283152</c:v>
                </c:pt>
                <c:pt idx="29">
                  <c:v>59.018412855283152</c:v>
                </c:pt>
                <c:pt idx="30">
                  <c:v>59.018412855283152</c:v>
                </c:pt>
                <c:pt idx="31">
                  <c:v>59.018412855283152</c:v>
                </c:pt>
                <c:pt idx="32">
                  <c:v>59.018412855283152</c:v>
                </c:pt>
                <c:pt idx="33">
                  <c:v>59.018412855283152</c:v>
                </c:pt>
                <c:pt idx="34">
                  <c:v>59.018412855283152</c:v>
                </c:pt>
                <c:pt idx="35">
                  <c:v>59.018412855283152</c:v>
                </c:pt>
                <c:pt idx="36">
                  <c:v>68.146260606206184</c:v>
                </c:pt>
                <c:pt idx="37">
                  <c:v>68.146260606206184</c:v>
                </c:pt>
                <c:pt idx="38">
                  <c:v>68.146260606206184</c:v>
                </c:pt>
                <c:pt idx="39">
                  <c:v>68.146260606206184</c:v>
                </c:pt>
                <c:pt idx="40">
                  <c:v>68.146260606206184</c:v>
                </c:pt>
                <c:pt idx="41">
                  <c:v>68.146260606206184</c:v>
                </c:pt>
                <c:pt idx="42">
                  <c:v>68.146260606206184</c:v>
                </c:pt>
                <c:pt idx="43">
                  <c:v>68.146260606206184</c:v>
                </c:pt>
                <c:pt idx="44">
                  <c:v>68.146260606206184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BC-4D3C-A3DB-668ACE0ECE7E}"/>
            </c:ext>
          </c:extLst>
        </c:ser>
        <c:ser>
          <c:idx val="6"/>
          <c:order val="6"/>
          <c:tx>
            <c:strRef>
              <c:f>'BAU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breakdown'!$H$2:$H$46</c:f>
              <c:numCache>
                <c:formatCode>0.00</c:formatCode>
                <c:ptCount val="45"/>
                <c:pt idx="0">
                  <c:v>133.05436764453748</c:v>
                </c:pt>
                <c:pt idx="1">
                  <c:v>133.05436764453748</c:v>
                </c:pt>
                <c:pt idx="2">
                  <c:v>133.05436764453748</c:v>
                </c:pt>
                <c:pt idx="3">
                  <c:v>133.05436764453748</c:v>
                </c:pt>
                <c:pt idx="4">
                  <c:v>133.05436764453748</c:v>
                </c:pt>
                <c:pt idx="5">
                  <c:v>133.05436764453748</c:v>
                </c:pt>
                <c:pt idx="6">
                  <c:v>133.05436764453748</c:v>
                </c:pt>
                <c:pt idx="7">
                  <c:v>133.05436764453748</c:v>
                </c:pt>
                <c:pt idx="8">
                  <c:v>133.05436764453748</c:v>
                </c:pt>
                <c:pt idx="9">
                  <c:v>133.05436764453748</c:v>
                </c:pt>
                <c:pt idx="10">
                  <c:v>133.05436764453748</c:v>
                </c:pt>
                <c:pt idx="11">
                  <c:v>133.05436764453748</c:v>
                </c:pt>
                <c:pt idx="12">
                  <c:v>130.57944689658149</c:v>
                </c:pt>
                <c:pt idx="13">
                  <c:v>130.57944689658149</c:v>
                </c:pt>
                <c:pt idx="14">
                  <c:v>130.57944689658149</c:v>
                </c:pt>
                <c:pt idx="15">
                  <c:v>130.57944689658149</c:v>
                </c:pt>
                <c:pt idx="16">
                  <c:v>130.57944689658149</c:v>
                </c:pt>
                <c:pt idx="17">
                  <c:v>130.57944689658149</c:v>
                </c:pt>
                <c:pt idx="18">
                  <c:v>130.57944689658149</c:v>
                </c:pt>
                <c:pt idx="19">
                  <c:v>130.57944689658149</c:v>
                </c:pt>
                <c:pt idx="20">
                  <c:v>130.57944689658149</c:v>
                </c:pt>
                <c:pt idx="21">
                  <c:v>130.57944689658149</c:v>
                </c:pt>
                <c:pt idx="22">
                  <c:v>130.57944689658149</c:v>
                </c:pt>
                <c:pt idx="23">
                  <c:v>130.57944689658149</c:v>
                </c:pt>
                <c:pt idx="24">
                  <c:v>155.0658309338807</c:v>
                </c:pt>
                <c:pt idx="25">
                  <c:v>155.0658309338807</c:v>
                </c:pt>
                <c:pt idx="26">
                  <c:v>155.0658309338807</c:v>
                </c:pt>
                <c:pt idx="27">
                  <c:v>155.0658309338807</c:v>
                </c:pt>
                <c:pt idx="28">
                  <c:v>155.0658309338807</c:v>
                </c:pt>
                <c:pt idx="29">
                  <c:v>155.0658309338807</c:v>
                </c:pt>
                <c:pt idx="30">
                  <c:v>155.0658309338807</c:v>
                </c:pt>
                <c:pt idx="31">
                  <c:v>155.0658309338807</c:v>
                </c:pt>
                <c:pt idx="32">
                  <c:v>155.0658309338807</c:v>
                </c:pt>
                <c:pt idx="33">
                  <c:v>155.0658309338807</c:v>
                </c:pt>
                <c:pt idx="34">
                  <c:v>155.0658309338807</c:v>
                </c:pt>
                <c:pt idx="35">
                  <c:v>155.0658309338807</c:v>
                </c:pt>
                <c:pt idx="36">
                  <c:v>179.04847004018006</c:v>
                </c:pt>
                <c:pt idx="37">
                  <c:v>179.04847004018006</c:v>
                </c:pt>
                <c:pt idx="38">
                  <c:v>179.04847004018006</c:v>
                </c:pt>
                <c:pt idx="39">
                  <c:v>179.04847004018006</c:v>
                </c:pt>
                <c:pt idx="40">
                  <c:v>179.04847004018006</c:v>
                </c:pt>
                <c:pt idx="41">
                  <c:v>179.04847004018006</c:v>
                </c:pt>
                <c:pt idx="42">
                  <c:v>179.04847004018006</c:v>
                </c:pt>
                <c:pt idx="43">
                  <c:v>179.04847004018006</c:v>
                </c:pt>
                <c:pt idx="44">
                  <c:v>179.04847004018006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BC-4D3C-A3DB-668ACE0ECE7E}"/>
            </c:ext>
          </c:extLst>
        </c:ser>
        <c:ser>
          <c:idx val="7"/>
          <c:order val="7"/>
          <c:tx>
            <c:strRef>
              <c:f>'BAU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'BAU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'BAU breakdown'!$I$2:$I$46</c:f>
              <c:numCache>
                <c:formatCode>0.00</c:formatCode>
                <c:ptCount val="45"/>
                <c:pt idx="0">
                  <c:v>68.199817668703304</c:v>
                </c:pt>
                <c:pt idx="1">
                  <c:v>68.199817668703304</c:v>
                </c:pt>
                <c:pt idx="2">
                  <c:v>68.199817668703304</c:v>
                </c:pt>
                <c:pt idx="3">
                  <c:v>68.199817668703304</c:v>
                </c:pt>
                <c:pt idx="4">
                  <c:v>68.199817668703304</c:v>
                </c:pt>
                <c:pt idx="5">
                  <c:v>68.199817668703304</c:v>
                </c:pt>
                <c:pt idx="6">
                  <c:v>68.199817668703304</c:v>
                </c:pt>
                <c:pt idx="7">
                  <c:v>68.199817668703304</c:v>
                </c:pt>
                <c:pt idx="8">
                  <c:v>68.199817668703304</c:v>
                </c:pt>
                <c:pt idx="9">
                  <c:v>68.199817668703304</c:v>
                </c:pt>
                <c:pt idx="10">
                  <c:v>68.199817668703304</c:v>
                </c:pt>
                <c:pt idx="11">
                  <c:v>68.199817668703304</c:v>
                </c:pt>
                <c:pt idx="12">
                  <c:v>66.931244928528258</c:v>
                </c:pt>
                <c:pt idx="13">
                  <c:v>66.931244928528258</c:v>
                </c:pt>
                <c:pt idx="14">
                  <c:v>66.931244928528258</c:v>
                </c:pt>
                <c:pt idx="15">
                  <c:v>66.931244928528258</c:v>
                </c:pt>
                <c:pt idx="16">
                  <c:v>66.931244928528258</c:v>
                </c:pt>
                <c:pt idx="17">
                  <c:v>66.931244928528258</c:v>
                </c:pt>
                <c:pt idx="18">
                  <c:v>66.931244928528258</c:v>
                </c:pt>
                <c:pt idx="19">
                  <c:v>66.931244928528258</c:v>
                </c:pt>
                <c:pt idx="20">
                  <c:v>66.931244928528258</c:v>
                </c:pt>
                <c:pt idx="21">
                  <c:v>66.931244928528258</c:v>
                </c:pt>
                <c:pt idx="22">
                  <c:v>66.931244928528258</c:v>
                </c:pt>
                <c:pt idx="23">
                  <c:v>66.931244928528258</c:v>
                </c:pt>
                <c:pt idx="24">
                  <c:v>79.482256641056694</c:v>
                </c:pt>
                <c:pt idx="25">
                  <c:v>79.482256641056694</c:v>
                </c:pt>
                <c:pt idx="26">
                  <c:v>79.482256641056694</c:v>
                </c:pt>
                <c:pt idx="27">
                  <c:v>79.482256641056694</c:v>
                </c:pt>
                <c:pt idx="28">
                  <c:v>79.482256641056694</c:v>
                </c:pt>
                <c:pt idx="29">
                  <c:v>79.482256641056694</c:v>
                </c:pt>
                <c:pt idx="30">
                  <c:v>79.482256641056694</c:v>
                </c:pt>
                <c:pt idx="31">
                  <c:v>79.482256641056694</c:v>
                </c:pt>
                <c:pt idx="32">
                  <c:v>79.482256641056694</c:v>
                </c:pt>
                <c:pt idx="33">
                  <c:v>79.482256641056694</c:v>
                </c:pt>
                <c:pt idx="34">
                  <c:v>79.482256641056694</c:v>
                </c:pt>
                <c:pt idx="35">
                  <c:v>79.482256641056694</c:v>
                </c:pt>
                <c:pt idx="36">
                  <c:v>91.77506328257607</c:v>
                </c:pt>
                <c:pt idx="37">
                  <c:v>91.77506328257607</c:v>
                </c:pt>
                <c:pt idx="38">
                  <c:v>91.77506328257607</c:v>
                </c:pt>
                <c:pt idx="39">
                  <c:v>91.77506328257607</c:v>
                </c:pt>
                <c:pt idx="40">
                  <c:v>91.77506328257607</c:v>
                </c:pt>
                <c:pt idx="41">
                  <c:v>91.77506328257607</c:v>
                </c:pt>
                <c:pt idx="42">
                  <c:v>91.77506328257607</c:v>
                </c:pt>
                <c:pt idx="43">
                  <c:v>91.77506328257607</c:v>
                </c:pt>
                <c:pt idx="44">
                  <c:v>91.77506328257607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BC-4D3C-A3DB-668ACE0E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510592"/>
        <c:axId val="612513504"/>
      </c:barChart>
      <c:catAx>
        <c:axId val="6125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13504"/>
        <c:crosses val="autoZero"/>
        <c:auto val="1"/>
        <c:lblAlgn val="ctr"/>
        <c:lblOffset val="100"/>
        <c:noMultiLvlLbl val="0"/>
      </c:catAx>
      <c:valAx>
        <c:axId val="6125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'Wind breakdown'!$B$1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breakdown'!$B$2:$B$46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1-402F-BF4E-A7D410120663}"/>
            </c:ext>
          </c:extLst>
        </c:ser>
        <c:ser>
          <c:idx val="1"/>
          <c:order val="1"/>
          <c:tx>
            <c:strRef>
              <c:f>'Wind breakdown'!$C$1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breakdown'!$C$2:$C$46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1-402F-BF4E-A7D410120663}"/>
            </c:ext>
          </c:extLst>
        </c:ser>
        <c:ser>
          <c:idx val="2"/>
          <c:order val="2"/>
          <c:tx>
            <c:strRef>
              <c:f>'Wind breakdown'!$D$1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breakdown'!$D$2:$D$46</c:f>
              <c:numCache>
                <c:formatCode>0.00</c:formatCode>
                <c:ptCount val="45"/>
                <c:pt idx="0">
                  <c:v>74.24905285387787</c:v>
                </c:pt>
                <c:pt idx="1">
                  <c:v>74.24905285387787</c:v>
                </c:pt>
                <c:pt idx="2">
                  <c:v>74.24905285387787</c:v>
                </c:pt>
                <c:pt idx="3">
                  <c:v>74.24905285387787</c:v>
                </c:pt>
                <c:pt idx="4">
                  <c:v>74.24905285387787</c:v>
                </c:pt>
                <c:pt idx="5">
                  <c:v>74.24905285387787</c:v>
                </c:pt>
                <c:pt idx="6">
                  <c:v>74.24905285387787</c:v>
                </c:pt>
                <c:pt idx="7">
                  <c:v>74.24905285387787</c:v>
                </c:pt>
                <c:pt idx="8">
                  <c:v>74.24905285387787</c:v>
                </c:pt>
                <c:pt idx="9">
                  <c:v>74.24905285387787</c:v>
                </c:pt>
                <c:pt idx="10">
                  <c:v>74.24905285387787</c:v>
                </c:pt>
                <c:pt idx="11">
                  <c:v>74.24905285387787</c:v>
                </c:pt>
                <c:pt idx="12">
                  <c:v>72.86795936046417</c:v>
                </c:pt>
                <c:pt idx="13">
                  <c:v>72.86795936046417</c:v>
                </c:pt>
                <c:pt idx="14">
                  <c:v>72.86795936046417</c:v>
                </c:pt>
                <c:pt idx="15">
                  <c:v>72.86795936046417</c:v>
                </c:pt>
                <c:pt idx="16">
                  <c:v>72.86795936046417</c:v>
                </c:pt>
                <c:pt idx="17">
                  <c:v>72.86795936046417</c:v>
                </c:pt>
                <c:pt idx="18">
                  <c:v>72.86795936046417</c:v>
                </c:pt>
                <c:pt idx="19">
                  <c:v>72.86795936046417</c:v>
                </c:pt>
                <c:pt idx="20">
                  <c:v>72.86795936046417</c:v>
                </c:pt>
                <c:pt idx="21">
                  <c:v>72.86795936046417</c:v>
                </c:pt>
                <c:pt idx="22">
                  <c:v>72.86795936046417</c:v>
                </c:pt>
                <c:pt idx="23">
                  <c:v>72.86795936046417</c:v>
                </c:pt>
                <c:pt idx="24">
                  <c:v>86.53222949884038</c:v>
                </c:pt>
                <c:pt idx="25">
                  <c:v>86.53222949884038</c:v>
                </c:pt>
                <c:pt idx="26">
                  <c:v>86.53222949884038</c:v>
                </c:pt>
                <c:pt idx="27">
                  <c:v>86.53222949884038</c:v>
                </c:pt>
                <c:pt idx="28">
                  <c:v>86.53222949884038</c:v>
                </c:pt>
                <c:pt idx="29">
                  <c:v>86.53222949884038</c:v>
                </c:pt>
                <c:pt idx="30">
                  <c:v>86.53222949884038</c:v>
                </c:pt>
                <c:pt idx="31">
                  <c:v>86.53222949884038</c:v>
                </c:pt>
                <c:pt idx="32">
                  <c:v>86.53222949884038</c:v>
                </c:pt>
                <c:pt idx="33">
                  <c:v>86.53222949884038</c:v>
                </c:pt>
                <c:pt idx="34">
                  <c:v>86.53222949884038</c:v>
                </c:pt>
                <c:pt idx="35">
                  <c:v>86.53222949884038</c:v>
                </c:pt>
                <c:pt idx="36">
                  <c:v>99.91539211200849</c:v>
                </c:pt>
                <c:pt idx="37">
                  <c:v>99.91539211200849</c:v>
                </c:pt>
                <c:pt idx="38">
                  <c:v>99.91539211200849</c:v>
                </c:pt>
                <c:pt idx="39">
                  <c:v>99.91539211200849</c:v>
                </c:pt>
                <c:pt idx="40">
                  <c:v>99.91539211200849</c:v>
                </c:pt>
                <c:pt idx="41">
                  <c:v>99.91539211200849</c:v>
                </c:pt>
                <c:pt idx="42">
                  <c:v>99.91539211200849</c:v>
                </c:pt>
                <c:pt idx="43">
                  <c:v>99.91539211200849</c:v>
                </c:pt>
                <c:pt idx="44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1-402F-BF4E-A7D410120663}"/>
            </c:ext>
          </c:extLst>
        </c:ser>
        <c:ser>
          <c:idx val="3"/>
          <c:order val="3"/>
          <c:tx>
            <c:strRef>
              <c:f>'Wind breakdown'!$E$1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breakdown'!$E$2:$E$46</c:f>
              <c:numCache>
                <c:formatCode>0.00</c:formatCode>
                <c:ptCount val="45"/>
                <c:pt idx="0">
                  <c:v>1212.6512212189632</c:v>
                </c:pt>
                <c:pt idx="1">
                  <c:v>1212.6512212189632</c:v>
                </c:pt>
                <c:pt idx="2">
                  <c:v>1212.6512212189632</c:v>
                </c:pt>
                <c:pt idx="3">
                  <c:v>1212.6512212189632</c:v>
                </c:pt>
                <c:pt idx="4">
                  <c:v>1212.6512212189632</c:v>
                </c:pt>
                <c:pt idx="5">
                  <c:v>1212.6512212189632</c:v>
                </c:pt>
                <c:pt idx="6">
                  <c:v>1212.6512212189632</c:v>
                </c:pt>
                <c:pt idx="7">
                  <c:v>1212.6512212189632</c:v>
                </c:pt>
                <c:pt idx="8">
                  <c:v>1212.6512212189632</c:v>
                </c:pt>
                <c:pt idx="9">
                  <c:v>1212.6512212189632</c:v>
                </c:pt>
                <c:pt idx="10">
                  <c:v>1212.6512212189632</c:v>
                </c:pt>
                <c:pt idx="11">
                  <c:v>1212.6512212189632</c:v>
                </c:pt>
                <c:pt idx="12">
                  <c:v>993.16237220412108</c:v>
                </c:pt>
                <c:pt idx="13">
                  <c:v>993.16237220412108</c:v>
                </c:pt>
                <c:pt idx="14">
                  <c:v>993.16237220412108</c:v>
                </c:pt>
                <c:pt idx="15">
                  <c:v>993.16237220412108</c:v>
                </c:pt>
                <c:pt idx="16">
                  <c:v>993.16237220412108</c:v>
                </c:pt>
                <c:pt idx="17">
                  <c:v>993.16237220412108</c:v>
                </c:pt>
                <c:pt idx="18">
                  <c:v>993.16237220412108</c:v>
                </c:pt>
                <c:pt idx="19">
                  <c:v>993.16237220412108</c:v>
                </c:pt>
                <c:pt idx="20">
                  <c:v>993.16237220412108</c:v>
                </c:pt>
                <c:pt idx="21">
                  <c:v>993.16237220412108</c:v>
                </c:pt>
                <c:pt idx="22">
                  <c:v>993.16237220412108</c:v>
                </c:pt>
                <c:pt idx="23">
                  <c:v>993.16237220412108</c:v>
                </c:pt>
                <c:pt idx="24">
                  <c:v>947.8055724799558</c:v>
                </c:pt>
                <c:pt idx="25">
                  <c:v>947.8055724799558</c:v>
                </c:pt>
                <c:pt idx="26">
                  <c:v>947.8055724799558</c:v>
                </c:pt>
                <c:pt idx="27">
                  <c:v>947.8055724799558</c:v>
                </c:pt>
                <c:pt idx="28">
                  <c:v>947.8055724799558</c:v>
                </c:pt>
                <c:pt idx="29">
                  <c:v>947.8055724799558</c:v>
                </c:pt>
                <c:pt idx="30">
                  <c:v>947.8055724799558</c:v>
                </c:pt>
                <c:pt idx="31">
                  <c:v>947.8055724799558</c:v>
                </c:pt>
                <c:pt idx="32">
                  <c:v>947.8055724799558</c:v>
                </c:pt>
                <c:pt idx="33">
                  <c:v>947.8055724799558</c:v>
                </c:pt>
                <c:pt idx="34">
                  <c:v>947.8055724799558</c:v>
                </c:pt>
                <c:pt idx="35">
                  <c:v>947.8055724799558</c:v>
                </c:pt>
                <c:pt idx="36">
                  <c:v>1094.3941461897796</c:v>
                </c:pt>
                <c:pt idx="37">
                  <c:v>1094.3941461897796</c:v>
                </c:pt>
                <c:pt idx="38">
                  <c:v>1094.3941461897796</c:v>
                </c:pt>
                <c:pt idx="39">
                  <c:v>1094.3941461897796</c:v>
                </c:pt>
                <c:pt idx="40">
                  <c:v>1094.3941461897796</c:v>
                </c:pt>
                <c:pt idx="41">
                  <c:v>1094.3941461897796</c:v>
                </c:pt>
                <c:pt idx="42">
                  <c:v>1094.3941461897796</c:v>
                </c:pt>
                <c:pt idx="43">
                  <c:v>1094.3941461897796</c:v>
                </c:pt>
                <c:pt idx="44">
                  <c:v>1094.3941461897796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1-402F-BF4E-A7D410120663}"/>
            </c:ext>
          </c:extLst>
        </c:ser>
        <c:ser>
          <c:idx val="4"/>
          <c:order val="4"/>
          <c:tx>
            <c:strRef>
              <c:f>'Wind breakdown'!$F$1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breakdown'!$F$2:$F$46</c:f>
              <c:numCache>
                <c:formatCode>0.00</c:formatCode>
                <c:ptCount val="45"/>
                <c:pt idx="0">
                  <c:v>23.217460197649618</c:v>
                </c:pt>
                <c:pt idx="1">
                  <c:v>20.116160110531883</c:v>
                </c:pt>
                <c:pt idx="2">
                  <c:v>14.383453888889999</c:v>
                </c:pt>
                <c:pt idx="3">
                  <c:v>17.371979427385273</c:v>
                </c:pt>
                <c:pt idx="4">
                  <c:v>17.776088226615769</c:v>
                </c:pt>
                <c:pt idx="5">
                  <c:v>15.271553459291898</c:v>
                </c:pt>
                <c:pt idx="6">
                  <c:v>18.659488857491731</c:v>
                </c:pt>
                <c:pt idx="7">
                  <c:v>17.301495334496234</c:v>
                </c:pt>
                <c:pt idx="8">
                  <c:v>16.808106684272961</c:v>
                </c:pt>
                <c:pt idx="9">
                  <c:v>17.362581548333406</c:v>
                </c:pt>
                <c:pt idx="10">
                  <c:v>19.265652056337469</c:v>
                </c:pt>
                <c:pt idx="11">
                  <c:v>15.02250966441729</c:v>
                </c:pt>
                <c:pt idx="12">
                  <c:v>16.436890461724015</c:v>
                </c:pt>
                <c:pt idx="13">
                  <c:v>10.295376501325707</c:v>
                </c:pt>
                <c:pt idx="14">
                  <c:v>10.582011812407801</c:v>
                </c:pt>
                <c:pt idx="15">
                  <c:v>8.011691891720826</c:v>
                </c:pt>
                <c:pt idx="16">
                  <c:v>8.2701335656473045</c:v>
                </c:pt>
                <c:pt idx="17">
                  <c:v>12.325318376530046</c:v>
                </c:pt>
                <c:pt idx="18">
                  <c:v>14.129711154489458</c:v>
                </c:pt>
                <c:pt idx="19">
                  <c:v>16.394600005990593</c:v>
                </c:pt>
                <c:pt idx="20">
                  <c:v>20.524967849288309</c:v>
                </c:pt>
                <c:pt idx="21">
                  <c:v>15.957598630078548</c:v>
                </c:pt>
                <c:pt idx="22">
                  <c:v>18.231885360631555</c:v>
                </c:pt>
                <c:pt idx="23">
                  <c:v>20.463881635451141</c:v>
                </c:pt>
                <c:pt idx="24">
                  <c:v>24.805701757415978</c:v>
                </c:pt>
                <c:pt idx="25">
                  <c:v>22.888534430834103</c:v>
                </c:pt>
                <c:pt idx="26">
                  <c:v>22.169596683365899</c:v>
                </c:pt>
                <c:pt idx="27">
                  <c:v>25.214509496172404</c:v>
                </c:pt>
                <c:pt idx="28">
                  <c:v>25.059444491816517</c:v>
                </c:pt>
                <c:pt idx="29">
                  <c:v>34.833238705763328</c:v>
                </c:pt>
                <c:pt idx="30">
                  <c:v>38.197679406333492</c:v>
                </c:pt>
                <c:pt idx="31">
                  <c:v>38.911918214275758</c:v>
                </c:pt>
                <c:pt idx="32">
                  <c:v>60.306189875862223</c:v>
                </c:pt>
                <c:pt idx="33">
                  <c:v>65.569002144910499</c:v>
                </c:pt>
                <c:pt idx="34">
                  <c:v>82.81880914462144</c:v>
                </c:pt>
                <c:pt idx="35">
                  <c:v>103.82776776508116</c:v>
                </c:pt>
                <c:pt idx="36">
                  <c:v>78.88109782188711</c:v>
                </c:pt>
                <c:pt idx="37">
                  <c:v>60.512943215003403</c:v>
                </c:pt>
                <c:pt idx="38">
                  <c:v>118.30050150496393</c:v>
                </c:pt>
                <c:pt idx="39">
                  <c:v>78.002396130537079</c:v>
                </c:pt>
                <c:pt idx="40">
                  <c:v>83.410875524889377</c:v>
                </c:pt>
                <c:pt idx="41">
                  <c:v>102.52146257687096</c:v>
                </c:pt>
                <c:pt idx="42">
                  <c:v>148.13876749465734</c:v>
                </c:pt>
                <c:pt idx="43">
                  <c:v>220.54472664980469</c:v>
                </c:pt>
                <c:pt idx="44">
                  <c:v>169.24640384516172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1-402F-BF4E-A7D410120663}"/>
            </c:ext>
          </c:extLst>
        </c:ser>
        <c:ser>
          <c:idx val="5"/>
          <c:order val="5"/>
          <c:tx>
            <c:strRef>
              <c:f>'Wind breakdown'!$G$1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breakdown'!$G$2:$G$46</c:f>
              <c:numCache>
                <c:formatCode>0.00</c:formatCode>
                <c:ptCount val="45"/>
                <c:pt idx="0">
                  <c:v>1.3444516845262378</c:v>
                </c:pt>
                <c:pt idx="1">
                  <c:v>1.3444516845262378</c:v>
                </c:pt>
                <c:pt idx="2">
                  <c:v>1.3444516845262378</c:v>
                </c:pt>
                <c:pt idx="3">
                  <c:v>1.3444516845262378</c:v>
                </c:pt>
                <c:pt idx="4">
                  <c:v>1.3444516845262378</c:v>
                </c:pt>
                <c:pt idx="5">
                  <c:v>1.3444516845262378</c:v>
                </c:pt>
                <c:pt idx="6">
                  <c:v>1.3444516845262378</c:v>
                </c:pt>
                <c:pt idx="7">
                  <c:v>1.3444516845262378</c:v>
                </c:pt>
                <c:pt idx="8">
                  <c:v>1.3444516845262378</c:v>
                </c:pt>
                <c:pt idx="9">
                  <c:v>1.3444516845262378</c:v>
                </c:pt>
                <c:pt idx="10">
                  <c:v>1.3444516845262378</c:v>
                </c:pt>
                <c:pt idx="11">
                  <c:v>1.3444516845262378</c:v>
                </c:pt>
                <c:pt idx="12">
                  <c:v>1.3194437766494536</c:v>
                </c:pt>
                <c:pt idx="13">
                  <c:v>1.3194437766494536</c:v>
                </c:pt>
                <c:pt idx="14">
                  <c:v>1.3194437766494536</c:v>
                </c:pt>
                <c:pt idx="15">
                  <c:v>1.3194437766494536</c:v>
                </c:pt>
                <c:pt idx="16">
                  <c:v>1.3194437766494536</c:v>
                </c:pt>
                <c:pt idx="17">
                  <c:v>1.3194437766494536</c:v>
                </c:pt>
                <c:pt idx="18">
                  <c:v>1.3194437766494536</c:v>
                </c:pt>
                <c:pt idx="19">
                  <c:v>1.3194437766494536</c:v>
                </c:pt>
                <c:pt idx="20">
                  <c:v>1.3194437766494536</c:v>
                </c:pt>
                <c:pt idx="21">
                  <c:v>1.3194437766494536</c:v>
                </c:pt>
                <c:pt idx="22">
                  <c:v>1.3194437766494536</c:v>
                </c:pt>
                <c:pt idx="23">
                  <c:v>1.3194437766494536</c:v>
                </c:pt>
                <c:pt idx="24">
                  <c:v>1.5668671483861338</c:v>
                </c:pt>
                <c:pt idx="25">
                  <c:v>1.5668671483861338</c:v>
                </c:pt>
                <c:pt idx="26">
                  <c:v>1.5668671483861338</c:v>
                </c:pt>
                <c:pt idx="27">
                  <c:v>1.5668671483861338</c:v>
                </c:pt>
                <c:pt idx="28">
                  <c:v>1.5668671483861338</c:v>
                </c:pt>
                <c:pt idx="29">
                  <c:v>1.5668671483861338</c:v>
                </c:pt>
                <c:pt idx="30">
                  <c:v>1.5668671483861338</c:v>
                </c:pt>
                <c:pt idx="31">
                  <c:v>1.5668671483861338</c:v>
                </c:pt>
                <c:pt idx="32">
                  <c:v>1.5668671483861338</c:v>
                </c:pt>
                <c:pt idx="33">
                  <c:v>1.5668671483861338</c:v>
                </c:pt>
                <c:pt idx="34">
                  <c:v>1.5668671483861338</c:v>
                </c:pt>
                <c:pt idx="35">
                  <c:v>1.5668671483861338</c:v>
                </c:pt>
                <c:pt idx="36">
                  <c:v>1.809200414979752</c:v>
                </c:pt>
                <c:pt idx="37">
                  <c:v>1.809200414979752</c:v>
                </c:pt>
                <c:pt idx="38">
                  <c:v>1.809200414979752</c:v>
                </c:pt>
                <c:pt idx="39">
                  <c:v>1.809200414979752</c:v>
                </c:pt>
                <c:pt idx="40">
                  <c:v>1.809200414979752</c:v>
                </c:pt>
                <c:pt idx="41">
                  <c:v>1.809200414979752</c:v>
                </c:pt>
                <c:pt idx="42">
                  <c:v>1.809200414979752</c:v>
                </c:pt>
                <c:pt idx="43">
                  <c:v>1.809200414979752</c:v>
                </c:pt>
                <c:pt idx="44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1-402F-BF4E-A7D410120663}"/>
            </c:ext>
          </c:extLst>
        </c:ser>
        <c:ser>
          <c:idx val="6"/>
          <c:order val="6"/>
          <c:tx>
            <c:strRef>
              <c:f>'Wind breakdown'!$H$1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breakdown'!$H$2:$H$46</c:f>
              <c:numCache>
                <c:formatCode>0.00</c:formatCode>
                <c:ptCount val="45"/>
                <c:pt idx="0">
                  <c:v>79.928126629624643</c:v>
                </c:pt>
                <c:pt idx="1">
                  <c:v>79.928126629624643</c:v>
                </c:pt>
                <c:pt idx="2">
                  <c:v>79.928126629624643</c:v>
                </c:pt>
                <c:pt idx="3">
                  <c:v>79.928126629624643</c:v>
                </c:pt>
                <c:pt idx="4">
                  <c:v>79.928126629624643</c:v>
                </c:pt>
                <c:pt idx="5">
                  <c:v>79.928126629624643</c:v>
                </c:pt>
                <c:pt idx="6">
                  <c:v>79.928126629624643</c:v>
                </c:pt>
                <c:pt idx="7">
                  <c:v>79.928126629624643</c:v>
                </c:pt>
                <c:pt idx="8">
                  <c:v>79.928126629624643</c:v>
                </c:pt>
                <c:pt idx="9">
                  <c:v>79.928126629624643</c:v>
                </c:pt>
                <c:pt idx="10">
                  <c:v>79.928126629624643</c:v>
                </c:pt>
                <c:pt idx="11">
                  <c:v>79.928126629624643</c:v>
                </c:pt>
                <c:pt idx="12">
                  <c:v>78.441397689847278</c:v>
                </c:pt>
                <c:pt idx="13">
                  <c:v>78.441397689847278</c:v>
                </c:pt>
                <c:pt idx="14">
                  <c:v>78.441397689847278</c:v>
                </c:pt>
                <c:pt idx="15">
                  <c:v>78.441397689847278</c:v>
                </c:pt>
                <c:pt idx="16">
                  <c:v>78.441397689847278</c:v>
                </c:pt>
                <c:pt idx="17">
                  <c:v>78.441397689847278</c:v>
                </c:pt>
                <c:pt idx="18">
                  <c:v>78.441397689847278</c:v>
                </c:pt>
                <c:pt idx="19">
                  <c:v>78.441397689847278</c:v>
                </c:pt>
                <c:pt idx="20">
                  <c:v>78.441397689847278</c:v>
                </c:pt>
                <c:pt idx="21">
                  <c:v>78.441397689847278</c:v>
                </c:pt>
                <c:pt idx="22">
                  <c:v>78.441397689847278</c:v>
                </c:pt>
                <c:pt idx="23">
                  <c:v>78.441397689847278</c:v>
                </c:pt>
                <c:pt idx="24">
                  <c:v>93.150804368352667</c:v>
                </c:pt>
                <c:pt idx="25">
                  <c:v>93.150804368352667</c:v>
                </c:pt>
                <c:pt idx="26">
                  <c:v>93.150804368352667</c:v>
                </c:pt>
                <c:pt idx="27">
                  <c:v>93.150804368352667</c:v>
                </c:pt>
                <c:pt idx="28">
                  <c:v>93.150804368352667</c:v>
                </c:pt>
                <c:pt idx="29">
                  <c:v>93.150804368352667</c:v>
                </c:pt>
                <c:pt idx="30">
                  <c:v>93.150804368352667</c:v>
                </c:pt>
                <c:pt idx="31">
                  <c:v>93.150804368352667</c:v>
                </c:pt>
                <c:pt idx="32">
                  <c:v>93.150804368352667</c:v>
                </c:pt>
                <c:pt idx="33">
                  <c:v>93.150804368352667</c:v>
                </c:pt>
                <c:pt idx="34">
                  <c:v>93.150804368352667</c:v>
                </c:pt>
                <c:pt idx="35">
                  <c:v>93.150804368352667</c:v>
                </c:pt>
                <c:pt idx="36">
                  <c:v>107.55760250159366</c:v>
                </c:pt>
                <c:pt idx="37">
                  <c:v>107.55760250159366</c:v>
                </c:pt>
                <c:pt idx="38">
                  <c:v>107.55760250159366</c:v>
                </c:pt>
                <c:pt idx="39">
                  <c:v>107.55760250159366</c:v>
                </c:pt>
                <c:pt idx="40">
                  <c:v>107.55760250159366</c:v>
                </c:pt>
                <c:pt idx="41">
                  <c:v>107.55760250159366</c:v>
                </c:pt>
                <c:pt idx="42">
                  <c:v>107.55760250159366</c:v>
                </c:pt>
                <c:pt idx="43">
                  <c:v>107.55760250159366</c:v>
                </c:pt>
                <c:pt idx="44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1-402F-BF4E-A7D410120663}"/>
            </c:ext>
          </c:extLst>
        </c:ser>
        <c:ser>
          <c:idx val="7"/>
          <c:order val="7"/>
          <c:tx>
            <c:strRef>
              <c:f>'Wind breakdown'!$I$1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'Wind breakdown'!$A$2:$A$46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'Wind breakdown'!$I$2:$I$46</c:f>
              <c:numCache>
                <c:formatCode>0.00</c:formatCode>
                <c:ptCount val="45"/>
                <c:pt idx="0">
                  <c:v>49.134160574397185</c:v>
                </c:pt>
                <c:pt idx="1">
                  <c:v>49.134160574397185</c:v>
                </c:pt>
                <c:pt idx="2">
                  <c:v>49.134160574397185</c:v>
                </c:pt>
                <c:pt idx="3">
                  <c:v>49.134160574397185</c:v>
                </c:pt>
                <c:pt idx="4">
                  <c:v>49.134160574397185</c:v>
                </c:pt>
                <c:pt idx="5">
                  <c:v>49.134160574397185</c:v>
                </c:pt>
                <c:pt idx="6">
                  <c:v>49.134160574397185</c:v>
                </c:pt>
                <c:pt idx="7">
                  <c:v>49.134160574397185</c:v>
                </c:pt>
                <c:pt idx="8">
                  <c:v>49.134160574397185</c:v>
                </c:pt>
                <c:pt idx="9">
                  <c:v>49.134160574397185</c:v>
                </c:pt>
                <c:pt idx="10">
                  <c:v>49.134160574397185</c:v>
                </c:pt>
                <c:pt idx="11">
                  <c:v>49.134160574397185</c:v>
                </c:pt>
                <c:pt idx="12">
                  <c:v>48.220224748075076</c:v>
                </c:pt>
                <c:pt idx="13">
                  <c:v>48.220224748075076</c:v>
                </c:pt>
                <c:pt idx="14">
                  <c:v>48.220224748075076</c:v>
                </c:pt>
                <c:pt idx="15">
                  <c:v>48.220224748075076</c:v>
                </c:pt>
                <c:pt idx="16">
                  <c:v>48.220224748075076</c:v>
                </c:pt>
                <c:pt idx="17">
                  <c:v>48.220224748075076</c:v>
                </c:pt>
                <c:pt idx="18">
                  <c:v>48.220224748075076</c:v>
                </c:pt>
                <c:pt idx="19">
                  <c:v>48.220224748075076</c:v>
                </c:pt>
                <c:pt idx="20">
                  <c:v>48.220224748075076</c:v>
                </c:pt>
                <c:pt idx="21">
                  <c:v>48.220224748075076</c:v>
                </c:pt>
                <c:pt idx="22">
                  <c:v>48.220224748075076</c:v>
                </c:pt>
                <c:pt idx="23">
                  <c:v>48.220224748075076</c:v>
                </c:pt>
                <c:pt idx="24">
                  <c:v>57.262527879297458</c:v>
                </c:pt>
                <c:pt idx="25">
                  <c:v>57.262527879297458</c:v>
                </c:pt>
                <c:pt idx="26">
                  <c:v>57.262527879297458</c:v>
                </c:pt>
                <c:pt idx="27">
                  <c:v>57.262527879297458</c:v>
                </c:pt>
                <c:pt idx="28">
                  <c:v>57.262527879297458</c:v>
                </c:pt>
                <c:pt idx="29">
                  <c:v>57.262527879297458</c:v>
                </c:pt>
                <c:pt idx="30">
                  <c:v>57.262527879297458</c:v>
                </c:pt>
                <c:pt idx="31">
                  <c:v>57.262527879297458</c:v>
                </c:pt>
                <c:pt idx="32">
                  <c:v>57.262527879297458</c:v>
                </c:pt>
                <c:pt idx="33">
                  <c:v>57.262527879297458</c:v>
                </c:pt>
                <c:pt idx="34">
                  <c:v>57.262527879297458</c:v>
                </c:pt>
                <c:pt idx="35">
                  <c:v>57.262527879297458</c:v>
                </c:pt>
                <c:pt idx="36">
                  <c:v>66.118808674188799</c:v>
                </c:pt>
                <c:pt idx="37">
                  <c:v>66.118808674188799</c:v>
                </c:pt>
                <c:pt idx="38">
                  <c:v>66.118808674188799</c:v>
                </c:pt>
                <c:pt idx="39">
                  <c:v>66.118808674188799</c:v>
                </c:pt>
                <c:pt idx="40">
                  <c:v>66.118808674188799</c:v>
                </c:pt>
                <c:pt idx="41">
                  <c:v>66.118808674188799</c:v>
                </c:pt>
                <c:pt idx="42">
                  <c:v>66.118808674188799</c:v>
                </c:pt>
                <c:pt idx="43">
                  <c:v>66.118808674188799</c:v>
                </c:pt>
                <c:pt idx="44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1-402F-BF4E-A7D410120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8803904"/>
        <c:axId val="1368817216"/>
      </c:barChart>
      <c:catAx>
        <c:axId val="13688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17216"/>
        <c:crosses val="autoZero"/>
        <c:auto val="1"/>
        <c:lblAlgn val="ctr"/>
        <c:lblOffset val="100"/>
        <c:noMultiLvlLbl val="0"/>
      </c:catAx>
      <c:valAx>
        <c:axId val="13688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0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Summary!$B$2:$B$30</c:f>
              <c:numCache>
                <c:formatCode>0.00</c:formatCode>
                <c:ptCount val="29"/>
                <c:pt idx="0">
                  <c:v>113.1244332786307</c:v>
                </c:pt>
                <c:pt idx="1">
                  <c:v>0</c:v>
                </c:pt>
                <c:pt idx="2">
                  <c:v>0</c:v>
                </c:pt>
                <c:pt idx="3">
                  <c:v>76.311922657273243</c:v>
                </c:pt>
                <c:pt idx="4">
                  <c:v>0</c:v>
                </c:pt>
                <c:pt idx="5">
                  <c:v>0</c:v>
                </c:pt>
                <c:pt idx="6">
                  <c:v>294.42163529452222</c:v>
                </c:pt>
                <c:pt idx="7">
                  <c:v>0</c:v>
                </c:pt>
                <c:pt idx="8">
                  <c:v>0</c:v>
                </c:pt>
                <c:pt idx="9">
                  <c:v>730.7587350835264</c:v>
                </c:pt>
                <c:pt idx="10">
                  <c:v>0</c:v>
                </c:pt>
                <c:pt idx="11">
                  <c:v>0</c:v>
                </c:pt>
                <c:pt idx="12">
                  <c:v>665.0963559890647</c:v>
                </c:pt>
                <c:pt idx="13">
                  <c:v>0</c:v>
                </c:pt>
                <c:pt idx="14">
                  <c:v>0</c:v>
                </c:pt>
                <c:pt idx="15">
                  <c:v>757.82387341995343</c:v>
                </c:pt>
                <c:pt idx="16">
                  <c:v>0</c:v>
                </c:pt>
                <c:pt idx="17">
                  <c:v>0</c:v>
                </c:pt>
                <c:pt idx="18">
                  <c:v>1208.0465659206895</c:v>
                </c:pt>
                <c:pt idx="19">
                  <c:v>0</c:v>
                </c:pt>
                <c:pt idx="20">
                  <c:v>0</c:v>
                </c:pt>
                <c:pt idx="21">
                  <c:v>1648.3845992029048</c:v>
                </c:pt>
                <c:pt idx="22">
                  <c:v>0</c:v>
                </c:pt>
                <c:pt idx="23">
                  <c:v>0</c:v>
                </c:pt>
                <c:pt idx="24">
                  <c:v>1390.9127614633303</c:v>
                </c:pt>
                <c:pt idx="25">
                  <c:v>0</c:v>
                </c:pt>
                <c:pt idx="26">
                  <c:v>0</c:v>
                </c:pt>
                <c:pt idx="27">
                  <c:v>840.66673163232099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E-451A-8F1F-D5D6D39EEFF7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Summary!$C$2:$C$30</c:f>
              <c:numCache>
                <c:formatCode>0.00</c:formatCode>
                <c:ptCount val="29"/>
                <c:pt idx="0">
                  <c:v>0.14728913510739877</c:v>
                </c:pt>
                <c:pt idx="1">
                  <c:v>0</c:v>
                </c:pt>
                <c:pt idx="2">
                  <c:v>0</c:v>
                </c:pt>
                <c:pt idx="3">
                  <c:v>0.14454943596877554</c:v>
                </c:pt>
                <c:pt idx="4">
                  <c:v>0</c:v>
                </c:pt>
                <c:pt idx="5">
                  <c:v>0</c:v>
                </c:pt>
                <c:pt idx="6">
                  <c:v>0.17165548585356102</c:v>
                </c:pt>
                <c:pt idx="7">
                  <c:v>0</c:v>
                </c:pt>
                <c:pt idx="8">
                  <c:v>0</c:v>
                </c:pt>
                <c:pt idx="9">
                  <c:v>0.17165548585356102</c:v>
                </c:pt>
                <c:pt idx="10">
                  <c:v>0</c:v>
                </c:pt>
                <c:pt idx="11">
                  <c:v>0</c:v>
                </c:pt>
                <c:pt idx="12">
                  <c:v>0.19820389786057363</c:v>
                </c:pt>
                <c:pt idx="13">
                  <c:v>0</c:v>
                </c:pt>
                <c:pt idx="14">
                  <c:v>0</c:v>
                </c:pt>
                <c:pt idx="15">
                  <c:v>0.19820389786057363</c:v>
                </c:pt>
                <c:pt idx="16">
                  <c:v>0</c:v>
                </c:pt>
                <c:pt idx="17">
                  <c:v>0</c:v>
                </c:pt>
                <c:pt idx="18">
                  <c:v>0.19820389786057363</c:v>
                </c:pt>
                <c:pt idx="19">
                  <c:v>0</c:v>
                </c:pt>
                <c:pt idx="20">
                  <c:v>0</c:v>
                </c:pt>
                <c:pt idx="21">
                  <c:v>0.19820389786057363</c:v>
                </c:pt>
                <c:pt idx="22">
                  <c:v>0</c:v>
                </c:pt>
                <c:pt idx="23">
                  <c:v>0</c:v>
                </c:pt>
                <c:pt idx="24">
                  <c:v>0.19820389786057363</c:v>
                </c:pt>
                <c:pt idx="25">
                  <c:v>0</c:v>
                </c:pt>
                <c:pt idx="26">
                  <c:v>0</c:v>
                </c:pt>
                <c:pt idx="27">
                  <c:v>0.19820389786057363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E-451A-8F1F-D5D6D39EEFF7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Summary!$D$2:$D$30</c:f>
              <c:numCache>
                <c:formatCode>0.00</c:formatCode>
                <c:ptCount val="29"/>
                <c:pt idx="0">
                  <c:v>0</c:v>
                </c:pt>
                <c:pt idx="1">
                  <c:v>74.24905285387787</c:v>
                </c:pt>
                <c:pt idx="2">
                  <c:v>0</c:v>
                </c:pt>
                <c:pt idx="3">
                  <c:v>0</c:v>
                </c:pt>
                <c:pt idx="4">
                  <c:v>72.86795936046417</c:v>
                </c:pt>
                <c:pt idx="5">
                  <c:v>0</c:v>
                </c:pt>
                <c:pt idx="6">
                  <c:v>0</c:v>
                </c:pt>
                <c:pt idx="7">
                  <c:v>86.53222949884038</c:v>
                </c:pt>
                <c:pt idx="8">
                  <c:v>0</c:v>
                </c:pt>
                <c:pt idx="9">
                  <c:v>0</c:v>
                </c:pt>
                <c:pt idx="10">
                  <c:v>86.53222949884038</c:v>
                </c:pt>
                <c:pt idx="11">
                  <c:v>0</c:v>
                </c:pt>
                <c:pt idx="12">
                  <c:v>0</c:v>
                </c:pt>
                <c:pt idx="13">
                  <c:v>99.91539211200849</c:v>
                </c:pt>
                <c:pt idx="14">
                  <c:v>0</c:v>
                </c:pt>
                <c:pt idx="15">
                  <c:v>0</c:v>
                </c:pt>
                <c:pt idx="16">
                  <c:v>99.91539211200849</c:v>
                </c:pt>
                <c:pt idx="17">
                  <c:v>0</c:v>
                </c:pt>
                <c:pt idx="18">
                  <c:v>0</c:v>
                </c:pt>
                <c:pt idx="19">
                  <c:v>99.91539211200849</c:v>
                </c:pt>
                <c:pt idx="20">
                  <c:v>0</c:v>
                </c:pt>
                <c:pt idx="21">
                  <c:v>0</c:v>
                </c:pt>
                <c:pt idx="22">
                  <c:v>99.91539211200849</c:v>
                </c:pt>
                <c:pt idx="23">
                  <c:v>0</c:v>
                </c:pt>
                <c:pt idx="24">
                  <c:v>0</c:v>
                </c:pt>
                <c:pt idx="25">
                  <c:v>99.91539211200849</c:v>
                </c:pt>
                <c:pt idx="26">
                  <c:v>0</c:v>
                </c:pt>
                <c:pt idx="27">
                  <c:v>0</c:v>
                </c:pt>
                <c:pt idx="28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E-451A-8F1F-D5D6D39EEFF7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Summary!$E$2:$E$30</c:f>
              <c:numCache>
                <c:formatCode>0.00</c:formatCode>
                <c:ptCount val="29"/>
                <c:pt idx="0">
                  <c:v>0</c:v>
                </c:pt>
                <c:pt idx="1">
                  <c:v>1212.651221218963</c:v>
                </c:pt>
                <c:pt idx="2">
                  <c:v>0</c:v>
                </c:pt>
                <c:pt idx="3">
                  <c:v>0</c:v>
                </c:pt>
                <c:pt idx="4">
                  <c:v>993.16237220412097</c:v>
                </c:pt>
                <c:pt idx="5">
                  <c:v>0</c:v>
                </c:pt>
                <c:pt idx="6">
                  <c:v>0</c:v>
                </c:pt>
                <c:pt idx="7">
                  <c:v>947.8055724799558</c:v>
                </c:pt>
                <c:pt idx="8">
                  <c:v>0</c:v>
                </c:pt>
                <c:pt idx="9">
                  <c:v>0</c:v>
                </c:pt>
                <c:pt idx="10">
                  <c:v>947.8055724799558</c:v>
                </c:pt>
                <c:pt idx="11">
                  <c:v>0</c:v>
                </c:pt>
                <c:pt idx="12">
                  <c:v>0</c:v>
                </c:pt>
                <c:pt idx="13">
                  <c:v>1094.3941461897796</c:v>
                </c:pt>
                <c:pt idx="14">
                  <c:v>0</c:v>
                </c:pt>
                <c:pt idx="15">
                  <c:v>0</c:v>
                </c:pt>
                <c:pt idx="16">
                  <c:v>1094.3941461897796</c:v>
                </c:pt>
                <c:pt idx="17">
                  <c:v>0</c:v>
                </c:pt>
                <c:pt idx="18">
                  <c:v>0</c:v>
                </c:pt>
                <c:pt idx="19">
                  <c:v>1094.3941461897796</c:v>
                </c:pt>
                <c:pt idx="20">
                  <c:v>0</c:v>
                </c:pt>
                <c:pt idx="21">
                  <c:v>0</c:v>
                </c:pt>
                <c:pt idx="22">
                  <c:v>1094.3941461897796</c:v>
                </c:pt>
                <c:pt idx="23">
                  <c:v>0</c:v>
                </c:pt>
                <c:pt idx="24">
                  <c:v>0</c:v>
                </c:pt>
                <c:pt idx="25">
                  <c:v>1094.3941461897796</c:v>
                </c:pt>
                <c:pt idx="26">
                  <c:v>0</c:v>
                </c:pt>
                <c:pt idx="27">
                  <c:v>0</c:v>
                </c:pt>
                <c:pt idx="28">
                  <c:v>1094.3941461897796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E-451A-8F1F-D5D6D39EEFF7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Summary!$F$2:$F$30</c:f>
              <c:numCache>
                <c:formatCode>0.00</c:formatCode>
                <c:ptCount val="29"/>
                <c:pt idx="0">
                  <c:v>35.260327459837647</c:v>
                </c:pt>
                <c:pt idx="1">
                  <c:v>17.713044121309458</c:v>
                </c:pt>
                <c:pt idx="2">
                  <c:v>0</c:v>
                </c:pt>
                <c:pt idx="3">
                  <c:v>28.470171330675583</c:v>
                </c:pt>
                <c:pt idx="4">
                  <c:v>14.302005603773777</c:v>
                </c:pt>
                <c:pt idx="5">
                  <c:v>0</c:v>
                </c:pt>
                <c:pt idx="6">
                  <c:v>76.037900365916713</c:v>
                </c:pt>
                <c:pt idx="7">
                  <c:v>38.197679406333492</c:v>
                </c:pt>
                <c:pt idx="8">
                  <c:v>0</c:v>
                </c:pt>
                <c:pt idx="9">
                  <c:v>130.52440173526901</c:v>
                </c:pt>
                <c:pt idx="10">
                  <c:v>65.569002144910499</c:v>
                </c:pt>
                <c:pt idx="11">
                  <c:v>0</c:v>
                </c:pt>
                <c:pt idx="12">
                  <c:v>157.02401690769392</c:v>
                </c:pt>
                <c:pt idx="13">
                  <c:v>78.88109782188711</c:v>
                </c:pt>
                <c:pt idx="14">
                  <c:v>0</c:v>
                </c:pt>
                <c:pt idx="15">
                  <c:v>155.27483652038595</c:v>
                </c:pt>
                <c:pt idx="16">
                  <c:v>78.002396130537079</c:v>
                </c:pt>
                <c:pt idx="17">
                  <c:v>0</c:v>
                </c:pt>
                <c:pt idx="18">
                  <c:v>294.89123470733057</c:v>
                </c:pt>
                <c:pt idx="19">
                  <c:v>148.13876749465734</c:v>
                </c:pt>
                <c:pt idx="20">
                  <c:v>0</c:v>
                </c:pt>
                <c:pt idx="21">
                  <c:v>439.02556940266959</c:v>
                </c:pt>
                <c:pt idx="22">
                  <c:v>220.54472664980469</c:v>
                </c:pt>
                <c:pt idx="23">
                  <c:v>0</c:v>
                </c:pt>
                <c:pt idx="24">
                  <c:v>336.90897962597961</c:v>
                </c:pt>
                <c:pt idx="25">
                  <c:v>169.24640384516172</c:v>
                </c:pt>
                <c:pt idx="26">
                  <c:v>0</c:v>
                </c:pt>
                <c:pt idx="27">
                  <c:v>164.11427751507057</c:v>
                </c:pt>
                <c:pt idx="28">
                  <c:v>82.442893982546565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CE-451A-8F1F-D5D6D39EEFF7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Summary!$G$2:$G$30</c:f>
              <c:numCache>
                <c:formatCode>0.00</c:formatCode>
                <c:ptCount val="29"/>
                <c:pt idx="0">
                  <c:v>50.640799166079823</c:v>
                </c:pt>
                <c:pt idx="1">
                  <c:v>1.3444516845262378</c:v>
                </c:pt>
                <c:pt idx="2">
                  <c:v>0</c:v>
                </c:pt>
                <c:pt idx="3">
                  <c:v>49.698838621920636</c:v>
                </c:pt>
                <c:pt idx="4">
                  <c:v>1.3194437766494536</c:v>
                </c:pt>
                <c:pt idx="5">
                  <c:v>0</c:v>
                </c:pt>
                <c:pt idx="6">
                  <c:v>59.018412855283152</c:v>
                </c:pt>
                <c:pt idx="7">
                  <c:v>1.5668671483861338</c:v>
                </c:pt>
                <c:pt idx="8">
                  <c:v>0</c:v>
                </c:pt>
                <c:pt idx="9">
                  <c:v>59.018412855283152</c:v>
                </c:pt>
                <c:pt idx="10">
                  <c:v>1.5668671483861338</c:v>
                </c:pt>
                <c:pt idx="11">
                  <c:v>0</c:v>
                </c:pt>
                <c:pt idx="12">
                  <c:v>68.146260606206184</c:v>
                </c:pt>
                <c:pt idx="13">
                  <c:v>1.809200414979752</c:v>
                </c:pt>
                <c:pt idx="14">
                  <c:v>0</c:v>
                </c:pt>
                <c:pt idx="15">
                  <c:v>68.146260606206184</c:v>
                </c:pt>
                <c:pt idx="16">
                  <c:v>1.809200414979752</c:v>
                </c:pt>
                <c:pt idx="17">
                  <c:v>0</c:v>
                </c:pt>
                <c:pt idx="18">
                  <c:v>68.146260606206184</c:v>
                </c:pt>
                <c:pt idx="19">
                  <c:v>1.809200414979752</c:v>
                </c:pt>
                <c:pt idx="20">
                  <c:v>0</c:v>
                </c:pt>
                <c:pt idx="21">
                  <c:v>68.146260606206184</c:v>
                </c:pt>
                <c:pt idx="22">
                  <c:v>1.809200414979752</c:v>
                </c:pt>
                <c:pt idx="23">
                  <c:v>0</c:v>
                </c:pt>
                <c:pt idx="24">
                  <c:v>68.146260606206184</c:v>
                </c:pt>
                <c:pt idx="25">
                  <c:v>1.809200414979752</c:v>
                </c:pt>
                <c:pt idx="26">
                  <c:v>0</c:v>
                </c:pt>
                <c:pt idx="27">
                  <c:v>68.146260606206184</c:v>
                </c:pt>
                <c:pt idx="28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CE-451A-8F1F-D5D6D39EEFF7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Summary!$H$2:$H$30</c:f>
              <c:numCache>
                <c:formatCode>0.00</c:formatCode>
                <c:ptCount val="29"/>
                <c:pt idx="0">
                  <c:v>133.05436764453748</c:v>
                </c:pt>
                <c:pt idx="1">
                  <c:v>79.928126629624657</c:v>
                </c:pt>
                <c:pt idx="2">
                  <c:v>0</c:v>
                </c:pt>
                <c:pt idx="3">
                  <c:v>130.57944689658146</c:v>
                </c:pt>
                <c:pt idx="4">
                  <c:v>78.441397689847264</c:v>
                </c:pt>
                <c:pt idx="5">
                  <c:v>0</c:v>
                </c:pt>
                <c:pt idx="6">
                  <c:v>155.0658309338807</c:v>
                </c:pt>
                <c:pt idx="7">
                  <c:v>93.150804368352667</c:v>
                </c:pt>
                <c:pt idx="8">
                  <c:v>0</c:v>
                </c:pt>
                <c:pt idx="9">
                  <c:v>155.0658309338807</c:v>
                </c:pt>
                <c:pt idx="10">
                  <c:v>93.150804368352667</c:v>
                </c:pt>
                <c:pt idx="11">
                  <c:v>0</c:v>
                </c:pt>
                <c:pt idx="12">
                  <c:v>179.04847004018006</c:v>
                </c:pt>
                <c:pt idx="13">
                  <c:v>107.55760250159366</c:v>
                </c:pt>
                <c:pt idx="14">
                  <c:v>0</c:v>
                </c:pt>
                <c:pt idx="15">
                  <c:v>179.04847004018006</c:v>
                </c:pt>
                <c:pt idx="16">
                  <c:v>107.55760250159366</c:v>
                </c:pt>
                <c:pt idx="17">
                  <c:v>0</c:v>
                </c:pt>
                <c:pt idx="18">
                  <c:v>179.04847004018006</c:v>
                </c:pt>
                <c:pt idx="19">
                  <c:v>107.55760250159366</c:v>
                </c:pt>
                <c:pt idx="20">
                  <c:v>0</c:v>
                </c:pt>
                <c:pt idx="21">
                  <c:v>179.04847004018006</c:v>
                </c:pt>
                <c:pt idx="22">
                  <c:v>107.55760250159366</c:v>
                </c:pt>
                <c:pt idx="23">
                  <c:v>0</c:v>
                </c:pt>
                <c:pt idx="24">
                  <c:v>179.04847004018006</c:v>
                </c:pt>
                <c:pt idx="25">
                  <c:v>107.55760250159366</c:v>
                </c:pt>
                <c:pt idx="26">
                  <c:v>0</c:v>
                </c:pt>
                <c:pt idx="27">
                  <c:v>179.04847004018006</c:v>
                </c:pt>
                <c:pt idx="28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CE-451A-8F1F-D5D6D39EEFF7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Summary!$A$2:$A$27</c:f>
              <c:strCache>
                <c:ptCount val="26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20</c:v>
                </c:pt>
                <c:pt idx="4">
                  <c:v>Avg 20</c:v>
                </c:pt>
                <c:pt idx="5">
                  <c:v>Avg 20</c:v>
                </c:pt>
                <c:pt idx="6">
                  <c:v>Jul '21</c:v>
                </c:pt>
                <c:pt idx="7">
                  <c:v>Jul '21</c:v>
                </c:pt>
                <c:pt idx="8">
                  <c:v>Jul '21</c:v>
                </c:pt>
                <c:pt idx="9">
                  <c:v>Oct '21</c:v>
                </c:pt>
                <c:pt idx="10">
                  <c:v>Oct '21</c:v>
                </c:pt>
                <c:pt idx="11">
                  <c:v>Oct '21</c:v>
                </c:pt>
                <c:pt idx="12">
                  <c:v>Jan '22</c:v>
                </c:pt>
                <c:pt idx="13">
                  <c:v>Jan '22</c:v>
                </c:pt>
                <c:pt idx="14">
                  <c:v>Jan '22</c:v>
                </c:pt>
                <c:pt idx="15">
                  <c:v>Apr '22</c:v>
                </c:pt>
                <c:pt idx="16">
                  <c:v>Apr '22</c:v>
                </c:pt>
                <c:pt idx="17">
                  <c:v>Apr '22</c:v>
                </c:pt>
                <c:pt idx="18">
                  <c:v>Jul '22</c:v>
                </c:pt>
                <c:pt idx="19">
                  <c:v>Jul '22</c:v>
                </c:pt>
                <c:pt idx="20">
                  <c:v>Jul '22</c:v>
                </c:pt>
                <c:pt idx="21">
                  <c:v>Aug '22</c:v>
                </c:pt>
                <c:pt idx="22">
                  <c:v>Aug '22</c:v>
                </c:pt>
                <c:pt idx="23">
                  <c:v>Aug '22</c:v>
                </c:pt>
                <c:pt idx="24">
                  <c:v>Sep '22</c:v>
                </c:pt>
                <c:pt idx="25">
                  <c:v>Sep '22</c:v>
                </c:pt>
              </c:strCache>
            </c:strRef>
          </c:cat>
          <c:val>
            <c:numRef>
              <c:f>Summary!$I$2:$I$30</c:f>
              <c:numCache>
                <c:formatCode>0.00</c:formatCode>
                <c:ptCount val="29"/>
                <c:pt idx="0">
                  <c:v>68.199817668703304</c:v>
                </c:pt>
                <c:pt idx="1">
                  <c:v>49.134160574397185</c:v>
                </c:pt>
                <c:pt idx="2">
                  <c:v>0</c:v>
                </c:pt>
                <c:pt idx="3">
                  <c:v>66.931244928528258</c:v>
                </c:pt>
                <c:pt idx="4">
                  <c:v>48.220224748075076</c:v>
                </c:pt>
                <c:pt idx="5">
                  <c:v>0</c:v>
                </c:pt>
                <c:pt idx="6">
                  <c:v>79.482256641056694</c:v>
                </c:pt>
                <c:pt idx="7">
                  <c:v>57.262527879297458</c:v>
                </c:pt>
                <c:pt idx="8">
                  <c:v>0</c:v>
                </c:pt>
                <c:pt idx="9">
                  <c:v>79.482256641056694</c:v>
                </c:pt>
                <c:pt idx="10">
                  <c:v>57.262527879297458</c:v>
                </c:pt>
                <c:pt idx="11">
                  <c:v>0</c:v>
                </c:pt>
                <c:pt idx="12">
                  <c:v>91.77506328257607</c:v>
                </c:pt>
                <c:pt idx="13">
                  <c:v>66.118808674188799</c:v>
                </c:pt>
                <c:pt idx="14">
                  <c:v>0</c:v>
                </c:pt>
                <c:pt idx="15">
                  <c:v>91.77506328257607</c:v>
                </c:pt>
                <c:pt idx="16">
                  <c:v>66.118808674188799</c:v>
                </c:pt>
                <c:pt idx="17">
                  <c:v>0</c:v>
                </c:pt>
                <c:pt idx="18">
                  <c:v>91.77506328257607</c:v>
                </c:pt>
                <c:pt idx="19">
                  <c:v>66.118808674188799</c:v>
                </c:pt>
                <c:pt idx="20">
                  <c:v>0</c:v>
                </c:pt>
                <c:pt idx="21">
                  <c:v>91.77506328257607</c:v>
                </c:pt>
                <c:pt idx="22">
                  <c:v>66.118808674188799</c:v>
                </c:pt>
                <c:pt idx="23">
                  <c:v>0</c:v>
                </c:pt>
                <c:pt idx="24">
                  <c:v>91.77506328257607</c:v>
                </c:pt>
                <c:pt idx="25">
                  <c:v>66.118808674188799</c:v>
                </c:pt>
                <c:pt idx="26">
                  <c:v>0</c:v>
                </c:pt>
                <c:pt idx="27">
                  <c:v>91.77506328257607</c:v>
                </c:pt>
                <c:pt idx="28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CE-451A-8F1F-D5D6D39E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4533568"/>
        <c:axId val="1524527328"/>
      </c:barChart>
      <c:catAx>
        <c:axId val="15245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27328"/>
        <c:crosses val="autoZero"/>
        <c:auto val="1"/>
        <c:lblAlgn val="ctr"/>
        <c:lblOffset val="100"/>
        <c:noMultiLvlLbl val="0"/>
      </c:catAx>
      <c:valAx>
        <c:axId val="15245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SI'!$B$1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SI'!$B$2:$B$50</c:f>
              <c:numCache>
                <c:formatCode>0.00</c:formatCode>
                <c:ptCount val="49"/>
                <c:pt idx="0">
                  <c:v>113.1244332786307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76.311922657273243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294.42163529452222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730.7587350835264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665.0963559890647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757.82387341995343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1208.0465659206895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1648.3845992029048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1390.9127614633303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840.66673163232099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D-407C-81E5-A57F202CDA96}"/>
            </c:ext>
          </c:extLst>
        </c:ser>
        <c:ser>
          <c:idx val="1"/>
          <c:order val="1"/>
          <c:tx>
            <c:strRef>
              <c:f>'Summary SI'!$C$1</c:f>
              <c:strCache>
                <c:ptCount val="1"/>
                <c:pt idx="0">
                  <c:v>Water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SI'!$C$2:$C$50</c:f>
              <c:numCache>
                <c:formatCode>0.00</c:formatCode>
                <c:ptCount val="49"/>
                <c:pt idx="0">
                  <c:v>0.14728913510739877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0.14454943596877554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0.17165548585356102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0.17165548585356102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0.19820389786057363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0.19820389786057363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0.19820389786057363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0.19820389786057363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0.19820389786057363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0.19820389786057363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D-407C-81E5-A57F202CDA96}"/>
            </c:ext>
          </c:extLst>
        </c:ser>
        <c:ser>
          <c:idx val="2"/>
          <c:order val="2"/>
          <c:tx>
            <c:strRef>
              <c:f>'Summary SI'!$D$1</c:f>
              <c:strCache>
                <c:ptCount val="1"/>
                <c:pt idx="0">
                  <c:v>Nitrogen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SI'!$D$2:$D$50</c:f>
              <c:numCache>
                <c:formatCode>0.00</c:formatCode>
                <c:ptCount val="49"/>
                <c:pt idx="0">
                  <c:v>0</c:v>
                </c:pt>
                <c:pt idx="1">
                  <c:v>74.24905285387787</c:v>
                </c:pt>
                <c:pt idx="2">
                  <c:v>74.24905285387787</c:v>
                </c:pt>
                <c:pt idx="3">
                  <c:v>74.24905285387787</c:v>
                </c:pt>
                <c:pt idx="4">
                  <c:v>0</c:v>
                </c:pt>
                <c:pt idx="5">
                  <c:v>0</c:v>
                </c:pt>
                <c:pt idx="6">
                  <c:v>72.86795936046417</c:v>
                </c:pt>
                <c:pt idx="7">
                  <c:v>72.86795936046417</c:v>
                </c:pt>
                <c:pt idx="8">
                  <c:v>72.86795936046417</c:v>
                </c:pt>
                <c:pt idx="9">
                  <c:v>0</c:v>
                </c:pt>
                <c:pt idx="10">
                  <c:v>0</c:v>
                </c:pt>
                <c:pt idx="11">
                  <c:v>86.53222949884038</c:v>
                </c:pt>
                <c:pt idx="12">
                  <c:v>86.53222949884038</c:v>
                </c:pt>
                <c:pt idx="13">
                  <c:v>86.53222949884038</c:v>
                </c:pt>
                <c:pt idx="14">
                  <c:v>0</c:v>
                </c:pt>
                <c:pt idx="15">
                  <c:v>0</c:v>
                </c:pt>
                <c:pt idx="16">
                  <c:v>86.53222949884038</c:v>
                </c:pt>
                <c:pt idx="17">
                  <c:v>86.53222949884038</c:v>
                </c:pt>
                <c:pt idx="18">
                  <c:v>86.53222949884038</c:v>
                </c:pt>
                <c:pt idx="19">
                  <c:v>0</c:v>
                </c:pt>
                <c:pt idx="20">
                  <c:v>0</c:v>
                </c:pt>
                <c:pt idx="21">
                  <c:v>99.91539211200849</c:v>
                </c:pt>
                <c:pt idx="22">
                  <c:v>99.91539211200849</c:v>
                </c:pt>
                <c:pt idx="23">
                  <c:v>99.91539211200849</c:v>
                </c:pt>
                <c:pt idx="24">
                  <c:v>0</c:v>
                </c:pt>
                <c:pt idx="25">
                  <c:v>0</c:v>
                </c:pt>
                <c:pt idx="26">
                  <c:v>99.91539211200849</c:v>
                </c:pt>
                <c:pt idx="27">
                  <c:v>99.91539211200849</c:v>
                </c:pt>
                <c:pt idx="28">
                  <c:v>99.91539211200849</c:v>
                </c:pt>
                <c:pt idx="29">
                  <c:v>0</c:v>
                </c:pt>
                <c:pt idx="30">
                  <c:v>0</c:v>
                </c:pt>
                <c:pt idx="31">
                  <c:v>99.91539211200849</c:v>
                </c:pt>
                <c:pt idx="32">
                  <c:v>99.91539211200849</c:v>
                </c:pt>
                <c:pt idx="33">
                  <c:v>99.91539211200849</c:v>
                </c:pt>
                <c:pt idx="34">
                  <c:v>0</c:v>
                </c:pt>
                <c:pt idx="35">
                  <c:v>0</c:v>
                </c:pt>
                <c:pt idx="36">
                  <c:v>99.91539211200849</c:v>
                </c:pt>
                <c:pt idx="37">
                  <c:v>99.91539211200849</c:v>
                </c:pt>
                <c:pt idx="38">
                  <c:v>99.91539211200849</c:v>
                </c:pt>
                <c:pt idx="39">
                  <c:v>0</c:v>
                </c:pt>
                <c:pt idx="40">
                  <c:v>0</c:v>
                </c:pt>
                <c:pt idx="41">
                  <c:v>99.91539211200849</c:v>
                </c:pt>
                <c:pt idx="42">
                  <c:v>99.91539211200849</c:v>
                </c:pt>
                <c:pt idx="43">
                  <c:v>99.91539211200849</c:v>
                </c:pt>
                <c:pt idx="44">
                  <c:v>0</c:v>
                </c:pt>
                <c:pt idx="45">
                  <c:v>0</c:v>
                </c:pt>
                <c:pt idx="46">
                  <c:v>99.91539211200849</c:v>
                </c:pt>
                <c:pt idx="47">
                  <c:v>99.91539211200849</c:v>
                </c:pt>
                <c:pt idx="48">
                  <c:v>99.91539211200849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D-407C-81E5-A57F202CDA96}"/>
            </c:ext>
          </c:extLst>
        </c:ser>
        <c:ser>
          <c:idx val="3"/>
          <c:order val="3"/>
          <c:tx>
            <c:strRef>
              <c:f>'Summary SI'!$E$1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SI'!$E$2:$E$50</c:f>
              <c:numCache>
                <c:formatCode>0.00</c:formatCode>
                <c:ptCount val="49"/>
                <c:pt idx="0">
                  <c:v>0</c:v>
                </c:pt>
                <c:pt idx="1">
                  <c:v>1212.651221218963</c:v>
                </c:pt>
                <c:pt idx="2">
                  <c:v>1624.0518440472806</c:v>
                </c:pt>
                <c:pt idx="3">
                  <c:v>331.36543740803762</c:v>
                </c:pt>
                <c:pt idx="4">
                  <c:v>0</c:v>
                </c:pt>
                <c:pt idx="5">
                  <c:v>0</c:v>
                </c:pt>
                <c:pt idx="6">
                  <c:v>993.16237220412097</c:v>
                </c:pt>
                <c:pt idx="7">
                  <c:v>1594.2545059223528</c:v>
                </c:pt>
                <c:pt idx="8">
                  <c:v>279.24142432444444</c:v>
                </c:pt>
                <c:pt idx="9">
                  <c:v>0</c:v>
                </c:pt>
                <c:pt idx="10">
                  <c:v>0</c:v>
                </c:pt>
                <c:pt idx="11">
                  <c:v>947.8055724799558</c:v>
                </c:pt>
                <c:pt idx="12">
                  <c:v>1447.0651709977403</c:v>
                </c:pt>
                <c:pt idx="13">
                  <c:v>601.47421239413393</c:v>
                </c:pt>
                <c:pt idx="14">
                  <c:v>0</c:v>
                </c:pt>
                <c:pt idx="15">
                  <c:v>0</c:v>
                </c:pt>
                <c:pt idx="16">
                  <c:v>947.8055724799558</c:v>
                </c:pt>
                <c:pt idx="17">
                  <c:v>1447.0651709977403</c:v>
                </c:pt>
                <c:pt idx="18">
                  <c:v>1179.26687581648</c:v>
                </c:pt>
                <c:pt idx="19">
                  <c:v>0</c:v>
                </c:pt>
                <c:pt idx="20">
                  <c:v>0</c:v>
                </c:pt>
                <c:pt idx="21">
                  <c:v>1094.3941461897796</c:v>
                </c:pt>
                <c:pt idx="22">
                  <c:v>1670.8697419359501</c:v>
                </c:pt>
                <c:pt idx="23">
                  <c:v>1125.0444469765989</c:v>
                </c:pt>
                <c:pt idx="24">
                  <c:v>0</c:v>
                </c:pt>
                <c:pt idx="25">
                  <c:v>0</c:v>
                </c:pt>
                <c:pt idx="26">
                  <c:v>1094.3941461897796</c:v>
                </c:pt>
                <c:pt idx="27">
                  <c:v>1670.8697419359501</c:v>
                </c:pt>
                <c:pt idx="28">
                  <c:v>1247.8331791170544</c:v>
                </c:pt>
                <c:pt idx="29">
                  <c:v>0</c:v>
                </c:pt>
                <c:pt idx="30">
                  <c:v>0</c:v>
                </c:pt>
                <c:pt idx="31">
                  <c:v>1094.3941461897796</c:v>
                </c:pt>
                <c:pt idx="32">
                  <c:v>1670.8697419359501</c:v>
                </c:pt>
                <c:pt idx="33">
                  <c:v>1844.0129877076413</c:v>
                </c:pt>
                <c:pt idx="34">
                  <c:v>0</c:v>
                </c:pt>
                <c:pt idx="35">
                  <c:v>0</c:v>
                </c:pt>
                <c:pt idx="36">
                  <c:v>1094.3941461897796</c:v>
                </c:pt>
                <c:pt idx="37">
                  <c:v>1670.8697419359501</c:v>
                </c:pt>
                <c:pt idx="38">
                  <c:v>2427.1036421106669</c:v>
                </c:pt>
                <c:pt idx="39">
                  <c:v>0</c:v>
                </c:pt>
                <c:pt idx="40">
                  <c:v>0</c:v>
                </c:pt>
                <c:pt idx="41">
                  <c:v>1094.3941461897796</c:v>
                </c:pt>
                <c:pt idx="42">
                  <c:v>1670.8697419359501</c:v>
                </c:pt>
                <c:pt idx="43">
                  <c:v>2086.1623401775241</c:v>
                </c:pt>
                <c:pt idx="44">
                  <c:v>0</c:v>
                </c:pt>
                <c:pt idx="45">
                  <c:v>0</c:v>
                </c:pt>
                <c:pt idx="46">
                  <c:v>1094.3941461897796</c:v>
                </c:pt>
                <c:pt idx="47">
                  <c:v>1670.8697419359501</c:v>
                </c:pt>
                <c:pt idx="48">
                  <c:v>1357.5327570699485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D-407C-81E5-A57F202CDA96}"/>
            </c:ext>
          </c:extLst>
        </c:ser>
        <c:ser>
          <c:idx val="4"/>
          <c:order val="4"/>
          <c:tx>
            <c:strRef>
              <c:f>'Summary SI'!$F$1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SI'!$F$2:$F$50</c:f>
              <c:numCache>
                <c:formatCode>0.00</c:formatCode>
                <c:ptCount val="49"/>
                <c:pt idx="0">
                  <c:v>35.260327459837647</c:v>
                </c:pt>
                <c:pt idx="1">
                  <c:v>17.713044121309458</c:v>
                </c:pt>
                <c:pt idx="2">
                  <c:v>17.713044121309458</c:v>
                </c:pt>
                <c:pt idx="3">
                  <c:v>17.713044121309458</c:v>
                </c:pt>
                <c:pt idx="4">
                  <c:v>0</c:v>
                </c:pt>
                <c:pt idx="5">
                  <c:v>28.470171330675583</c:v>
                </c:pt>
                <c:pt idx="6">
                  <c:v>14.302005603773777</c:v>
                </c:pt>
                <c:pt idx="7">
                  <c:v>14.302005603773777</c:v>
                </c:pt>
                <c:pt idx="8">
                  <c:v>14.302005603773777</c:v>
                </c:pt>
                <c:pt idx="9">
                  <c:v>0</c:v>
                </c:pt>
                <c:pt idx="10">
                  <c:v>76.037900365916713</c:v>
                </c:pt>
                <c:pt idx="11">
                  <c:v>38.197679406333492</c:v>
                </c:pt>
                <c:pt idx="12">
                  <c:v>38.197679406333492</c:v>
                </c:pt>
                <c:pt idx="13">
                  <c:v>38.197679406333492</c:v>
                </c:pt>
                <c:pt idx="14">
                  <c:v>0</c:v>
                </c:pt>
                <c:pt idx="15">
                  <c:v>130.52440173526901</c:v>
                </c:pt>
                <c:pt idx="16">
                  <c:v>65.569002144910499</c:v>
                </c:pt>
                <c:pt idx="17">
                  <c:v>65.569002144910499</c:v>
                </c:pt>
                <c:pt idx="18">
                  <c:v>65.569002144910499</c:v>
                </c:pt>
                <c:pt idx="19">
                  <c:v>0</c:v>
                </c:pt>
                <c:pt idx="20">
                  <c:v>157.02401690769392</c:v>
                </c:pt>
                <c:pt idx="21">
                  <c:v>78.88109782188711</c:v>
                </c:pt>
                <c:pt idx="22">
                  <c:v>78.88109782188711</c:v>
                </c:pt>
                <c:pt idx="23">
                  <c:v>78.88109782188711</c:v>
                </c:pt>
                <c:pt idx="24">
                  <c:v>0</c:v>
                </c:pt>
                <c:pt idx="25">
                  <c:v>155.27483652038595</c:v>
                </c:pt>
                <c:pt idx="26">
                  <c:v>78.002396130537079</c:v>
                </c:pt>
                <c:pt idx="27">
                  <c:v>78.002396130537079</c:v>
                </c:pt>
                <c:pt idx="28">
                  <c:v>78.002396130537079</c:v>
                </c:pt>
                <c:pt idx="29">
                  <c:v>0</c:v>
                </c:pt>
                <c:pt idx="30">
                  <c:v>294.89123470733057</c:v>
                </c:pt>
                <c:pt idx="31">
                  <c:v>148.13876749465734</c:v>
                </c:pt>
                <c:pt idx="32">
                  <c:v>148.13876749465734</c:v>
                </c:pt>
                <c:pt idx="33">
                  <c:v>148.13876749465734</c:v>
                </c:pt>
                <c:pt idx="34">
                  <c:v>0</c:v>
                </c:pt>
                <c:pt idx="35">
                  <c:v>439.02556940266959</c:v>
                </c:pt>
                <c:pt idx="36">
                  <c:v>220.54472664980469</c:v>
                </c:pt>
                <c:pt idx="37">
                  <c:v>220.54472664980469</c:v>
                </c:pt>
                <c:pt idx="38">
                  <c:v>220.54472664980469</c:v>
                </c:pt>
                <c:pt idx="39">
                  <c:v>0</c:v>
                </c:pt>
                <c:pt idx="40">
                  <c:v>336.90897962597961</c:v>
                </c:pt>
                <c:pt idx="41">
                  <c:v>169.24640384516172</c:v>
                </c:pt>
                <c:pt idx="42">
                  <c:v>169.24640384516172</c:v>
                </c:pt>
                <c:pt idx="43">
                  <c:v>169.24640384516172</c:v>
                </c:pt>
                <c:pt idx="44">
                  <c:v>0</c:v>
                </c:pt>
                <c:pt idx="45">
                  <c:v>164.11427751507057</c:v>
                </c:pt>
                <c:pt idx="46">
                  <c:v>82.442893982546565</c:v>
                </c:pt>
                <c:pt idx="47">
                  <c:v>82.442893982546565</c:v>
                </c:pt>
                <c:pt idx="48">
                  <c:v>82.442893982546565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D-407C-81E5-A57F202CDA96}"/>
            </c:ext>
          </c:extLst>
        </c:ser>
        <c:ser>
          <c:idx val="5"/>
          <c:order val="5"/>
          <c:tx>
            <c:strRef>
              <c:f>'Summary SI'!$G$1</c:f>
              <c:strCache>
                <c:ptCount val="1"/>
                <c:pt idx="0">
                  <c:v>Other utilities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SI'!$G$2:$G$50</c:f>
              <c:numCache>
                <c:formatCode>0.00</c:formatCode>
                <c:ptCount val="49"/>
                <c:pt idx="0">
                  <c:v>50.640799166079823</c:v>
                </c:pt>
                <c:pt idx="1">
                  <c:v>1.3444516845262378</c:v>
                </c:pt>
                <c:pt idx="2">
                  <c:v>1.3444516845262378</c:v>
                </c:pt>
                <c:pt idx="3">
                  <c:v>1.3444516845262378</c:v>
                </c:pt>
                <c:pt idx="4">
                  <c:v>0</c:v>
                </c:pt>
                <c:pt idx="5">
                  <c:v>49.698838621920636</c:v>
                </c:pt>
                <c:pt idx="6">
                  <c:v>1.3194437766494536</c:v>
                </c:pt>
                <c:pt idx="7">
                  <c:v>1.3194437766494536</c:v>
                </c:pt>
                <c:pt idx="8">
                  <c:v>1.3194437766494536</c:v>
                </c:pt>
                <c:pt idx="9">
                  <c:v>0</c:v>
                </c:pt>
                <c:pt idx="10">
                  <c:v>59.018412855283152</c:v>
                </c:pt>
                <c:pt idx="11">
                  <c:v>1.5668671483861338</c:v>
                </c:pt>
                <c:pt idx="12">
                  <c:v>1.5668671483861338</c:v>
                </c:pt>
                <c:pt idx="13">
                  <c:v>1.5668671483861338</c:v>
                </c:pt>
                <c:pt idx="14">
                  <c:v>0</c:v>
                </c:pt>
                <c:pt idx="15">
                  <c:v>59.018412855283152</c:v>
                </c:pt>
                <c:pt idx="16">
                  <c:v>1.5668671483861338</c:v>
                </c:pt>
                <c:pt idx="17">
                  <c:v>1.5668671483861338</c:v>
                </c:pt>
                <c:pt idx="18">
                  <c:v>1.5668671483861338</c:v>
                </c:pt>
                <c:pt idx="19">
                  <c:v>0</c:v>
                </c:pt>
                <c:pt idx="20">
                  <c:v>68.146260606206184</c:v>
                </c:pt>
                <c:pt idx="21">
                  <c:v>1.809200414979752</c:v>
                </c:pt>
                <c:pt idx="22">
                  <c:v>1.809200414979752</c:v>
                </c:pt>
                <c:pt idx="23">
                  <c:v>1.809200414979752</c:v>
                </c:pt>
                <c:pt idx="24">
                  <c:v>0</c:v>
                </c:pt>
                <c:pt idx="25">
                  <c:v>68.146260606206184</c:v>
                </c:pt>
                <c:pt idx="26">
                  <c:v>1.809200414979752</c:v>
                </c:pt>
                <c:pt idx="27">
                  <c:v>1.809200414979752</c:v>
                </c:pt>
                <c:pt idx="28">
                  <c:v>1.809200414979752</c:v>
                </c:pt>
                <c:pt idx="29">
                  <c:v>0</c:v>
                </c:pt>
                <c:pt idx="30">
                  <c:v>68.146260606206184</c:v>
                </c:pt>
                <c:pt idx="31">
                  <c:v>1.809200414979752</c:v>
                </c:pt>
                <c:pt idx="32">
                  <c:v>1.809200414979752</c:v>
                </c:pt>
                <c:pt idx="33">
                  <c:v>1.809200414979752</c:v>
                </c:pt>
                <c:pt idx="34">
                  <c:v>0</c:v>
                </c:pt>
                <c:pt idx="35">
                  <c:v>68.146260606206184</c:v>
                </c:pt>
                <c:pt idx="36">
                  <c:v>1.809200414979752</c:v>
                </c:pt>
                <c:pt idx="37">
                  <c:v>1.809200414979752</c:v>
                </c:pt>
                <c:pt idx="38">
                  <c:v>1.809200414979752</c:v>
                </c:pt>
                <c:pt idx="39">
                  <c:v>0</c:v>
                </c:pt>
                <c:pt idx="40">
                  <c:v>68.146260606206184</c:v>
                </c:pt>
                <c:pt idx="41">
                  <c:v>1.809200414979752</c:v>
                </c:pt>
                <c:pt idx="42">
                  <c:v>1.809200414979752</c:v>
                </c:pt>
                <c:pt idx="43">
                  <c:v>1.809200414979752</c:v>
                </c:pt>
                <c:pt idx="44">
                  <c:v>0</c:v>
                </c:pt>
                <c:pt idx="45">
                  <c:v>68.146260606206184</c:v>
                </c:pt>
                <c:pt idx="46">
                  <c:v>1.809200414979752</c:v>
                </c:pt>
                <c:pt idx="47">
                  <c:v>1.809200414979752</c:v>
                </c:pt>
                <c:pt idx="48">
                  <c:v>1.809200414979752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5D-407C-81E5-A57F202CDA96}"/>
            </c:ext>
          </c:extLst>
        </c:ser>
        <c:ser>
          <c:idx val="6"/>
          <c:order val="6"/>
          <c:tx>
            <c:strRef>
              <c:f>'Summary SI'!$H$1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SI'!$H$2:$H$50</c:f>
              <c:numCache>
                <c:formatCode>0.00</c:formatCode>
                <c:ptCount val="49"/>
                <c:pt idx="0">
                  <c:v>133.05436764453748</c:v>
                </c:pt>
                <c:pt idx="1">
                  <c:v>79.928126629624657</c:v>
                </c:pt>
                <c:pt idx="2">
                  <c:v>79.928126629624657</c:v>
                </c:pt>
                <c:pt idx="3">
                  <c:v>79.928126629624657</c:v>
                </c:pt>
                <c:pt idx="4">
                  <c:v>0</c:v>
                </c:pt>
                <c:pt idx="5">
                  <c:v>130.57944689658146</c:v>
                </c:pt>
                <c:pt idx="6">
                  <c:v>78.441397689847264</c:v>
                </c:pt>
                <c:pt idx="7">
                  <c:v>78.441397689847264</c:v>
                </c:pt>
                <c:pt idx="8">
                  <c:v>78.441397689847264</c:v>
                </c:pt>
                <c:pt idx="9">
                  <c:v>0</c:v>
                </c:pt>
                <c:pt idx="10">
                  <c:v>155.0658309338807</c:v>
                </c:pt>
                <c:pt idx="11">
                  <c:v>93.150804368352667</c:v>
                </c:pt>
                <c:pt idx="12">
                  <c:v>93.150804368352667</c:v>
                </c:pt>
                <c:pt idx="13">
                  <c:v>93.150804368352667</c:v>
                </c:pt>
                <c:pt idx="14">
                  <c:v>0</c:v>
                </c:pt>
                <c:pt idx="15">
                  <c:v>155.0658309338807</c:v>
                </c:pt>
                <c:pt idx="16">
                  <c:v>93.150804368352667</c:v>
                </c:pt>
                <c:pt idx="17">
                  <c:v>93.150804368352667</c:v>
                </c:pt>
                <c:pt idx="18">
                  <c:v>93.150804368352667</c:v>
                </c:pt>
                <c:pt idx="19">
                  <c:v>0</c:v>
                </c:pt>
                <c:pt idx="20">
                  <c:v>179.04847004018006</c:v>
                </c:pt>
                <c:pt idx="21">
                  <c:v>107.55760250159366</c:v>
                </c:pt>
                <c:pt idx="22">
                  <c:v>107.55760250159366</c:v>
                </c:pt>
                <c:pt idx="23">
                  <c:v>107.55760250159366</c:v>
                </c:pt>
                <c:pt idx="24">
                  <c:v>0</c:v>
                </c:pt>
                <c:pt idx="25">
                  <c:v>179.04847004018006</c:v>
                </c:pt>
                <c:pt idx="26">
                  <c:v>107.55760250159366</c:v>
                </c:pt>
                <c:pt idx="27">
                  <c:v>107.55760250159366</c:v>
                </c:pt>
                <c:pt idx="28">
                  <c:v>107.55760250159366</c:v>
                </c:pt>
                <c:pt idx="29">
                  <c:v>0</c:v>
                </c:pt>
                <c:pt idx="30">
                  <c:v>179.04847004018006</c:v>
                </c:pt>
                <c:pt idx="31">
                  <c:v>107.55760250159366</c:v>
                </c:pt>
                <c:pt idx="32">
                  <c:v>107.55760250159366</c:v>
                </c:pt>
                <c:pt idx="33">
                  <c:v>107.55760250159366</c:v>
                </c:pt>
                <c:pt idx="34">
                  <c:v>0</c:v>
                </c:pt>
                <c:pt idx="35">
                  <c:v>179.04847004018006</c:v>
                </c:pt>
                <c:pt idx="36">
                  <c:v>107.55760250159366</c:v>
                </c:pt>
                <c:pt idx="37">
                  <c:v>107.55760250159366</c:v>
                </c:pt>
                <c:pt idx="38">
                  <c:v>107.55760250159366</c:v>
                </c:pt>
                <c:pt idx="39">
                  <c:v>0</c:v>
                </c:pt>
                <c:pt idx="40">
                  <c:v>179.04847004018006</c:v>
                </c:pt>
                <c:pt idx="41">
                  <c:v>107.55760250159366</c:v>
                </c:pt>
                <c:pt idx="42">
                  <c:v>107.55760250159366</c:v>
                </c:pt>
                <c:pt idx="43">
                  <c:v>107.55760250159366</c:v>
                </c:pt>
                <c:pt idx="44">
                  <c:v>0</c:v>
                </c:pt>
                <c:pt idx="45">
                  <c:v>179.04847004018006</c:v>
                </c:pt>
                <c:pt idx="46">
                  <c:v>107.55760250159366</c:v>
                </c:pt>
                <c:pt idx="47">
                  <c:v>107.55760250159366</c:v>
                </c:pt>
                <c:pt idx="48">
                  <c:v>107.55760250159366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5D-407C-81E5-A57F202CDA96}"/>
            </c:ext>
          </c:extLst>
        </c:ser>
        <c:ser>
          <c:idx val="7"/>
          <c:order val="7"/>
          <c:tx>
            <c:strRef>
              <c:f>'Summary SI'!$I$1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SI'!$A$2:$A$50</c:f>
              <c:strCache>
                <c:ptCount val="49"/>
                <c:pt idx="0">
                  <c:v>Avg 19</c:v>
                </c:pt>
                <c:pt idx="1">
                  <c:v>Avg 19</c:v>
                </c:pt>
                <c:pt idx="2">
                  <c:v>Avg 19</c:v>
                </c:pt>
                <c:pt idx="3">
                  <c:v>Avg 19</c:v>
                </c:pt>
                <c:pt idx="4">
                  <c:v>Avg 19</c:v>
                </c:pt>
                <c:pt idx="5">
                  <c:v>Avg 20</c:v>
                </c:pt>
                <c:pt idx="6">
                  <c:v>Avg 20</c:v>
                </c:pt>
                <c:pt idx="7">
                  <c:v>Avg 20</c:v>
                </c:pt>
                <c:pt idx="8">
                  <c:v>Avg 20</c:v>
                </c:pt>
                <c:pt idx="9">
                  <c:v>Avg 20</c:v>
                </c:pt>
                <c:pt idx="10">
                  <c:v>Jul '21</c:v>
                </c:pt>
                <c:pt idx="11">
                  <c:v>Jul '21</c:v>
                </c:pt>
                <c:pt idx="12">
                  <c:v>Jul '21</c:v>
                </c:pt>
                <c:pt idx="13">
                  <c:v>Jul '21</c:v>
                </c:pt>
                <c:pt idx="14">
                  <c:v>Jul '21</c:v>
                </c:pt>
                <c:pt idx="15">
                  <c:v>Oct '21</c:v>
                </c:pt>
                <c:pt idx="16">
                  <c:v>Oct '21</c:v>
                </c:pt>
                <c:pt idx="17">
                  <c:v>Oct '21</c:v>
                </c:pt>
                <c:pt idx="18">
                  <c:v>Oct '21</c:v>
                </c:pt>
                <c:pt idx="19">
                  <c:v>Oct '21</c:v>
                </c:pt>
                <c:pt idx="20">
                  <c:v>Jan '22</c:v>
                </c:pt>
                <c:pt idx="21">
                  <c:v>Jan '22</c:v>
                </c:pt>
                <c:pt idx="22">
                  <c:v>Jan '22</c:v>
                </c:pt>
                <c:pt idx="23">
                  <c:v>Jan '22</c:v>
                </c:pt>
                <c:pt idx="24">
                  <c:v>Jan '22</c:v>
                </c:pt>
                <c:pt idx="25">
                  <c:v>Apr '22</c:v>
                </c:pt>
                <c:pt idx="26">
                  <c:v>Apr '22</c:v>
                </c:pt>
                <c:pt idx="27">
                  <c:v>Apr '22</c:v>
                </c:pt>
                <c:pt idx="28">
                  <c:v>Apr '22</c:v>
                </c:pt>
                <c:pt idx="29">
                  <c:v>Apr '22</c:v>
                </c:pt>
                <c:pt idx="30">
                  <c:v>Jul '22</c:v>
                </c:pt>
                <c:pt idx="31">
                  <c:v>Jul '22</c:v>
                </c:pt>
                <c:pt idx="32">
                  <c:v>Jul '22</c:v>
                </c:pt>
                <c:pt idx="33">
                  <c:v>Jul '22</c:v>
                </c:pt>
                <c:pt idx="34">
                  <c:v>Jul '22</c:v>
                </c:pt>
                <c:pt idx="35">
                  <c:v>Aug '22</c:v>
                </c:pt>
                <c:pt idx="36">
                  <c:v>Aug '22</c:v>
                </c:pt>
                <c:pt idx="37">
                  <c:v>Aug '22</c:v>
                </c:pt>
                <c:pt idx="38">
                  <c:v>Aug '22</c:v>
                </c:pt>
                <c:pt idx="39">
                  <c:v>Aug '22</c:v>
                </c:pt>
                <c:pt idx="40">
                  <c:v>Sep '22</c:v>
                </c:pt>
                <c:pt idx="41">
                  <c:v>Sep '22</c:v>
                </c:pt>
                <c:pt idx="42">
                  <c:v>Sep '22</c:v>
                </c:pt>
                <c:pt idx="43">
                  <c:v>Sep '22</c:v>
                </c:pt>
                <c:pt idx="44">
                  <c:v>Sep '22</c:v>
                </c:pt>
                <c:pt idx="45">
                  <c:v>Nov '22</c:v>
                </c:pt>
                <c:pt idx="46">
                  <c:v>Nov '22</c:v>
                </c:pt>
                <c:pt idx="47">
                  <c:v>Nov '22</c:v>
                </c:pt>
                <c:pt idx="48">
                  <c:v>Nov '22</c:v>
                </c:pt>
              </c:strCache>
            </c:strRef>
          </c:cat>
          <c:val>
            <c:numRef>
              <c:f>'Summary SI'!$I$2:$I$50</c:f>
              <c:numCache>
                <c:formatCode>0.00</c:formatCode>
                <c:ptCount val="49"/>
                <c:pt idx="0">
                  <c:v>68.199817668703304</c:v>
                </c:pt>
                <c:pt idx="1">
                  <c:v>49.134160574397185</c:v>
                </c:pt>
                <c:pt idx="2">
                  <c:v>49.134160574397185</c:v>
                </c:pt>
                <c:pt idx="3">
                  <c:v>49.134160574397185</c:v>
                </c:pt>
                <c:pt idx="4">
                  <c:v>0</c:v>
                </c:pt>
                <c:pt idx="5">
                  <c:v>66.931244928528258</c:v>
                </c:pt>
                <c:pt idx="6">
                  <c:v>48.220224748075076</c:v>
                </c:pt>
                <c:pt idx="7">
                  <c:v>48.220224748075076</c:v>
                </c:pt>
                <c:pt idx="8">
                  <c:v>48.220224748075076</c:v>
                </c:pt>
                <c:pt idx="9">
                  <c:v>0</c:v>
                </c:pt>
                <c:pt idx="10">
                  <c:v>79.482256641056694</c:v>
                </c:pt>
                <c:pt idx="11">
                  <c:v>57.262527879297458</c:v>
                </c:pt>
                <c:pt idx="12">
                  <c:v>57.262527879297458</c:v>
                </c:pt>
                <c:pt idx="13">
                  <c:v>57.262527879297458</c:v>
                </c:pt>
                <c:pt idx="14">
                  <c:v>0</c:v>
                </c:pt>
                <c:pt idx="15">
                  <c:v>79.482256641056694</c:v>
                </c:pt>
                <c:pt idx="16">
                  <c:v>57.262527879297458</c:v>
                </c:pt>
                <c:pt idx="17">
                  <c:v>57.262527879297458</c:v>
                </c:pt>
                <c:pt idx="18">
                  <c:v>57.262527879297458</c:v>
                </c:pt>
                <c:pt idx="19">
                  <c:v>0</c:v>
                </c:pt>
                <c:pt idx="20">
                  <c:v>91.77506328257607</c:v>
                </c:pt>
                <c:pt idx="21">
                  <c:v>66.118808674188799</c:v>
                </c:pt>
                <c:pt idx="22">
                  <c:v>66.118808674188799</c:v>
                </c:pt>
                <c:pt idx="23">
                  <c:v>66.118808674188799</c:v>
                </c:pt>
                <c:pt idx="24">
                  <c:v>0</c:v>
                </c:pt>
                <c:pt idx="25">
                  <c:v>91.77506328257607</c:v>
                </c:pt>
                <c:pt idx="26">
                  <c:v>66.118808674188799</c:v>
                </c:pt>
                <c:pt idx="27">
                  <c:v>66.118808674188799</c:v>
                </c:pt>
                <c:pt idx="28">
                  <c:v>66.118808674188799</c:v>
                </c:pt>
                <c:pt idx="29">
                  <c:v>0</c:v>
                </c:pt>
                <c:pt idx="30">
                  <c:v>91.77506328257607</c:v>
                </c:pt>
                <c:pt idx="31">
                  <c:v>66.118808674188799</c:v>
                </c:pt>
                <c:pt idx="32">
                  <c:v>66.118808674188799</c:v>
                </c:pt>
                <c:pt idx="33">
                  <c:v>66.118808674188799</c:v>
                </c:pt>
                <c:pt idx="34">
                  <c:v>0</c:v>
                </c:pt>
                <c:pt idx="35">
                  <c:v>91.77506328257607</c:v>
                </c:pt>
                <c:pt idx="36">
                  <c:v>66.118808674188799</c:v>
                </c:pt>
                <c:pt idx="37">
                  <c:v>66.118808674188799</c:v>
                </c:pt>
                <c:pt idx="38">
                  <c:v>66.118808674188799</c:v>
                </c:pt>
                <c:pt idx="39">
                  <c:v>0</c:v>
                </c:pt>
                <c:pt idx="40">
                  <c:v>91.77506328257607</c:v>
                </c:pt>
                <c:pt idx="41">
                  <c:v>66.118808674188799</c:v>
                </c:pt>
                <c:pt idx="42">
                  <c:v>66.118808674188799</c:v>
                </c:pt>
                <c:pt idx="43">
                  <c:v>66.118808674188799</c:v>
                </c:pt>
                <c:pt idx="44">
                  <c:v>0</c:v>
                </c:pt>
                <c:pt idx="45">
                  <c:v>91.77506328257607</c:v>
                </c:pt>
                <c:pt idx="46">
                  <c:v>66.118808674188799</c:v>
                </c:pt>
                <c:pt idx="47">
                  <c:v>66.118808674188799</c:v>
                </c:pt>
                <c:pt idx="48">
                  <c:v>66.118808674188799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5D-407C-81E5-A57F202C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0030032"/>
        <c:axId val="1130028784"/>
      </c:barChart>
      <c:catAx>
        <c:axId val="11300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28784"/>
        <c:crosses val="autoZero"/>
        <c:auto val="1"/>
        <c:lblAlgn val="ctr"/>
        <c:lblOffset val="100"/>
        <c:noMultiLvlLbl val="0"/>
      </c:catAx>
      <c:valAx>
        <c:axId val="11300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2</xdr:row>
      <xdr:rowOff>19050</xdr:rowOff>
    </xdr:from>
    <xdr:to>
      <xdr:col>28</xdr:col>
      <xdr:colOff>504825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860A6-867E-C0B6-1856-EA3BBF8AC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243840</xdr:colOff>
      <xdr:row>5</xdr:row>
      <xdr:rowOff>76200</xdr:rowOff>
    </xdr:from>
    <xdr:to>
      <xdr:col>29</xdr:col>
      <xdr:colOff>495300</xdr:colOff>
      <xdr:row>36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CF148-89E1-E187-AEC0-5C2368452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411480</xdr:colOff>
      <xdr:row>1</xdr:row>
      <xdr:rowOff>7620</xdr:rowOff>
    </xdr:from>
    <xdr:to>
      <xdr:col>30</xdr:col>
      <xdr:colOff>53340</xdr:colOff>
      <xdr:row>40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FC42E-8845-C079-B043-F077A97A2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137160</xdr:colOff>
      <xdr:row>1</xdr:row>
      <xdr:rowOff>45720</xdr:rowOff>
    </xdr:from>
    <xdr:to>
      <xdr:col>30</xdr:col>
      <xdr:colOff>83820</xdr:colOff>
      <xdr:row>42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85615-0010-88A8-E6A3-463125A39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A6-D3AD-48FF-B7C0-E675D467F6FD}">
  <sheetPr codeName="Sheet1"/>
  <dimension ref="A1:U48"/>
  <sheetViews>
    <sheetView tabSelected="1" workbookViewId="0">
      <selection activeCell="M2" sqref="M2"/>
    </sheetView>
  </sheetViews>
  <sheetFormatPr defaultRowHeight="14.4" x14ac:dyDescent="0.3"/>
  <cols>
    <col min="1" max="1" width="8.88671875" style="1"/>
    <col min="2" max="2" width="10.21875" style="1" bestFit="1" customWidth="1"/>
    <col min="3" max="3" width="6.109375" style="1" bestFit="1" customWidth="1"/>
    <col min="4" max="4" width="8.109375" style="1" bestFit="1" customWidth="1"/>
    <col min="5" max="5" width="8.77734375" style="1" bestFit="1" customWidth="1"/>
    <col min="6" max="6" width="9" style="1" bestFit="1" customWidth="1"/>
    <col min="7" max="7" width="12" style="1" bestFit="1" customWidth="1"/>
    <col min="8" max="8" width="7.5546875" style="1" bestFit="1" customWidth="1"/>
    <col min="9" max="9" width="9.88671875" style="1" bestFit="1" customWidth="1"/>
    <col min="10" max="10" width="8.5546875" style="1" bestFit="1" customWidth="1"/>
    <col min="11" max="12" width="4.5546875" bestFit="1" customWidth="1"/>
    <col min="13" max="13" width="5.5546875" bestFit="1" customWidth="1"/>
    <col min="20" max="20" width="12.33203125" customWidth="1"/>
  </cols>
  <sheetData>
    <row r="1" spans="1:13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3" x14ac:dyDescent="0.3">
      <c r="A2" s="1" t="s">
        <v>44</v>
      </c>
      <c r="B2" s="2">
        <v>171.80479117905773</v>
      </c>
      <c r="C2" s="2">
        <v>0.14728913510739874</v>
      </c>
      <c r="D2" s="2">
        <v>0</v>
      </c>
      <c r="E2" s="2">
        <v>0</v>
      </c>
      <c r="F2" s="2">
        <v>46.217648629351018</v>
      </c>
      <c r="G2" s="2">
        <v>50.640799166079823</v>
      </c>
      <c r="H2" s="2">
        <v>133.05436764453748</v>
      </c>
      <c r="I2" s="2">
        <v>68.199817668703304</v>
      </c>
      <c r="J2" s="2">
        <v>470.06471342283675</v>
      </c>
      <c r="K2" s="2">
        <v>0</v>
      </c>
      <c r="L2" s="2">
        <v>0</v>
      </c>
      <c r="M2" s="2">
        <f>(H2+I2)/J2*100</f>
        <v>42.81414442870696</v>
      </c>
    </row>
    <row r="3" spans="1:13" x14ac:dyDescent="0.3">
      <c r="A3" s="1" t="s">
        <v>43</v>
      </c>
      <c r="B3" s="2">
        <v>141.44476643645712</v>
      </c>
      <c r="C3" s="2">
        <v>0.14728913510739874</v>
      </c>
      <c r="D3" s="2">
        <v>0</v>
      </c>
      <c r="E3" s="2">
        <v>0</v>
      </c>
      <c r="F3" s="2">
        <v>40.044070791793516</v>
      </c>
      <c r="G3" s="2">
        <v>50.640799166079823</v>
      </c>
      <c r="H3" s="2">
        <v>133.05436764453748</v>
      </c>
      <c r="I3" s="2">
        <v>68.199817668703304</v>
      </c>
      <c r="J3" s="2">
        <v>433.53111084267863</v>
      </c>
      <c r="K3" s="2">
        <v>0</v>
      </c>
      <c r="L3" s="2">
        <v>0</v>
      </c>
      <c r="M3" s="2">
        <f t="shared" ref="M3:M48" si="0">(H3+I3)/J3*100</f>
        <v>46.422086046385871</v>
      </c>
    </row>
    <row r="4" spans="1:13" x14ac:dyDescent="0.3">
      <c r="A4" s="1" t="s">
        <v>42</v>
      </c>
      <c r="B4" s="2">
        <v>121.91079702842725</v>
      </c>
      <c r="C4" s="2">
        <v>0.14728913510739874</v>
      </c>
      <c r="D4" s="2">
        <v>0</v>
      </c>
      <c r="E4" s="2">
        <v>0</v>
      </c>
      <c r="F4" s="2">
        <v>28.63230569812659</v>
      </c>
      <c r="G4" s="2">
        <v>50.640799166079823</v>
      </c>
      <c r="H4" s="2">
        <v>133.05436764453748</v>
      </c>
      <c r="I4" s="2">
        <v>68.199817668703304</v>
      </c>
      <c r="J4" s="2">
        <v>402.58537634098184</v>
      </c>
      <c r="K4" s="2">
        <v>0</v>
      </c>
      <c r="L4" s="2">
        <v>0</v>
      </c>
      <c r="M4" s="2">
        <f t="shared" si="0"/>
        <v>49.990436101380517</v>
      </c>
    </row>
    <row r="5" spans="1:13" x14ac:dyDescent="0.3">
      <c r="A5" s="1" t="s">
        <v>41</v>
      </c>
      <c r="B5" s="2">
        <v>115.79172227410467</v>
      </c>
      <c r="C5" s="2">
        <v>0.14728913510739874</v>
      </c>
      <c r="D5" s="2">
        <v>0</v>
      </c>
      <c r="E5" s="2">
        <v>0</v>
      </c>
      <c r="F5" s="2">
        <v>34.581389796136556</v>
      </c>
      <c r="G5" s="2">
        <v>50.640799166079823</v>
      </c>
      <c r="H5" s="2">
        <v>133.05436764453748</v>
      </c>
      <c r="I5" s="2">
        <v>68.199817668703304</v>
      </c>
      <c r="J5" s="2">
        <v>402.41538568466922</v>
      </c>
      <c r="K5" s="2">
        <v>0</v>
      </c>
      <c r="L5" s="2">
        <v>0</v>
      </c>
      <c r="M5" s="2">
        <f t="shared" si="0"/>
        <v>50.01155335321662</v>
      </c>
    </row>
    <row r="6" spans="1:13" x14ac:dyDescent="0.3">
      <c r="A6" s="1" t="s">
        <v>40</v>
      </c>
      <c r="B6" s="2">
        <v>102.141478591385</v>
      </c>
      <c r="C6" s="2">
        <v>0.14728913510739874</v>
      </c>
      <c r="D6" s="2">
        <v>0</v>
      </c>
      <c r="E6" s="2">
        <v>0</v>
      </c>
      <c r="F6" s="2">
        <v>35.385825696181932</v>
      </c>
      <c r="G6" s="2">
        <v>50.640799166079823</v>
      </c>
      <c r="H6" s="2">
        <v>133.05436764453748</v>
      </c>
      <c r="I6" s="2">
        <v>68.199817668703304</v>
      </c>
      <c r="J6" s="2">
        <v>389.56957790199493</v>
      </c>
      <c r="K6" s="2">
        <v>0</v>
      </c>
      <c r="L6" s="2">
        <v>0</v>
      </c>
      <c r="M6" s="2">
        <f t="shared" si="0"/>
        <v>51.660652353062034</v>
      </c>
    </row>
    <row r="7" spans="1:13" x14ac:dyDescent="0.3">
      <c r="A7" s="1" t="s">
        <v>39</v>
      </c>
      <c r="B7" s="2">
        <v>84.490301415454411</v>
      </c>
      <c r="C7" s="2">
        <v>0.14728913510739874</v>
      </c>
      <c r="D7" s="2">
        <v>0</v>
      </c>
      <c r="E7" s="2">
        <v>0</v>
      </c>
      <c r="F7" s="2">
        <v>30.400193897063517</v>
      </c>
      <c r="G7" s="2">
        <v>50.640799166079823</v>
      </c>
      <c r="H7" s="2">
        <v>133.05436764453748</v>
      </c>
      <c r="I7" s="2">
        <v>68.199817668703304</v>
      </c>
      <c r="J7" s="2">
        <v>366.93276892694593</v>
      </c>
      <c r="K7" s="2">
        <v>0</v>
      </c>
      <c r="L7" s="2">
        <v>0</v>
      </c>
      <c r="M7" s="2">
        <f t="shared" si="0"/>
        <v>54.847700275390032</v>
      </c>
    </row>
    <row r="8" spans="1:13" x14ac:dyDescent="0.3">
      <c r="A8" s="1" t="s">
        <v>38</v>
      </c>
      <c r="B8" s="2">
        <v>85.196348502491645</v>
      </c>
      <c r="C8" s="2">
        <v>0.14728913510739874</v>
      </c>
      <c r="D8" s="2">
        <v>0</v>
      </c>
      <c r="E8" s="2">
        <v>0</v>
      </c>
      <c r="F8" s="2">
        <v>37.144359989304377</v>
      </c>
      <c r="G8" s="2">
        <v>50.640799166079823</v>
      </c>
      <c r="H8" s="2">
        <v>133.05436764453748</v>
      </c>
      <c r="I8" s="2">
        <v>68.199817668703304</v>
      </c>
      <c r="J8" s="2">
        <v>374.38298210622406</v>
      </c>
      <c r="K8" s="2">
        <v>0</v>
      </c>
      <c r="L8" s="2">
        <v>0</v>
      </c>
      <c r="M8" s="2">
        <f t="shared" si="0"/>
        <v>53.756232236041846</v>
      </c>
    </row>
    <row r="9" spans="1:13" x14ac:dyDescent="0.3">
      <c r="A9" s="1" t="s">
        <v>37</v>
      </c>
      <c r="B9" s="2">
        <v>86.608442676566085</v>
      </c>
      <c r="C9" s="2">
        <v>0.14728913510739874</v>
      </c>
      <c r="D9" s="2">
        <v>0</v>
      </c>
      <c r="E9" s="2">
        <v>0</v>
      </c>
      <c r="F9" s="2">
        <v>34.441081208919343</v>
      </c>
      <c r="G9" s="2">
        <v>50.640799166079823</v>
      </c>
      <c r="H9" s="2">
        <v>133.05436764453748</v>
      </c>
      <c r="I9" s="2">
        <v>68.199817668703304</v>
      </c>
      <c r="J9" s="2">
        <v>373.09179749991347</v>
      </c>
      <c r="K9" s="2">
        <v>0</v>
      </c>
      <c r="L9" s="2">
        <v>0</v>
      </c>
      <c r="M9" s="2">
        <f t="shared" si="0"/>
        <v>53.942270149556812</v>
      </c>
    </row>
    <row r="10" spans="1:13" x14ac:dyDescent="0.3">
      <c r="A10" s="1" t="s">
        <v>36</v>
      </c>
      <c r="B10" s="2">
        <v>99.081941214223704</v>
      </c>
      <c r="C10" s="2">
        <v>0.14728913510739874</v>
      </c>
      <c r="D10" s="2">
        <v>0</v>
      </c>
      <c r="E10" s="2">
        <v>0</v>
      </c>
      <c r="F10" s="2">
        <v>33.458921098398832</v>
      </c>
      <c r="G10" s="2">
        <v>50.640799166079823</v>
      </c>
      <c r="H10" s="2">
        <v>133.05436764453748</v>
      </c>
      <c r="I10" s="2">
        <v>68.199817668703304</v>
      </c>
      <c r="J10" s="2">
        <v>384.58313592705053</v>
      </c>
      <c r="K10" s="2">
        <v>0</v>
      </c>
      <c r="L10" s="2">
        <v>0</v>
      </c>
      <c r="M10" s="2">
        <f t="shared" si="0"/>
        <v>52.33047591338368</v>
      </c>
    </row>
    <row r="11" spans="1:13" x14ac:dyDescent="0.3">
      <c r="A11" s="1" t="s">
        <v>35</v>
      </c>
      <c r="B11" s="2">
        <v>119.08660868027836</v>
      </c>
      <c r="C11" s="2">
        <v>0.14728913510739874</v>
      </c>
      <c r="D11" s="2">
        <v>0</v>
      </c>
      <c r="E11" s="2">
        <v>0</v>
      </c>
      <c r="F11" s="2">
        <v>34.562681984507599</v>
      </c>
      <c r="G11" s="2">
        <v>50.640799166079823</v>
      </c>
      <c r="H11" s="2">
        <v>133.05436764453748</v>
      </c>
      <c r="I11" s="2">
        <v>68.199817668703304</v>
      </c>
      <c r="J11" s="2">
        <v>405.69156427921394</v>
      </c>
      <c r="K11" s="2">
        <v>0</v>
      </c>
      <c r="L11" s="2">
        <v>0</v>
      </c>
      <c r="M11" s="2">
        <f t="shared" si="0"/>
        <v>49.607683036448158</v>
      </c>
    </row>
    <row r="12" spans="1:13" x14ac:dyDescent="0.3">
      <c r="A12" s="1" t="s">
        <v>34</v>
      </c>
      <c r="B12" s="2">
        <v>121.20474994139006</v>
      </c>
      <c r="C12" s="2">
        <v>0.14728913510739874</v>
      </c>
      <c r="D12" s="2">
        <v>0</v>
      </c>
      <c r="E12" s="2">
        <v>0</v>
      </c>
      <c r="F12" s="2">
        <v>38.351013839372435</v>
      </c>
      <c r="G12" s="2">
        <v>50.640799166079823</v>
      </c>
      <c r="H12" s="2">
        <v>133.05436764453748</v>
      </c>
      <c r="I12" s="2">
        <v>68.199817668703304</v>
      </c>
      <c r="J12" s="2">
        <v>411.59803739519054</v>
      </c>
      <c r="K12" s="2">
        <v>0</v>
      </c>
      <c r="L12" s="2">
        <v>0</v>
      </c>
      <c r="M12" s="2">
        <f t="shared" si="0"/>
        <v>48.895807809697885</v>
      </c>
    </row>
    <row r="13" spans="1:13" x14ac:dyDescent="0.3">
      <c r="A13" s="1" t="s">
        <v>33</v>
      </c>
      <c r="B13" s="2">
        <v>108.73125140373243</v>
      </c>
      <c r="C13" s="2">
        <v>0.14728913510739874</v>
      </c>
      <c r="D13" s="2">
        <v>0</v>
      </c>
      <c r="E13" s="2">
        <v>0</v>
      </c>
      <c r="F13" s="2">
        <v>29.904436888896019</v>
      </c>
      <c r="G13" s="2">
        <v>50.640799166079823</v>
      </c>
      <c r="H13" s="2">
        <v>133.05436764453748</v>
      </c>
      <c r="I13" s="2">
        <v>68.199817668703304</v>
      </c>
      <c r="J13" s="2">
        <v>390.67796190705644</v>
      </c>
      <c r="K13" s="2">
        <v>0</v>
      </c>
      <c r="L13" s="2">
        <v>0</v>
      </c>
      <c r="M13" s="2">
        <f t="shared" si="0"/>
        <v>51.514087032408497</v>
      </c>
    </row>
    <row r="14" spans="1:13" x14ac:dyDescent="0.3">
      <c r="A14" s="1" t="s">
        <v>32</v>
      </c>
      <c r="B14" s="2">
        <v>85.431697531504042</v>
      </c>
      <c r="C14" s="2">
        <v>0.14454943596877554</v>
      </c>
      <c r="D14" s="2">
        <v>0</v>
      </c>
      <c r="E14" s="2">
        <v>0</v>
      </c>
      <c r="F14" s="2">
        <v>32.719962539054819</v>
      </c>
      <c r="G14" s="2">
        <v>49.698838621920643</v>
      </c>
      <c r="H14" s="2">
        <v>130.57944689658149</v>
      </c>
      <c r="I14" s="2">
        <v>66.931244928528258</v>
      </c>
      <c r="J14" s="2">
        <v>365.50573995355802</v>
      </c>
      <c r="K14" s="2">
        <v>0</v>
      </c>
      <c r="L14" s="2">
        <v>0</v>
      </c>
      <c r="M14" s="2">
        <f t="shared" si="0"/>
        <v>54.037644347310632</v>
      </c>
    </row>
    <row r="15" spans="1:13" x14ac:dyDescent="0.3">
      <c r="A15" s="1" t="s">
        <v>31</v>
      </c>
      <c r="B15" s="2">
        <v>68.486567442610692</v>
      </c>
      <c r="C15" s="2">
        <v>0.14454943596877554</v>
      </c>
      <c r="D15" s="2">
        <v>0</v>
      </c>
      <c r="E15" s="2">
        <v>0</v>
      </c>
      <c r="F15" s="2">
        <v>20.494407639528049</v>
      </c>
      <c r="G15" s="2">
        <v>49.698838621920643</v>
      </c>
      <c r="H15" s="2">
        <v>130.57944689658149</v>
      </c>
      <c r="I15" s="2">
        <v>66.931244928528258</v>
      </c>
      <c r="J15" s="2">
        <v>336.33505496513789</v>
      </c>
      <c r="K15" s="2">
        <v>0</v>
      </c>
      <c r="L15" s="2">
        <v>0</v>
      </c>
      <c r="M15" s="2">
        <f t="shared" si="0"/>
        <v>58.724384779214375</v>
      </c>
    </row>
    <row r="16" spans="1:13" x14ac:dyDescent="0.3">
      <c r="A16" s="1" t="s">
        <v>30</v>
      </c>
      <c r="B16" s="2">
        <v>64.014935891374947</v>
      </c>
      <c r="C16" s="2">
        <v>0.14454943596877554</v>
      </c>
      <c r="D16" s="2">
        <v>0</v>
      </c>
      <c r="E16" s="2">
        <v>0</v>
      </c>
      <c r="F16" s="2">
        <v>21.064995894211396</v>
      </c>
      <c r="G16" s="2">
        <v>49.698838621920643</v>
      </c>
      <c r="H16" s="2">
        <v>130.57944689658149</v>
      </c>
      <c r="I16" s="2">
        <v>66.931244928528258</v>
      </c>
      <c r="J16" s="2">
        <v>332.43401166858553</v>
      </c>
      <c r="K16" s="2">
        <v>0</v>
      </c>
      <c r="L16" s="2">
        <v>0</v>
      </c>
      <c r="M16" s="2">
        <f t="shared" si="0"/>
        <v>59.413503099079612</v>
      </c>
    </row>
    <row r="17" spans="1:13" x14ac:dyDescent="0.3">
      <c r="A17" s="1" t="s">
        <v>29</v>
      </c>
      <c r="B17" s="2">
        <v>49.893994150630469</v>
      </c>
      <c r="C17" s="2">
        <v>0.14454943596877554</v>
      </c>
      <c r="D17" s="2">
        <v>0</v>
      </c>
      <c r="E17" s="2">
        <v>0</v>
      </c>
      <c r="F17" s="2">
        <v>15.948409413690246</v>
      </c>
      <c r="G17" s="2">
        <v>49.698838621920643</v>
      </c>
      <c r="H17" s="2">
        <v>130.57944689658149</v>
      </c>
      <c r="I17" s="2">
        <v>66.931244928528258</v>
      </c>
      <c r="J17" s="2">
        <v>313.19648344731991</v>
      </c>
      <c r="K17" s="2">
        <v>0</v>
      </c>
      <c r="L17" s="2">
        <v>0</v>
      </c>
      <c r="M17" s="2">
        <f t="shared" si="0"/>
        <v>63.062870199285406</v>
      </c>
    </row>
    <row r="18" spans="1:13" x14ac:dyDescent="0.3">
      <c r="A18" s="1" t="s">
        <v>28</v>
      </c>
      <c r="B18" s="2">
        <v>37.185146583960439</v>
      </c>
      <c r="C18" s="2">
        <v>0.14454943596877554</v>
      </c>
      <c r="D18" s="2">
        <v>0</v>
      </c>
      <c r="E18" s="2">
        <v>0</v>
      </c>
      <c r="F18" s="2">
        <v>16.462874233486705</v>
      </c>
      <c r="G18" s="2">
        <v>49.698838621920643</v>
      </c>
      <c r="H18" s="2">
        <v>130.57944689658149</v>
      </c>
      <c r="I18" s="2">
        <v>66.931244928528258</v>
      </c>
      <c r="J18" s="2">
        <v>301.00210070044631</v>
      </c>
      <c r="K18" s="2">
        <v>0</v>
      </c>
      <c r="L18" s="2">
        <v>0</v>
      </c>
      <c r="M18" s="2">
        <f t="shared" si="0"/>
        <v>65.617712090876751</v>
      </c>
    </row>
    <row r="19" spans="1:13" x14ac:dyDescent="0.3">
      <c r="A19" s="1" t="s">
        <v>27</v>
      </c>
      <c r="B19" s="2">
        <v>41.186080077171376</v>
      </c>
      <c r="C19" s="2">
        <v>0.14454943596877554</v>
      </c>
      <c r="D19" s="2">
        <v>0</v>
      </c>
      <c r="E19" s="2">
        <v>0</v>
      </c>
      <c r="F19" s="2">
        <v>24.535294951383879</v>
      </c>
      <c r="G19" s="2">
        <v>49.698838621920643</v>
      </c>
      <c r="H19" s="2">
        <v>130.57944689658149</v>
      </c>
      <c r="I19" s="2">
        <v>66.931244928528258</v>
      </c>
      <c r="J19" s="2">
        <v>313.0754549115544</v>
      </c>
      <c r="K19" s="2">
        <v>0</v>
      </c>
      <c r="L19" s="2">
        <v>0</v>
      </c>
      <c r="M19" s="2">
        <f t="shared" si="0"/>
        <v>63.087249008679912</v>
      </c>
    </row>
    <row r="20" spans="1:13" x14ac:dyDescent="0.3">
      <c r="A20" s="1" t="s">
        <v>26</v>
      </c>
      <c r="B20" s="2">
        <v>42.362825222233418</v>
      </c>
      <c r="C20" s="2">
        <v>0.14454943596877554</v>
      </c>
      <c r="D20" s="2">
        <v>0</v>
      </c>
      <c r="E20" s="2">
        <v>0</v>
      </c>
      <c r="F20" s="2">
        <v>28.127194784144613</v>
      </c>
      <c r="G20" s="2">
        <v>49.698838621920643</v>
      </c>
      <c r="H20" s="2">
        <v>130.57944689658149</v>
      </c>
      <c r="I20" s="2">
        <v>66.931244928528258</v>
      </c>
      <c r="J20" s="2">
        <v>317.84409988937722</v>
      </c>
      <c r="K20" s="2">
        <v>0</v>
      </c>
      <c r="L20" s="2">
        <v>0</v>
      </c>
      <c r="M20" s="2">
        <f t="shared" si="0"/>
        <v>62.14074506773968</v>
      </c>
    </row>
    <row r="21" spans="1:13" x14ac:dyDescent="0.3">
      <c r="A21" s="1" t="s">
        <v>25</v>
      </c>
      <c r="B21" s="2">
        <v>67.309822297548635</v>
      </c>
      <c r="C21" s="2">
        <v>0.14454943596877554</v>
      </c>
      <c r="D21" s="2">
        <v>0</v>
      </c>
      <c r="E21" s="2">
        <v>0</v>
      </c>
      <c r="F21" s="2">
        <v>32.635777386724492</v>
      </c>
      <c r="G21" s="2">
        <v>49.698838621920643</v>
      </c>
      <c r="H21" s="2">
        <v>130.57944689658149</v>
      </c>
      <c r="I21" s="2">
        <v>66.931244928528258</v>
      </c>
      <c r="J21" s="2">
        <v>347.29967956727228</v>
      </c>
      <c r="K21" s="2">
        <v>0</v>
      </c>
      <c r="L21" s="2">
        <v>0</v>
      </c>
      <c r="M21" s="2">
        <f t="shared" si="0"/>
        <v>56.870392760282328</v>
      </c>
    </row>
    <row r="22" spans="1:13" x14ac:dyDescent="0.3">
      <c r="A22" s="1" t="s">
        <v>24</v>
      </c>
      <c r="B22" s="2">
        <v>92.962866459901107</v>
      </c>
      <c r="C22" s="2">
        <v>0.14454943596877554</v>
      </c>
      <c r="D22" s="2">
        <v>0</v>
      </c>
      <c r="E22" s="2">
        <v>0</v>
      </c>
      <c r="F22" s="2">
        <v>40.857860597653364</v>
      </c>
      <c r="G22" s="2">
        <v>49.698838621920643</v>
      </c>
      <c r="H22" s="2">
        <v>130.57944689658149</v>
      </c>
      <c r="I22" s="2">
        <v>66.931244928528258</v>
      </c>
      <c r="J22" s="2">
        <v>381.17480694055365</v>
      </c>
      <c r="K22" s="2">
        <v>0</v>
      </c>
      <c r="L22" s="2">
        <v>0</v>
      </c>
      <c r="M22" s="2">
        <f t="shared" si="0"/>
        <v>51.816302711714272</v>
      </c>
    </row>
    <row r="23" spans="1:13" x14ac:dyDescent="0.3">
      <c r="A23" s="1" t="s">
        <v>23</v>
      </c>
      <c r="B23" s="2">
        <v>115.08567518706744</v>
      </c>
      <c r="C23" s="2">
        <v>0.14454943596877554</v>
      </c>
      <c r="D23" s="2">
        <v>0</v>
      </c>
      <c r="E23" s="2">
        <v>0</v>
      </c>
      <c r="F23" s="2">
        <v>31.765864145977755</v>
      </c>
      <c r="G23" s="2">
        <v>49.698838621920643</v>
      </c>
      <c r="H23" s="2">
        <v>130.57944689658149</v>
      </c>
      <c r="I23" s="2">
        <v>66.931244928528258</v>
      </c>
      <c r="J23" s="2">
        <v>394.20561921604434</v>
      </c>
      <c r="K23" s="2">
        <v>0</v>
      </c>
      <c r="L23" s="2">
        <v>0</v>
      </c>
      <c r="M23" s="2">
        <f t="shared" si="0"/>
        <v>50.103469407132941</v>
      </c>
    </row>
    <row r="24" spans="1:13" x14ac:dyDescent="0.3">
      <c r="A24" s="1" t="s">
        <v>22</v>
      </c>
      <c r="B24" s="2">
        <v>113.90893004200541</v>
      </c>
      <c r="C24" s="2">
        <v>0.14454943596877554</v>
      </c>
      <c r="D24" s="2">
        <v>0</v>
      </c>
      <c r="E24" s="2">
        <v>0</v>
      </c>
      <c r="F24" s="2">
        <v>36.293154560186593</v>
      </c>
      <c r="G24" s="2">
        <v>49.698838621920643</v>
      </c>
      <c r="H24" s="2">
        <v>130.57944689658149</v>
      </c>
      <c r="I24" s="2">
        <v>66.931244928528258</v>
      </c>
      <c r="J24" s="2">
        <v>397.55616448519118</v>
      </c>
      <c r="K24" s="2">
        <v>0</v>
      </c>
      <c r="L24" s="2">
        <v>0</v>
      </c>
      <c r="M24" s="2">
        <f t="shared" si="0"/>
        <v>49.681204687361088</v>
      </c>
    </row>
    <row r="25" spans="1:13" x14ac:dyDescent="0.3">
      <c r="A25" s="1" t="s">
        <v>21</v>
      </c>
      <c r="B25" s="2">
        <v>137.91453100127103</v>
      </c>
      <c r="C25" s="2">
        <v>0.14454943596877554</v>
      </c>
      <c r="D25" s="2">
        <v>0</v>
      </c>
      <c r="E25" s="2">
        <v>0</v>
      </c>
      <c r="F25" s="2">
        <v>40.736259822065108</v>
      </c>
      <c r="G25" s="2">
        <v>49.698838621920643</v>
      </c>
      <c r="H25" s="2">
        <v>130.57944689658149</v>
      </c>
      <c r="I25" s="2">
        <v>66.931244928528258</v>
      </c>
      <c r="J25" s="2">
        <v>426.00487070633528</v>
      </c>
      <c r="K25" s="2">
        <v>0</v>
      </c>
      <c r="L25" s="2">
        <v>0</v>
      </c>
      <c r="M25" s="2">
        <f t="shared" si="0"/>
        <v>46.363482064800834</v>
      </c>
    </row>
    <row r="26" spans="1:13" x14ac:dyDescent="0.3">
      <c r="A26" s="1" t="s">
        <v>20</v>
      </c>
      <c r="B26" s="2">
        <v>171.09874409202052</v>
      </c>
      <c r="C26" s="2">
        <v>0.17165548585356102</v>
      </c>
      <c r="D26" s="2">
        <v>0</v>
      </c>
      <c r="E26" s="2">
        <v>0</v>
      </c>
      <c r="F26" s="2">
        <v>49.379268794645625</v>
      </c>
      <c r="G26" s="2">
        <v>59.018412855283152</v>
      </c>
      <c r="H26" s="2">
        <v>155.0658309338807</v>
      </c>
      <c r="I26" s="2">
        <v>79.482256641056694</v>
      </c>
      <c r="J26" s="2">
        <v>514.2161688027403</v>
      </c>
      <c r="K26" s="2">
        <v>0</v>
      </c>
      <c r="L26" s="2">
        <v>0</v>
      </c>
      <c r="M26" s="2">
        <f t="shared" si="0"/>
        <v>45.612740673059811</v>
      </c>
    </row>
    <row r="27" spans="1:13" x14ac:dyDescent="0.3">
      <c r="A27" s="1" t="s">
        <v>19</v>
      </c>
      <c r="B27" s="2">
        <v>144.97500187164326</v>
      </c>
      <c r="C27" s="2">
        <v>0.17165548585356102</v>
      </c>
      <c r="D27" s="2">
        <v>0</v>
      </c>
      <c r="E27" s="2">
        <v>0</v>
      </c>
      <c r="F27" s="2">
        <v>45.562875222337347</v>
      </c>
      <c r="G27" s="2">
        <v>59.018412855283152</v>
      </c>
      <c r="H27" s="2">
        <v>155.0658309338807</v>
      </c>
      <c r="I27" s="2">
        <v>79.482256641056694</v>
      </c>
      <c r="J27" s="2">
        <v>484.27603301005468</v>
      </c>
      <c r="K27" s="2">
        <v>0</v>
      </c>
      <c r="L27" s="2">
        <v>0</v>
      </c>
      <c r="M27" s="2">
        <f t="shared" si="0"/>
        <v>48.432726706933202</v>
      </c>
    </row>
    <row r="28" spans="1:13" x14ac:dyDescent="0.3">
      <c r="A28" s="1" t="s">
        <v>18</v>
      </c>
      <c r="B28" s="2">
        <v>144.26895478460602</v>
      </c>
      <c r="C28" s="2">
        <v>0.17165548585356102</v>
      </c>
      <c r="D28" s="2">
        <v>0</v>
      </c>
      <c r="E28" s="2">
        <v>0</v>
      </c>
      <c r="F28" s="2">
        <v>44.131727632721741</v>
      </c>
      <c r="G28" s="2">
        <v>59.018412855283152</v>
      </c>
      <c r="H28" s="2">
        <v>155.0658309338807</v>
      </c>
      <c r="I28" s="2">
        <v>79.482256641056694</v>
      </c>
      <c r="J28" s="2">
        <v>482.13883833340185</v>
      </c>
      <c r="K28" s="2">
        <v>0</v>
      </c>
      <c r="L28" s="2">
        <v>0</v>
      </c>
      <c r="M28" s="2">
        <f t="shared" si="0"/>
        <v>48.647416247505454</v>
      </c>
    </row>
    <row r="29" spans="1:13" x14ac:dyDescent="0.3">
      <c r="A29" s="1" t="s">
        <v>17</v>
      </c>
      <c r="B29" s="2">
        <v>168.27455574387162</v>
      </c>
      <c r="C29" s="2">
        <v>0.17165548585356102</v>
      </c>
      <c r="D29" s="2">
        <v>0</v>
      </c>
      <c r="E29" s="2">
        <v>0</v>
      </c>
      <c r="F29" s="2">
        <v>50.193058600505481</v>
      </c>
      <c r="G29" s="2">
        <v>59.018412855283152</v>
      </c>
      <c r="H29" s="2">
        <v>155.0658309338807</v>
      </c>
      <c r="I29" s="2">
        <v>79.482256641056694</v>
      </c>
      <c r="J29" s="2">
        <v>512.20577026045123</v>
      </c>
      <c r="K29" s="2">
        <v>0</v>
      </c>
      <c r="L29" s="2">
        <v>0</v>
      </c>
      <c r="M29" s="2">
        <f t="shared" si="0"/>
        <v>45.791769869299245</v>
      </c>
    </row>
    <row r="30" spans="1:13" x14ac:dyDescent="0.3">
      <c r="A30" s="1" t="s">
        <v>16</v>
      </c>
      <c r="B30" s="2">
        <v>209.6959848500554</v>
      </c>
      <c r="C30" s="2">
        <v>0.17165548585356102</v>
      </c>
      <c r="D30" s="2">
        <v>0</v>
      </c>
      <c r="E30" s="2">
        <v>0</v>
      </c>
      <c r="F30" s="2">
        <v>49.884379708627606</v>
      </c>
      <c r="G30" s="2">
        <v>59.018412855283152</v>
      </c>
      <c r="H30" s="2">
        <v>155.0658309338807</v>
      </c>
      <c r="I30" s="2">
        <v>79.482256641056694</v>
      </c>
      <c r="J30" s="2">
        <v>553.31852047475707</v>
      </c>
      <c r="K30" s="2">
        <v>0</v>
      </c>
      <c r="L30" s="2">
        <v>0</v>
      </c>
      <c r="M30" s="2">
        <f t="shared" si="0"/>
        <v>42.389343370196791</v>
      </c>
    </row>
    <row r="31" spans="1:13" x14ac:dyDescent="0.3">
      <c r="A31" s="1" t="s">
        <v>15</v>
      </c>
      <c r="B31" s="2">
        <v>242.40949988278012</v>
      </c>
      <c r="C31" s="2">
        <v>0.17165548585356102</v>
      </c>
      <c r="D31" s="2">
        <v>0</v>
      </c>
      <c r="E31" s="2">
        <v>0</v>
      </c>
      <c r="F31" s="2">
        <v>69.340503802748259</v>
      </c>
      <c r="G31" s="2">
        <v>59.018412855283152</v>
      </c>
      <c r="H31" s="2">
        <v>155.0658309338807</v>
      </c>
      <c r="I31" s="2">
        <v>79.482256641056694</v>
      </c>
      <c r="J31" s="2">
        <v>605.48815960160255</v>
      </c>
      <c r="K31" s="2">
        <v>0</v>
      </c>
      <c r="L31" s="2">
        <v>0</v>
      </c>
      <c r="M31" s="2">
        <f t="shared" si="0"/>
        <v>38.73702298807374</v>
      </c>
    </row>
    <row r="32" spans="1:13" x14ac:dyDescent="0.3">
      <c r="A32" s="1" t="s">
        <v>14</v>
      </c>
      <c r="B32" s="2">
        <v>294.42163529452222</v>
      </c>
      <c r="C32" s="2">
        <v>0.17165548585356102</v>
      </c>
      <c r="D32" s="2">
        <v>0</v>
      </c>
      <c r="E32" s="2">
        <v>0</v>
      </c>
      <c r="F32" s="2">
        <v>76.037900365916713</v>
      </c>
      <c r="G32" s="2">
        <v>59.018412855283152</v>
      </c>
      <c r="H32" s="2">
        <v>155.0658309338807</v>
      </c>
      <c r="I32" s="2">
        <v>79.482256641056694</v>
      </c>
      <c r="J32" s="2">
        <v>664.19769157651297</v>
      </c>
      <c r="K32" s="2">
        <v>0</v>
      </c>
      <c r="L32" s="2">
        <v>0</v>
      </c>
      <c r="M32" s="2">
        <f t="shared" si="0"/>
        <v>35.312993488162157</v>
      </c>
    </row>
    <row r="33" spans="1:21" x14ac:dyDescent="0.3">
      <c r="A33" s="1" t="s">
        <v>13</v>
      </c>
      <c r="B33" s="2">
        <v>363.14355176614532</v>
      </c>
      <c r="C33" s="2">
        <v>0.17165548585356102</v>
      </c>
      <c r="D33" s="2">
        <v>0</v>
      </c>
      <c r="E33" s="2">
        <v>0</v>
      </c>
      <c r="F33" s="2">
        <v>77.459694049717839</v>
      </c>
      <c r="G33" s="2">
        <v>59.018412855283152</v>
      </c>
      <c r="H33" s="2">
        <v>155.0658309338807</v>
      </c>
      <c r="I33" s="2">
        <v>79.482256641056694</v>
      </c>
      <c r="J33" s="2">
        <v>734.34140173193714</v>
      </c>
      <c r="K33" s="2">
        <v>0</v>
      </c>
      <c r="L33" s="2">
        <v>0</v>
      </c>
      <c r="M33" s="2">
        <f t="shared" si="0"/>
        <v>31.939924267072232</v>
      </c>
    </row>
    <row r="34" spans="1:21" x14ac:dyDescent="0.3">
      <c r="A34" s="1" t="s">
        <v>12</v>
      </c>
      <c r="B34" s="2">
        <v>537.53718226433955</v>
      </c>
      <c r="C34" s="2">
        <v>0.17165548585356102</v>
      </c>
      <c r="D34" s="2">
        <v>0</v>
      </c>
      <c r="E34" s="2">
        <v>0</v>
      </c>
      <c r="F34" s="2">
        <v>120.0480272230502</v>
      </c>
      <c r="G34" s="2">
        <v>59.018412855283152</v>
      </c>
      <c r="H34" s="2">
        <v>155.0658309338807</v>
      </c>
      <c r="I34" s="2">
        <v>79.482256641056694</v>
      </c>
      <c r="J34" s="2">
        <v>951.32336540346387</v>
      </c>
      <c r="K34" s="2">
        <v>0</v>
      </c>
      <c r="L34" s="2">
        <v>0</v>
      </c>
      <c r="M34" s="2">
        <f t="shared" si="0"/>
        <v>24.654927662316343</v>
      </c>
    </row>
    <row r="35" spans="1:21" x14ac:dyDescent="0.3">
      <c r="A35" s="1" t="s">
        <v>11</v>
      </c>
      <c r="B35" s="2">
        <v>730.7587350835264</v>
      </c>
      <c r="C35" s="2">
        <v>0.17165548585356102</v>
      </c>
      <c r="D35" s="2">
        <v>0</v>
      </c>
      <c r="E35" s="2">
        <v>0</v>
      </c>
      <c r="F35" s="2">
        <v>130.52440173526901</v>
      </c>
      <c r="G35" s="2">
        <v>59.018412855283152</v>
      </c>
      <c r="H35" s="2">
        <v>155.0658309338807</v>
      </c>
      <c r="I35" s="2">
        <v>79.482256641056694</v>
      </c>
      <c r="J35" s="2">
        <v>1155.0212927348693</v>
      </c>
      <c r="K35" s="2">
        <v>0</v>
      </c>
      <c r="L35" s="2">
        <v>0</v>
      </c>
      <c r="M35" s="2">
        <f t="shared" si="0"/>
        <v>20.306819367768746</v>
      </c>
    </row>
    <row r="36" spans="1:21" x14ac:dyDescent="0.3">
      <c r="A36" s="1" t="s">
        <v>10</v>
      </c>
      <c r="B36" s="2">
        <v>650.03401813227049</v>
      </c>
      <c r="C36" s="2">
        <v>0.17165548585356102</v>
      </c>
      <c r="D36" s="2">
        <v>0</v>
      </c>
      <c r="E36" s="2">
        <v>0</v>
      </c>
      <c r="F36" s="2">
        <v>164.86258998022907</v>
      </c>
      <c r="G36" s="2">
        <v>59.018412855283152</v>
      </c>
      <c r="H36" s="2">
        <v>155.0658309338807</v>
      </c>
      <c r="I36" s="2">
        <v>79.482256641056694</v>
      </c>
      <c r="J36" s="2">
        <v>1108.6347640285735</v>
      </c>
      <c r="K36" s="2">
        <v>0</v>
      </c>
      <c r="L36" s="2">
        <v>0</v>
      </c>
      <c r="M36" s="2">
        <f t="shared" si="0"/>
        <v>21.156479589601997</v>
      </c>
    </row>
    <row r="37" spans="1:21" x14ac:dyDescent="0.3">
      <c r="A37" s="1" t="s">
        <v>9</v>
      </c>
      <c r="B37" s="2">
        <v>895.03235733418705</v>
      </c>
      <c r="C37" s="2">
        <v>0.17165548585356102</v>
      </c>
      <c r="D37" s="2">
        <v>0</v>
      </c>
      <c r="E37" s="2">
        <v>0</v>
      </c>
      <c r="F37" s="2">
        <v>206.683902876774</v>
      </c>
      <c r="G37" s="2">
        <v>59.018412855283152</v>
      </c>
      <c r="H37" s="2">
        <v>155.0658309338807</v>
      </c>
      <c r="I37" s="2">
        <v>79.482256641056694</v>
      </c>
      <c r="J37" s="2">
        <v>1395.4544161270353</v>
      </c>
      <c r="K37" s="2">
        <v>0</v>
      </c>
      <c r="L37" s="2">
        <v>0</v>
      </c>
      <c r="M37" s="2">
        <f t="shared" si="0"/>
        <v>16.808007833455829</v>
      </c>
    </row>
    <row r="38" spans="1:21" x14ac:dyDescent="0.3">
      <c r="A38" s="1" t="s">
        <v>8</v>
      </c>
      <c r="B38" s="2">
        <v>665.0963559890647</v>
      </c>
      <c r="C38" s="2">
        <v>0.19820389786057363</v>
      </c>
      <c r="D38" s="2">
        <v>0</v>
      </c>
      <c r="E38" s="2">
        <v>0</v>
      </c>
      <c r="F38" s="2">
        <v>157.02401690769392</v>
      </c>
      <c r="G38" s="2">
        <v>68.146260606206184</v>
      </c>
      <c r="H38" s="2">
        <v>179.04847004018006</v>
      </c>
      <c r="I38" s="2">
        <v>91.77506328257607</v>
      </c>
      <c r="J38" s="2">
        <v>1161.2883707235815</v>
      </c>
      <c r="K38" s="2">
        <v>0</v>
      </c>
      <c r="L38" s="2">
        <v>0</v>
      </c>
      <c r="M38" s="2">
        <f t="shared" si="0"/>
        <v>23.320954566522527</v>
      </c>
    </row>
    <row r="39" spans="1:21" x14ac:dyDescent="0.3">
      <c r="A39" s="1" t="s">
        <v>7</v>
      </c>
      <c r="B39" s="2">
        <v>640.85540600078662</v>
      </c>
      <c r="C39" s="2">
        <v>0.19820389786057363</v>
      </c>
      <c r="D39" s="2">
        <v>0</v>
      </c>
      <c r="E39" s="2">
        <v>0</v>
      </c>
      <c r="F39" s="2">
        <v>120.45959907888736</v>
      </c>
      <c r="G39" s="2">
        <v>68.146260606206184</v>
      </c>
      <c r="H39" s="2">
        <v>179.04847004018006</v>
      </c>
      <c r="I39" s="2">
        <v>91.77506328257607</v>
      </c>
      <c r="J39" s="2">
        <v>1100.4830029064969</v>
      </c>
      <c r="K39" s="2">
        <v>0</v>
      </c>
      <c r="L39" s="2">
        <v>0</v>
      </c>
      <c r="M39" s="2">
        <f t="shared" si="0"/>
        <v>24.609515331675393</v>
      </c>
    </row>
    <row r="40" spans="1:21" x14ac:dyDescent="0.3">
      <c r="A40" s="1" t="s">
        <v>6</v>
      </c>
      <c r="B40" s="2">
        <v>997.64453398359706</v>
      </c>
      <c r="C40" s="2">
        <v>0.19820389786057363</v>
      </c>
      <c r="D40" s="2">
        <v>0</v>
      </c>
      <c r="E40" s="2">
        <v>0</v>
      </c>
      <c r="F40" s="2">
        <v>235.4939327853757</v>
      </c>
      <c r="G40" s="2">
        <v>68.146260606206184</v>
      </c>
      <c r="H40" s="2">
        <v>179.04847004018006</v>
      </c>
      <c r="I40" s="2">
        <v>91.77506328257607</v>
      </c>
      <c r="J40" s="2">
        <v>1572.3064645957957</v>
      </c>
      <c r="K40" s="2">
        <v>0</v>
      </c>
      <c r="L40" s="2">
        <v>0</v>
      </c>
      <c r="M40" s="2">
        <f t="shared" si="0"/>
        <v>17.224602163826805</v>
      </c>
    </row>
    <row r="41" spans="1:21" x14ac:dyDescent="0.3">
      <c r="A41" s="1" t="s">
        <v>5</v>
      </c>
      <c r="B41" s="2">
        <v>757.82387341995343</v>
      </c>
      <c r="C41" s="2">
        <v>0.19820389786057363</v>
      </c>
      <c r="D41" s="2">
        <v>0</v>
      </c>
      <c r="E41" s="2">
        <v>0</v>
      </c>
      <c r="F41" s="2">
        <v>155.27483652038595</v>
      </c>
      <c r="G41" s="2">
        <v>68.146260606206184</v>
      </c>
      <c r="H41" s="2">
        <v>179.04847004018006</v>
      </c>
      <c r="I41" s="2">
        <v>91.77506328257607</v>
      </c>
      <c r="J41" s="2">
        <v>1252.2667077671622</v>
      </c>
      <c r="K41" s="2">
        <v>0</v>
      </c>
      <c r="L41" s="2">
        <v>0</v>
      </c>
      <c r="M41" s="2">
        <f t="shared" si="0"/>
        <v>21.626665601103817</v>
      </c>
    </row>
    <row r="42" spans="1:21" x14ac:dyDescent="0.3">
      <c r="A42" s="1" t="s">
        <v>4</v>
      </c>
      <c r="B42" s="2">
        <v>686.51311762919386</v>
      </c>
      <c r="C42" s="2">
        <v>0.19820389786057363</v>
      </c>
      <c r="D42" s="2">
        <v>0</v>
      </c>
      <c r="E42" s="2">
        <v>0</v>
      </c>
      <c r="F42" s="2">
        <v>166.04118211285368</v>
      </c>
      <c r="G42" s="2">
        <v>68.146260606206184</v>
      </c>
      <c r="H42" s="2">
        <v>179.04847004018006</v>
      </c>
      <c r="I42" s="2">
        <v>91.77506328257607</v>
      </c>
      <c r="J42" s="2">
        <v>1191.7222975688705</v>
      </c>
      <c r="K42" s="2">
        <v>0</v>
      </c>
      <c r="L42" s="2">
        <v>0</v>
      </c>
      <c r="M42" s="2">
        <f t="shared" si="0"/>
        <v>22.725389453167047</v>
      </c>
    </row>
    <row r="43" spans="1:21" x14ac:dyDescent="0.3">
      <c r="A43" s="1" t="s">
        <v>3</v>
      </c>
      <c r="B43" s="2">
        <v>789.83134136564081</v>
      </c>
      <c r="C43" s="2">
        <v>0.19820389786057363</v>
      </c>
      <c r="D43" s="2">
        <v>0</v>
      </c>
      <c r="E43" s="2">
        <v>0</v>
      </c>
      <c r="F43" s="2">
        <v>204.08351706034824</v>
      </c>
      <c r="G43" s="2">
        <v>68.146260606206184</v>
      </c>
      <c r="H43" s="2">
        <v>179.04847004018006</v>
      </c>
      <c r="I43" s="2">
        <v>91.77506328257607</v>
      </c>
      <c r="J43" s="2">
        <v>1333.0828562528118</v>
      </c>
      <c r="K43" s="2">
        <v>0</v>
      </c>
      <c r="L43" s="2">
        <v>0</v>
      </c>
      <c r="M43" s="2">
        <f t="shared" si="0"/>
        <v>20.315581439852824</v>
      </c>
      <c r="T43" t="s">
        <v>61</v>
      </c>
      <c r="U43">
        <v>3.9582000000000002</v>
      </c>
    </row>
    <row r="44" spans="1:21" x14ac:dyDescent="0.3">
      <c r="A44" s="1" t="s">
        <v>2</v>
      </c>
      <c r="B44" s="2">
        <v>1208.0465659206895</v>
      </c>
      <c r="C44" s="2">
        <v>0.19820389786057363</v>
      </c>
      <c r="D44" s="2">
        <v>0</v>
      </c>
      <c r="E44" s="2">
        <v>0</v>
      </c>
      <c r="F44" s="2">
        <v>294.89123470733057</v>
      </c>
      <c r="G44" s="2">
        <v>68.146260606206184</v>
      </c>
      <c r="H44" s="2">
        <v>179.04847004018006</v>
      </c>
      <c r="I44" s="2">
        <v>91.77506328257607</v>
      </c>
      <c r="J44" s="2">
        <v>1842.1057984548429</v>
      </c>
      <c r="K44" s="2">
        <v>0</v>
      </c>
      <c r="L44" s="2">
        <v>0</v>
      </c>
      <c r="M44" s="2">
        <f t="shared" si="0"/>
        <v>14.70184467960107</v>
      </c>
      <c r="T44" t="s">
        <v>62</v>
      </c>
      <c r="U44">
        <v>1.0304</v>
      </c>
    </row>
    <row r="45" spans="1:21" x14ac:dyDescent="0.3">
      <c r="A45" s="1" t="s">
        <v>1</v>
      </c>
      <c r="B45" s="2">
        <v>1648.3845992029048</v>
      </c>
      <c r="C45" s="2">
        <v>0.19820389786057363</v>
      </c>
      <c r="D45" s="2">
        <v>0</v>
      </c>
      <c r="E45" s="2">
        <v>0</v>
      </c>
      <c r="F45" s="2">
        <v>439.02556940266959</v>
      </c>
      <c r="G45" s="2">
        <v>68.146260606206184</v>
      </c>
      <c r="H45" s="2">
        <v>179.04847004018006</v>
      </c>
      <c r="I45" s="2">
        <v>91.77506328257607</v>
      </c>
      <c r="J45" s="2">
        <v>2426.5781664323972</v>
      </c>
      <c r="K45" s="2">
        <v>0</v>
      </c>
      <c r="L45" s="2">
        <v>0</v>
      </c>
      <c r="M45" s="2">
        <f t="shared" si="0"/>
        <v>11.160717469115211</v>
      </c>
    </row>
    <row r="46" spans="1:21" x14ac:dyDescent="0.3">
      <c r="A46" s="1" t="s">
        <v>0</v>
      </c>
      <c r="B46" s="2">
        <v>1390.9127614633303</v>
      </c>
      <c r="C46" s="2">
        <v>0.19820389786057363</v>
      </c>
      <c r="D46" s="2">
        <v>0</v>
      </c>
      <c r="E46" s="2">
        <v>0</v>
      </c>
      <c r="F46" s="2">
        <v>336.90897962597961</v>
      </c>
      <c r="G46" s="2">
        <v>68.146260606206184</v>
      </c>
      <c r="H46" s="2">
        <v>179.04847004018006</v>
      </c>
      <c r="I46" s="2">
        <v>91.77506328257607</v>
      </c>
      <c r="J46" s="2">
        <v>2066.9897389161329</v>
      </c>
      <c r="K46" s="2">
        <v>0</v>
      </c>
      <c r="L46" s="2">
        <v>0</v>
      </c>
      <c r="M46" s="2">
        <f t="shared" si="0"/>
        <v>13.102316292327984</v>
      </c>
    </row>
    <row r="47" spans="1:21" x14ac:dyDescent="0.3">
      <c r="A47" s="1" t="s">
        <v>60</v>
      </c>
      <c r="B47" s="2">
        <v>918.3319112064155</v>
      </c>
      <c r="C47" s="4">
        <v>0.19820389786057363</v>
      </c>
      <c r="D47" s="4">
        <v>0</v>
      </c>
      <c r="E47" s="4">
        <v>0</v>
      </c>
      <c r="F47" s="4">
        <v>147.5859259408825</v>
      </c>
      <c r="G47" s="4">
        <v>68.146260606206184</v>
      </c>
      <c r="H47" s="4">
        <v>179.04847004018006</v>
      </c>
      <c r="I47" s="4">
        <v>91.77506328257607</v>
      </c>
      <c r="J47" s="4">
        <v>1405.0858349741211</v>
      </c>
      <c r="K47" s="2">
        <v>0</v>
      </c>
      <c r="L47" s="2">
        <v>0</v>
      </c>
      <c r="M47" s="2">
        <f t="shared" si="0"/>
        <v>19.274518793205552</v>
      </c>
    </row>
    <row r="48" spans="1:21" x14ac:dyDescent="0.3">
      <c r="A48" s="1" t="s">
        <v>59</v>
      </c>
      <c r="B48" s="2">
        <v>840.66673163232099</v>
      </c>
      <c r="C48" s="4">
        <v>0.19820389786057363</v>
      </c>
      <c r="D48" s="4">
        <v>0</v>
      </c>
      <c r="E48" s="4">
        <v>0</v>
      </c>
      <c r="F48" s="4">
        <v>164.11427751507057</v>
      </c>
      <c r="G48" s="4">
        <v>68.146260606206184</v>
      </c>
      <c r="H48" s="4">
        <v>179.04847004018006</v>
      </c>
      <c r="I48" s="4">
        <v>91.77506328257607</v>
      </c>
      <c r="J48" s="4">
        <v>1343.9490069742146</v>
      </c>
      <c r="K48" s="2">
        <v>0</v>
      </c>
      <c r="L48" s="2">
        <v>0</v>
      </c>
      <c r="M48" s="2">
        <f t="shared" si="0"/>
        <v>20.151325081335635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CBE1-920D-4003-A746-FC880D6399F0}">
  <sheetPr codeName="Sheet2"/>
  <dimension ref="A1:N48"/>
  <sheetViews>
    <sheetView workbookViewId="0">
      <selection sqref="A1:A1048576"/>
    </sheetView>
  </sheetViews>
  <sheetFormatPr defaultRowHeight="14.4" x14ac:dyDescent="0.3"/>
  <cols>
    <col min="1" max="1" width="8.88671875" style="1"/>
    <col min="2" max="3" width="4.6640625" style="1" bestFit="1" customWidth="1"/>
    <col min="4" max="4" width="5.6640625" style="1" bestFit="1" customWidth="1"/>
    <col min="5" max="5" width="7.6640625" style="1" bestFit="1" customWidth="1"/>
    <col min="6" max="6" width="6.6640625" style="1" bestFit="1" customWidth="1"/>
    <col min="7" max="7" width="4.6640625" style="1" bestFit="1" customWidth="1"/>
    <col min="8" max="8" width="6.6640625" style="1" bestFit="1" customWidth="1"/>
    <col min="9" max="9" width="5.6640625" style="1" bestFit="1" customWidth="1"/>
    <col min="10" max="10" width="7.6640625" style="1" bestFit="1" customWidth="1"/>
    <col min="11" max="12" width="6.6640625" bestFit="1" customWidth="1"/>
  </cols>
  <sheetData>
    <row r="1" spans="1:14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4" x14ac:dyDescent="0.3">
      <c r="A2" s="1" t="s">
        <v>44</v>
      </c>
      <c r="B2" s="2">
        <v>0</v>
      </c>
      <c r="C2" s="2">
        <v>0</v>
      </c>
      <c r="D2" s="2">
        <v>74.24905285387787</v>
      </c>
      <c r="E2" s="2">
        <v>1212.6512212189632</v>
      </c>
      <c r="F2" s="2">
        <v>23.217460197649618</v>
      </c>
      <c r="G2" s="2">
        <v>1.3444516845262378</v>
      </c>
      <c r="H2" s="2">
        <v>79.928126629624643</v>
      </c>
      <c r="I2" s="2">
        <v>49.134160574397185</v>
      </c>
      <c r="J2" s="2">
        <v>1440.5244731590387</v>
      </c>
      <c r="K2" s="2">
        <v>290.74871618054704</v>
      </c>
      <c r="L2" s="2">
        <v>281.05709230786238</v>
      </c>
      <c r="M2">
        <f>E2/J2*100</f>
        <v>84.18123008765312</v>
      </c>
      <c r="N2">
        <f>F2/J2*100</f>
        <v>1.6117366022067112</v>
      </c>
    </row>
    <row r="3" spans="1:14" x14ac:dyDescent="0.3">
      <c r="A3" s="1" t="s">
        <v>43</v>
      </c>
      <c r="B3" s="2">
        <v>0</v>
      </c>
      <c r="C3" s="2">
        <v>0</v>
      </c>
      <c r="D3" s="2">
        <v>74.24905285387787</v>
      </c>
      <c r="E3" s="2">
        <v>1212.6512212189632</v>
      </c>
      <c r="F3" s="2">
        <v>20.116160110531883</v>
      </c>
      <c r="G3" s="2">
        <v>1.3444516845262378</v>
      </c>
      <c r="H3" s="2">
        <v>79.928126629624643</v>
      </c>
      <c r="I3" s="2">
        <v>49.134160574397185</v>
      </c>
      <c r="J3" s="2">
        <v>1437.4231730719209</v>
      </c>
      <c r="K3" s="2">
        <v>290.74871618054726</v>
      </c>
      <c r="L3" s="2">
        <v>281.05709230786238</v>
      </c>
      <c r="M3">
        <f t="shared" ref="M3:M48" si="0">E3/J3*100</f>
        <v>84.362854581466294</v>
      </c>
      <c r="N3">
        <f t="shared" ref="N3:N48" si="1">F3/J3*100</f>
        <v>1.3994598450462978</v>
      </c>
    </row>
    <row r="4" spans="1:14" x14ac:dyDescent="0.3">
      <c r="A4" s="1" t="s">
        <v>42</v>
      </c>
      <c r="B4" s="2">
        <v>0</v>
      </c>
      <c r="C4" s="2">
        <v>0</v>
      </c>
      <c r="D4" s="2">
        <v>74.24905285387787</v>
      </c>
      <c r="E4" s="2">
        <v>1212.6512212189632</v>
      </c>
      <c r="F4" s="2">
        <v>14.383453888889999</v>
      </c>
      <c r="G4" s="2">
        <v>1.3444516845262378</v>
      </c>
      <c r="H4" s="2">
        <v>79.928126629624643</v>
      </c>
      <c r="I4" s="2">
        <v>49.134160574397185</v>
      </c>
      <c r="J4" s="2">
        <v>1431.6904668502791</v>
      </c>
      <c r="K4" s="2">
        <v>290.74871618054726</v>
      </c>
      <c r="L4" s="2">
        <v>281.05709230786238</v>
      </c>
      <c r="M4">
        <f t="shared" si="0"/>
        <v>84.700656272916135</v>
      </c>
      <c r="N4">
        <f t="shared" si="1"/>
        <v>1.0046482966764188</v>
      </c>
    </row>
    <row r="5" spans="1:14" x14ac:dyDescent="0.3">
      <c r="A5" s="1" t="s">
        <v>41</v>
      </c>
      <c r="B5" s="2">
        <v>0</v>
      </c>
      <c r="C5" s="2">
        <v>0</v>
      </c>
      <c r="D5" s="2">
        <v>74.24905285387787</v>
      </c>
      <c r="E5" s="2">
        <v>1212.6512212189632</v>
      </c>
      <c r="F5" s="2">
        <v>17.371979427385273</v>
      </c>
      <c r="G5" s="2">
        <v>1.3444516845262378</v>
      </c>
      <c r="H5" s="2">
        <v>79.928126629624643</v>
      </c>
      <c r="I5" s="2">
        <v>49.134160574397185</v>
      </c>
      <c r="J5" s="2">
        <v>1434.6789923887743</v>
      </c>
      <c r="K5" s="2">
        <v>290.74871618054726</v>
      </c>
      <c r="L5" s="2">
        <v>281.05709230786238</v>
      </c>
      <c r="M5">
        <f t="shared" si="0"/>
        <v>84.52421953986169</v>
      </c>
      <c r="N5">
        <f t="shared" si="1"/>
        <v>1.2108617690470618</v>
      </c>
    </row>
    <row r="6" spans="1:14" x14ac:dyDescent="0.3">
      <c r="A6" s="1" t="s">
        <v>40</v>
      </c>
      <c r="B6" s="2">
        <v>0</v>
      </c>
      <c r="C6" s="2">
        <v>0</v>
      </c>
      <c r="D6" s="2">
        <v>74.24905285387787</v>
      </c>
      <c r="E6" s="2">
        <v>1212.6512212189632</v>
      </c>
      <c r="F6" s="2">
        <v>17.776088226615769</v>
      </c>
      <c r="G6" s="2">
        <v>1.3444516845262378</v>
      </c>
      <c r="H6" s="2">
        <v>79.928126629624643</v>
      </c>
      <c r="I6" s="2">
        <v>49.134160574397185</v>
      </c>
      <c r="J6" s="2">
        <v>1435.0831011880048</v>
      </c>
      <c r="K6" s="2">
        <v>290.74871618054726</v>
      </c>
      <c r="L6" s="2">
        <v>281.05709230786238</v>
      </c>
      <c r="M6">
        <f t="shared" si="0"/>
        <v>84.500418144084762</v>
      </c>
      <c r="N6">
        <f t="shared" si="1"/>
        <v>1.2386800605414552</v>
      </c>
    </row>
    <row r="7" spans="1:14" x14ac:dyDescent="0.3">
      <c r="A7" s="1" t="s">
        <v>39</v>
      </c>
      <c r="B7" s="2">
        <v>0</v>
      </c>
      <c r="C7" s="2">
        <v>0</v>
      </c>
      <c r="D7" s="2">
        <v>74.24905285387787</v>
      </c>
      <c r="E7" s="2">
        <v>1212.6512212189632</v>
      </c>
      <c r="F7" s="2">
        <v>15.271553459291898</v>
      </c>
      <c r="G7" s="2">
        <v>1.3444516845262378</v>
      </c>
      <c r="H7" s="2">
        <v>79.928126629624643</v>
      </c>
      <c r="I7" s="2">
        <v>49.134160574397185</v>
      </c>
      <c r="J7" s="2">
        <v>1432.578566420681</v>
      </c>
      <c r="K7" s="2">
        <v>290.74871618054704</v>
      </c>
      <c r="L7" s="2">
        <v>281.05709230786238</v>
      </c>
      <c r="M7">
        <f t="shared" si="0"/>
        <v>84.648147727687316</v>
      </c>
      <c r="N7">
        <f t="shared" si="1"/>
        <v>1.0660185638158821</v>
      </c>
    </row>
    <row r="8" spans="1:14" x14ac:dyDescent="0.3">
      <c r="A8" s="1" t="s">
        <v>38</v>
      </c>
      <c r="B8" s="2">
        <v>0</v>
      </c>
      <c r="C8" s="2">
        <v>0</v>
      </c>
      <c r="D8" s="2">
        <v>74.24905285387787</v>
      </c>
      <c r="E8" s="2">
        <v>1212.6512212189632</v>
      </c>
      <c r="F8" s="2">
        <v>18.659488857491731</v>
      </c>
      <c r="G8" s="2">
        <v>1.3444516845262378</v>
      </c>
      <c r="H8" s="2">
        <v>79.928126629624643</v>
      </c>
      <c r="I8" s="2">
        <v>49.134160574397185</v>
      </c>
      <c r="J8" s="2">
        <v>1435.9665018188807</v>
      </c>
      <c r="K8" s="2">
        <v>290.74871618054704</v>
      </c>
      <c r="L8" s="2">
        <v>281.05709230786238</v>
      </c>
      <c r="M8">
        <f t="shared" si="0"/>
        <v>84.448433837624123</v>
      </c>
      <c r="N8">
        <f t="shared" si="1"/>
        <v>1.2994376145861697</v>
      </c>
    </row>
    <row r="9" spans="1:14" x14ac:dyDescent="0.3">
      <c r="A9" s="1" t="s">
        <v>37</v>
      </c>
      <c r="B9" s="2">
        <v>0</v>
      </c>
      <c r="C9" s="2">
        <v>0</v>
      </c>
      <c r="D9" s="2">
        <v>74.24905285387787</v>
      </c>
      <c r="E9" s="2">
        <v>1212.6512212189632</v>
      </c>
      <c r="F9" s="2">
        <v>17.301495334496234</v>
      </c>
      <c r="G9" s="2">
        <v>1.3444516845262378</v>
      </c>
      <c r="H9" s="2">
        <v>79.928126629624643</v>
      </c>
      <c r="I9" s="2">
        <v>49.134160574397185</v>
      </c>
      <c r="J9" s="2">
        <v>1434.6085082958853</v>
      </c>
      <c r="K9" s="2">
        <v>290.74871618054704</v>
      </c>
      <c r="L9" s="2">
        <v>281.05709230786238</v>
      </c>
      <c r="M9">
        <f t="shared" si="0"/>
        <v>84.528372319457631</v>
      </c>
      <c r="N9">
        <f t="shared" si="1"/>
        <v>1.2060081363275892</v>
      </c>
    </row>
    <row r="10" spans="1:14" x14ac:dyDescent="0.3">
      <c r="A10" s="1" t="s">
        <v>36</v>
      </c>
      <c r="B10" s="2">
        <v>0</v>
      </c>
      <c r="C10" s="2">
        <v>0</v>
      </c>
      <c r="D10" s="2">
        <v>74.24905285387787</v>
      </c>
      <c r="E10" s="2">
        <v>1212.6512212189632</v>
      </c>
      <c r="F10" s="2">
        <v>16.808106684272961</v>
      </c>
      <c r="G10" s="2">
        <v>1.3444516845262378</v>
      </c>
      <c r="H10" s="2">
        <v>79.928126629624643</v>
      </c>
      <c r="I10" s="2">
        <v>49.134160574397185</v>
      </c>
      <c r="J10" s="2">
        <v>1434.1151196456622</v>
      </c>
      <c r="K10" s="2">
        <v>290.74871618054704</v>
      </c>
      <c r="L10" s="2">
        <v>281.05709230786238</v>
      </c>
      <c r="M10">
        <f t="shared" si="0"/>
        <v>84.557453206307613</v>
      </c>
      <c r="N10">
        <f t="shared" si="1"/>
        <v>1.1720193486577193</v>
      </c>
    </row>
    <row r="11" spans="1:14" x14ac:dyDescent="0.3">
      <c r="A11" s="1" t="s">
        <v>35</v>
      </c>
      <c r="B11" s="2">
        <v>0</v>
      </c>
      <c r="C11" s="2">
        <v>0</v>
      </c>
      <c r="D11" s="2">
        <v>74.24905285387787</v>
      </c>
      <c r="E11" s="2">
        <v>1212.6512212189632</v>
      </c>
      <c r="F11" s="2">
        <v>17.362581548333406</v>
      </c>
      <c r="G11" s="2">
        <v>1.3444516845262378</v>
      </c>
      <c r="H11" s="2">
        <v>79.928126629624643</v>
      </c>
      <c r="I11" s="2">
        <v>49.134160574397185</v>
      </c>
      <c r="J11" s="2">
        <v>1434.6695945097224</v>
      </c>
      <c r="K11" s="2">
        <v>290.74871618054726</v>
      </c>
      <c r="L11" s="2">
        <v>281.05709230786238</v>
      </c>
      <c r="M11">
        <f t="shared" si="0"/>
        <v>84.524773220231879</v>
      </c>
      <c r="N11">
        <f t="shared" si="1"/>
        <v>1.21021464557258</v>
      </c>
    </row>
    <row r="12" spans="1:14" x14ac:dyDescent="0.3">
      <c r="A12" s="1" t="s">
        <v>34</v>
      </c>
      <c r="B12" s="2">
        <v>0</v>
      </c>
      <c r="C12" s="2">
        <v>0</v>
      </c>
      <c r="D12" s="2">
        <v>74.24905285387787</v>
      </c>
      <c r="E12" s="2">
        <v>1212.6512212189632</v>
      </c>
      <c r="F12" s="2">
        <v>19.265652056337469</v>
      </c>
      <c r="G12" s="2">
        <v>1.3444516845262378</v>
      </c>
      <c r="H12" s="2">
        <v>79.928126629624643</v>
      </c>
      <c r="I12" s="2">
        <v>49.134160574397185</v>
      </c>
      <c r="J12" s="2">
        <v>1436.5726650177266</v>
      </c>
      <c r="K12" s="2">
        <v>290.74871618054704</v>
      </c>
      <c r="L12" s="2">
        <v>281.05709230786238</v>
      </c>
      <c r="M12">
        <f t="shared" si="0"/>
        <v>84.412800740852163</v>
      </c>
      <c r="N12">
        <f t="shared" si="1"/>
        <v>1.3410844105195152</v>
      </c>
    </row>
    <row r="13" spans="1:14" x14ac:dyDescent="0.3">
      <c r="A13" s="1" t="s">
        <v>33</v>
      </c>
      <c r="B13" s="2">
        <v>0</v>
      </c>
      <c r="C13" s="2">
        <v>0</v>
      </c>
      <c r="D13" s="2">
        <v>74.24905285387787</v>
      </c>
      <c r="E13" s="2">
        <v>1212.6512212189632</v>
      </c>
      <c r="F13" s="2">
        <v>15.02250966441729</v>
      </c>
      <c r="G13" s="2">
        <v>1.3444516845262378</v>
      </c>
      <c r="H13" s="2">
        <v>79.928126629624643</v>
      </c>
      <c r="I13" s="2">
        <v>49.134160574397185</v>
      </c>
      <c r="J13" s="2">
        <v>1432.3295226258065</v>
      </c>
      <c r="K13" s="2">
        <v>290.74871618054704</v>
      </c>
      <c r="L13" s="2">
        <v>281.05709230786238</v>
      </c>
      <c r="M13">
        <f t="shared" si="0"/>
        <v>84.662865776576339</v>
      </c>
      <c r="N13">
        <f t="shared" si="1"/>
        <v>1.0488165905340969</v>
      </c>
    </row>
    <row r="14" spans="1:14" x14ac:dyDescent="0.3">
      <c r="A14" s="1" t="s">
        <v>32</v>
      </c>
      <c r="B14" s="2">
        <v>0</v>
      </c>
      <c r="C14" s="2">
        <v>0</v>
      </c>
      <c r="D14" s="2">
        <v>72.86795936046417</v>
      </c>
      <c r="E14" s="2">
        <v>993.16237220412108</v>
      </c>
      <c r="F14" s="2">
        <v>16.436890461724015</v>
      </c>
      <c r="G14" s="2">
        <v>1.3194437766494536</v>
      </c>
      <c r="H14" s="2">
        <v>78.441397689847278</v>
      </c>
      <c r="I14" s="2">
        <v>48.220224748075076</v>
      </c>
      <c r="J14" s="2">
        <v>1210.4482882408809</v>
      </c>
      <c r="K14" s="2">
        <v>96.916238726849087</v>
      </c>
      <c r="L14" s="2">
        <v>193.83247745369817</v>
      </c>
      <c r="M14">
        <f t="shared" si="0"/>
        <v>82.04913682413175</v>
      </c>
      <c r="N14">
        <f t="shared" si="1"/>
        <v>1.3579176096495129</v>
      </c>
    </row>
    <row r="15" spans="1:14" x14ac:dyDescent="0.3">
      <c r="A15" s="1" t="s">
        <v>31</v>
      </c>
      <c r="B15" s="2">
        <v>0</v>
      </c>
      <c r="C15" s="2">
        <v>0</v>
      </c>
      <c r="D15" s="2">
        <v>72.86795936046417</v>
      </c>
      <c r="E15" s="2">
        <v>993.16237220412108</v>
      </c>
      <c r="F15" s="2">
        <v>10.295376501325707</v>
      </c>
      <c r="G15" s="2">
        <v>1.3194437766494536</v>
      </c>
      <c r="H15" s="2">
        <v>78.441397689847278</v>
      </c>
      <c r="I15" s="2">
        <v>48.220224748075076</v>
      </c>
      <c r="J15" s="2">
        <v>1204.3067742804826</v>
      </c>
      <c r="K15" s="2">
        <v>96.916238726849087</v>
      </c>
      <c r="L15" s="2">
        <v>193.83247745369817</v>
      </c>
      <c r="M15">
        <f t="shared" si="0"/>
        <v>82.467556723451082</v>
      </c>
      <c r="N15">
        <f t="shared" si="1"/>
        <v>0.85487989615243321</v>
      </c>
    </row>
    <row r="16" spans="1:14" x14ac:dyDescent="0.3">
      <c r="A16" s="1" t="s">
        <v>30</v>
      </c>
      <c r="B16" s="2">
        <v>0</v>
      </c>
      <c r="C16" s="2">
        <v>0</v>
      </c>
      <c r="D16" s="2">
        <v>72.86795936046417</v>
      </c>
      <c r="E16" s="2">
        <v>993.16237220412108</v>
      </c>
      <c r="F16" s="2">
        <v>10.582011812407801</v>
      </c>
      <c r="G16" s="2">
        <v>1.3194437766494536</v>
      </c>
      <c r="H16" s="2">
        <v>78.441397689847278</v>
      </c>
      <c r="I16" s="2">
        <v>48.220224748075076</v>
      </c>
      <c r="J16" s="2">
        <v>1204.5934095915645</v>
      </c>
      <c r="K16" s="2">
        <v>96.91623872684886</v>
      </c>
      <c r="L16" s="2">
        <v>193.83247745369817</v>
      </c>
      <c r="M16">
        <f t="shared" si="0"/>
        <v>82.447933410234057</v>
      </c>
      <c r="N16">
        <f t="shared" si="1"/>
        <v>0.87847166754762429</v>
      </c>
    </row>
    <row r="17" spans="1:14" x14ac:dyDescent="0.3">
      <c r="A17" s="1" t="s">
        <v>29</v>
      </c>
      <c r="B17" s="2">
        <v>0</v>
      </c>
      <c r="C17" s="2">
        <v>0</v>
      </c>
      <c r="D17" s="2">
        <v>72.86795936046417</v>
      </c>
      <c r="E17" s="2">
        <v>993.16237220412108</v>
      </c>
      <c r="F17" s="2">
        <v>8.011691891720826</v>
      </c>
      <c r="G17" s="2">
        <v>1.3194437766494536</v>
      </c>
      <c r="H17" s="2">
        <v>78.441397689847278</v>
      </c>
      <c r="I17" s="2">
        <v>48.220224748075076</v>
      </c>
      <c r="J17" s="2">
        <v>1202.0230896708777</v>
      </c>
      <c r="K17" s="2">
        <v>96.91623872684886</v>
      </c>
      <c r="L17" s="2">
        <v>193.83247745369817</v>
      </c>
      <c r="M17">
        <f t="shared" si="0"/>
        <v>82.624234154774513</v>
      </c>
      <c r="N17">
        <f t="shared" si="1"/>
        <v>0.66651730408227716</v>
      </c>
    </row>
    <row r="18" spans="1:14" x14ac:dyDescent="0.3">
      <c r="A18" s="1" t="s">
        <v>28</v>
      </c>
      <c r="B18" s="2">
        <v>0</v>
      </c>
      <c r="C18" s="2">
        <v>0</v>
      </c>
      <c r="D18" s="2">
        <v>72.86795936046417</v>
      </c>
      <c r="E18" s="2">
        <v>993.16237220412108</v>
      </c>
      <c r="F18" s="2">
        <v>8.2701335656473045</v>
      </c>
      <c r="G18" s="2">
        <v>1.3194437766494536</v>
      </c>
      <c r="H18" s="2">
        <v>78.441397689847278</v>
      </c>
      <c r="I18" s="2">
        <v>48.220224748075076</v>
      </c>
      <c r="J18" s="2">
        <v>1202.2815313448041</v>
      </c>
      <c r="K18" s="2">
        <v>96.91623872684886</v>
      </c>
      <c r="L18" s="2">
        <v>193.83247745369817</v>
      </c>
      <c r="M18">
        <f t="shared" si="0"/>
        <v>82.606473301908395</v>
      </c>
      <c r="N18">
        <f t="shared" si="1"/>
        <v>0.68786996639604048</v>
      </c>
    </row>
    <row r="19" spans="1:14" x14ac:dyDescent="0.3">
      <c r="A19" s="1" t="s">
        <v>27</v>
      </c>
      <c r="B19" s="2">
        <v>0</v>
      </c>
      <c r="C19" s="2">
        <v>0</v>
      </c>
      <c r="D19" s="2">
        <v>72.86795936046417</v>
      </c>
      <c r="E19" s="2">
        <v>993.16237220412108</v>
      </c>
      <c r="F19" s="2">
        <v>12.325318376530046</v>
      </c>
      <c r="G19" s="2">
        <v>1.3194437766494536</v>
      </c>
      <c r="H19" s="2">
        <v>78.441397689847278</v>
      </c>
      <c r="I19" s="2">
        <v>48.220224748075076</v>
      </c>
      <c r="J19" s="2">
        <v>1206.3367161556869</v>
      </c>
      <c r="K19" s="2">
        <v>96.916238726849087</v>
      </c>
      <c r="L19" s="2">
        <v>193.83247745369817</v>
      </c>
      <c r="M19">
        <f t="shared" si="0"/>
        <v>82.32878589396644</v>
      </c>
      <c r="N19">
        <f t="shared" si="1"/>
        <v>1.0217146018574279</v>
      </c>
    </row>
    <row r="20" spans="1:14" x14ac:dyDescent="0.3">
      <c r="A20" s="1" t="s">
        <v>26</v>
      </c>
      <c r="B20" s="2">
        <v>0</v>
      </c>
      <c r="C20" s="2">
        <v>0</v>
      </c>
      <c r="D20" s="2">
        <v>72.86795936046417</v>
      </c>
      <c r="E20" s="2">
        <v>993.16237220412108</v>
      </c>
      <c r="F20" s="2">
        <v>14.129711154489458</v>
      </c>
      <c r="G20" s="2">
        <v>1.3194437766494536</v>
      </c>
      <c r="H20" s="2">
        <v>78.441397689847278</v>
      </c>
      <c r="I20" s="2">
        <v>48.220224748075076</v>
      </c>
      <c r="J20" s="2">
        <v>1208.1411089336464</v>
      </c>
      <c r="K20" s="2">
        <v>96.916238726849087</v>
      </c>
      <c r="L20" s="2">
        <v>193.83247745369817</v>
      </c>
      <c r="M20">
        <f t="shared" si="0"/>
        <v>82.20582553313875</v>
      </c>
      <c r="N20">
        <f t="shared" si="1"/>
        <v>1.1695414591893911</v>
      </c>
    </row>
    <row r="21" spans="1:14" x14ac:dyDescent="0.3">
      <c r="A21" s="1" t="s">
        <v>25</v>
      </c>
      <c r="B21" s="2">
        <v>0</v>
      </c>
      <c r="C21" s="2">
        <v>0</v>
      </c>
      <c r="D21" s="2">
        <v>72.86795936046417</v>
      </c>
      <c r="E21" s="2">
        <v>993.16237220412108</v>
      </c>
      <c r="F21" s="2">
        <v>16.394600005990593</v>
      </c>
      <c r="G21" s="2">
        <v>1.3194437766494536</v>
      </c>
      <c r="H21" s="2">
        <v>78.441397689847278</v>
      </c>
      <c r="I21" s="2">
        <v>48.220224748075076</v>
      </c>
      <c r="J21" s="2">
        <v>1210.4059977851475</v>
      </c>
      <c r="K21" s="2">
        <v>96.91623872684886</v>
      </c>
      <c r="L21" s="2">
        <v>193.83247745369817</v>
      </c>
      <c r="M21">
        <f t="shared" si="0"/>
        <v>82.052003544385272</v>
      </c>
      <c r="N21">
        <f t="shared" si="1"/>
        <v>1.3544711473662663</v>
      </c>
    </row>
    <row r="22" spans="1:14" x14ac:dyDescent="0.3">
      <c r="A22" s="1" t="s">
        <v>24</v>
      </c>
      <c r="B22" s="2">
        <v>0</v>
      </c>
      <c r="C22" s="2">
        <v>0</v>
      </c>
      <c r="D22" s="2">
        <v>72.86795936046417</v>
      </c>
      <c r="E22" s="2">
        <v>993.16237220412108</v>
      </c>
      <c r="F22" s="2">
        <v>20.524967849288309</v>
      </c>
      <c r="G22" s="2">
        <v>1.3194437766494536</v>
      </c>
      <c r="H22" s="2">
        <v>78.441397689847278</v>
      </c>
      <c r="I22" s="2">
        <v>48.220224748075076</v>
      </c>
      <c r="J22" s="2">
        <v>1214.5363656284451</v>
      </c>
      <c r="K22" s="2">
        <v>96.916238726849087</v>
      </c>
      <c r="L22" s="2">
        <v>193.83247745369817</v>
      </c>
      <c r="M22">
        <f t="shared" si="0"/>
        <v>81.772962943783327</v>
      </c>
      <c r="N22">
        <f t="shared" si="1"/>
        <v>1.6899426340904948</v>
      </c>
    </row>
    <row r="23" spans="1:14" x14ac:dyDescent="0.3">
      <c r="A23" s="1" t="s">
        <v>23</v>
      </c>
      <c r="B23" s="2">
        <v>0</v>
      </c>
      <c r="C23" s="2">
        <v>0</v>
      </c>
      <c r="D23" s="2">
        <v>72.86795936046417</v>
      </c>
      <c r="E23" s="2">
        <v>993.16237220412108</v>
      </c>
      <c r="F23" s="2">
        <v>15.957598630078548</v>
      </c>
      <c r="G23" s="2">
        <v>1.3194437766494536</v>
      </c>
      <c r="H23" s="2">
        <v>78.441397689847278</v>
      </c>
      <c r="I23" s="2">
        <v>48.220224748075076</v>
      </c>
      <c r="J23" s="2">
        <v>1209.9689964092354</v>
      </c>
      <c r="K23" s="2">
        <v>96.91623872684886</v>
      </c>
      <c r="L23" s="2">
        <v>193.83247745369817</v>
      </c>
      <c r="M23">
        <f t="shared" si="0"/>
        <v>82.081638054485651</v>
      </c>
      <c r="N23">
        <f t="shared" si="1"/>
        <v>1.3188435966074434</v>
      </c>
    </row>
    <row r="24" spans="1:14" x14ac:dyDescent="0.3">
      <c r="A24" s="1" t="s">
        <v>22</v>
      </c>
      <c r="B24" s="2">
        <v>0</v>
      </c>
      <c r="C24" s="2">
        <v>0</v>
      </c>
      <c r="D24" s="2">
        <v>72.86795936046417</v>
      </c>
      <c r="E24" s="2">
        <v>993.16237220412108</v>
      </c>
      <c r="F24" s="2">
        <v>18.231885360631555</v>
      </c>
      <c r="G24" s="2">
        <v>1.3194437766494536</v>
      </c>
      <c r="H24" s="2">
        <v>78.441397689847278</v>
      </c>
      <c r="I24" s="2">
        <v>48.220224748075076</v>
      </c>
      <c r="J24" s="2">
        <v>1212.2432831397884</v>
      </c>
      <c r="K24" s="2">
        <v>96.916238726849087</v>
      </c>
      <c r="L24" s="2">
        <v>193.83247745369817</v>
      </c>
      <c r="M24">
        <f t="shared" si="0"/>
        <v>81.92764488921452</v>
      </c>
      <c r="N24">
        <f t="shared" si="1"/>
        <v>1.5039790786392144</v>
      </c>
    </row>
    <row r="25" spans="1:14" x14ac:dyDescent="0.3">
      <c r="A25" s="1" t="s">
        <v>21</v>
      </c>
      <c r="B25" s="2">
        <v>0</v>
      </c>
      <c r="C25" s="2">
        <v>0</v>
      </c>
      <c r="D25" s="2">
        <v>72.86795936046417</v>
      </c>
      <c r="E25" s="2">
        <v>993.16237220412108</v>
      </c>
      <c r="F25" s="2">
        <v>20.463881635451141</v>
      </c>
      <c r="G25" s="2">
        <v>1.3194437766494536</v>
      </c>
      <c r="H25" s="2">
        <v>78.441397689847278</v>
      </c>
      <c r="I25" s="2">
        <v>48.220224748075076</v>
      </c>
      <c r="J25" s="2">
        <v>1214.4752794146079</v>
      </c>
      <c r="K25" s="2">
        <v>96.91623872684886</v>
      </c>
      <c r="L25" s="2">
        <v>193.83247745369817</v>
      </c>
      <c r="M25">
        <f t="shared" si="0"/>
        <v>81.777075996379082</v>
      </c>
      <c r="N25">
        <f t="shared" si="1"/>
        <v>1.6849977914177872</v>
      </c>
    </row>
    <row r="26" spans="1:14" x14ac:dyDescent="0.3">
      <c r="A26" s="1" t="s">
        <v>20</v>
      </c>
      <c r="B26" s="2">
        <v>0</v>
      </c>
      <c r="C26" s="2">
        <v>0</v>
      </c>
      <c r="D26" s="2">
        <v>86.53222949884038</v>
      </c>
      <c r="E26" s="2">
        <v>947.8055724799558</v>
      </c>
      <c r="F26" s="2">
        <v>24.805701757415978</v>
      </c>
      <c r="G26" s="2">
        <v>1.5668671483861338</v>
      </c>
      <c r="H26" s="2">
        <v>93.150804368352667</v>
      </c>
      <c r="I26" s="2">
        <v>57.262527879297458</v>
      </c>
      <c r="J26" s="2">
        <v>1211.1237031322487</v>
      </c>
      <c r="K26" s="2">
        <v>155.0659819629584</v>
      </c>
      <c r="L26" s="2">
        <v>164.75760583564329</v>
      </c>
      <c r="M26">
        <f t="shared" si="0"/>
        <v>78.258362050772291</v>
      </c>
      <c r="N26">
        <f t="shared" si="1"/>
        <v>2.0481559144836026</v>
      </c>
    </row>
    <row r="27" spans="1:14" x14ac:dyDescent="0.3">
      <c r="A27" s="1" t="s">
        <v>19</v>
      </c>
      <c r="B27" s="2">
        <v>0</v>
      </c>
      <c r="C27" s="2">
        <v>0</v>
      </c>
      <c r="D27" s="2">
        <v>86.53222949884038</v>
      </c>
      <c r="E27" s="2">
        <v>947.8055724799558</v>
      </c>
      <c r="F27" s="2">
        <v>22.888534430834103</v>
      </c>
      <c r="G27" s="2">
        <v>1.5668671483861338</v>
      </c>
      <c r="H27" s="2">
        <v>93.150804368352667</v>
      </c>
      <c r="I27" s="2">
        <v>57.262527879297458</v>
      </c>
      <c r="J27" s="2">
        <v>1209.2065358056668</v>
      </c>
      <c r="K27" s="2">
        <v>155.0659819629584</v>
      </c>
      <c r="L27" s="2">
        <v>164.75760583564329</v>
      </c>
      <c r="M27">
        <f t="shared" si="0"/>
        <v>78.382438765802277</v>
      </c>
      <c r="N27">
        <f t="shared" si="1"/>
        <v>1.8928556663468572</v>
      </c>
    </row>
    <row r="28" spans="1:14" x14ac:dyDescent="0.3">
      <c r="A28" s="1" t="s">
        <v>18</v>
      </c>
      <c r="B28" s="2">
        <v>0</v>
      </c>
      <c r="C28" s="2">
        <v>0</v>
      </c>
      <c r="D28" s="2">
        <v>86.53222949884038</v>
      </c>
      <c r="E28" s="2">
        <v>947.8055724799558</v>
      </c>
      <c r="F28" s="2">
        <v>22.169596683365899</v>
      </c>
      <c r="G28" s="2">
        <v>1.5668671483861338</v>
      </c>
      <c r="H28" s="2">
        <v>93.150804368352667</v>
      </c>
      <c r="I28" s="2">
        <v>57.262527879297458</v>
      </c>
      <c r="J28" s="2">
        <v>1208.4875980581985</v>
      </c>
      <c r="K28" s="2">
        <v>155.0659819629584</v>
      </c>
      <c r="L28" s="2">
        <v>164.75760583564329</v>
      </c>
      <c r="M28">
        <f t="shared" si="0"/>
        <v>78.429069028336968</v>
      </c>
      <c r="N28">
        <f t="shared" si="1"/>
        <v>1.8344910381362682</v>
      </c>
    </row>
    <row r="29" spans="1:14" x14ac:dyDescent="0.3">
      <c r="A29" s="1" t="s">
        <v>17</v>
      </c>
      <c r="B29" s="2">
        <v>0</v>
      </c>
      <c r="C29" s="2">
        <v>0</v>
      </c>
      <c r="D29" s="2">
        <v>86.53222949884038</v>
      </c>
      <c r="E29" s="2">
        <v>947.8055724799558</v>
      </c>
      <c r="F29" s="2">
        <v>25.214509496172404</v>
      </c>
      <c r="G29" s="2">
        <v>1.5668671483861338</v>
      </c>
      <c r="H29" s="2">
        <v>93.150804368352667</v>
      </c>
      <c r="I29" s="2">
        <v>57.262527879297458</v>
      </c>
      <c r="J29" s="2">
        <v>1211.5325108710051</v>
      </c>
      <c r="K29" s="2">
        <v>155.0659819629584</v>
      </c>
      <c r="L29" s="2">
        <v>164.75760583564329</v>
      </c>
      <c r="M29">
        <f t="shared" si="0"/>
        <v>78.231955310761862</v>
      </c>
      <c r="N29">
        <f t="shared" si="1"/>
        <v>2.0812078313973577</v>
      </c>
    </row>
    <row r="30" spans="1:14" x14ac:dyDescent="0.3">
      <c r="A30" s="1" t="s">
        <v>16</v>
      </c>
      <c r="B30" s="2">
        <v>0</v>
      </c>
      <c r="C30" s="2">
        <v>0</v>
      </c>
      <c r="D30" s="2">
        <v>86.53222949884038</v>
      </c>
      <c r="E30" s="2">
        <v>947.8055724799558</v>
      </c>
      <c r="F30" s="2">
        <v>25.059444491816517</v>
      </c>
      <c r="G30" s="2">
        <v>1.5668671483861338</v>
      </c>
      <c r="H30" s="2">
        <v>93.150804368352667</v>
      </c>
      <c r="I30" s="2">
        <v>57.262527879297458</v>
      </c>
      <c r="J30" s="2">
        <v>1211.3774458666492</v>
      </c>
      <c r="K30" s="2">
        <v>155.0659819629584</v>
      </c>
      <c r="L30" s="2">
        <v>164.75760583564329</v>
      </c>
      <c r="M30">
        <f t="shared" si="0"/>
        <v>78.241969562333438</v>
      </c>
      <c r="N30">
        <f t="shared" si="1"/>
        <v>2.0686735234605904</v>
      </c>
    </row>
    <row r="31" spans="1:14" x14ac:dyDescent="0.3">
      <c r="A31" s="1" t="s">
        <v>15</v>
      </c>
      <c r="B31" s="2">
        <v>0</v>
      </c>
      <c r="C31" s="2">
        <v>0</v>
      </c>
      <c r="D31" s="2">
        <v>86.53222949884038</v>
      </c>
      <c r="E31" s="2">
        <v>947.8055724799558</v>
      </c>
      <c r="F31" s="2">
        <v>34.833238705763328</v>
      </c>
      <c r="G31" s="2">
        <v>1.5668671483861338</v>
      </c>
      <c r="H31" s="2">
        <v>93.150804368352667</v>
      </c>
      <c r="I31" s="2">
        <v>57.262527879297458</v>
      </c>
      <c r="J31" s="2">
        <v>1221.1512400805959</v>
      </c>
      <c r="K31" s="2">
        <v>155.0659819629584</v>
      </c>
      <c r="L31" s="2">
        <v>164.75760583564329</v>
      </c>
      <c r="M31">
        <f t="shared" si="0"/>
        <v>77.615740079615421</v>
      </c>
      <c r="N31">
        <f t="shared" si="1"/>
        <v>2.8524917768141753</v>
      </c>
    </row>
    <row r="32" spans="1:14" x14ac:dyDescent="0.3">
      <c r="A32" s="1" t="s">
        <v>14</v>
      </c>
      <c r="B32" s="2">
        <v>0</v>
      </c>
      <c r="C32" s="2">
        <v>0</v>
      </c>
      <c r="D32" s="2">
        <v>86.53222949884038</v>
      </c>
      <c r="E32" s="2">
        <v>947.8055724799558</v>
      </c>
      <c r="F32" s="2">
        <v>38.197679406333492</v>
      </c>
      <c r="G32" s="2">
        <v>1.5668671483861338</v>
      </c>
      <c r="H32" s="2">
        <v>93.150804368352667</v>
      </c>
      <c r="I32" s="2">
        <v>57.262527879297458</v>
      </c>
      <c r="J32" s="2">
        <v>1224.5156807811661</v>
      </c>
      <c r="K32" s="2">
        <v>155.0659819629584</v>
      </c>
      <c r="L32" s="2">
        <v>164.75760583564329</v>
      </c>
      <c r="M32">
        <f t="shared" si="0"/>
        <v>77.402485517810092</v>
      </c>
      <c r="N32">
        <f t="shared" si="1"/>
        <v>3.1194112093334492</v>
      </c>
    </row>
    <row r="33" spans="1:14" x14ac:dyDescent="0.3">
      <c r="A33" s="1" t="s">
        <v>13</v>
      </c>
      <c r="B33" s="2">
        <v>0</v>
      </c>
      <c r="C33" s="2">
        <v>0</v>
      </c>
      <c r="D33" s="2">
        <v>86.53222949884038</v>
      </c>
      <c r="E33" s="2">
        <v>947.8055724799558</v>
      </c>
      <c r="F33" s="2">
        <v>38.911918214275758</v>
      </c>
      <c r="G33" s="2">
        <v>1.5668671483861338</v>
      </c>
      <c r="H33" s="2">
        <v>93.150804368352667</v>
      </c>
      <c r="I33" s="2">
        <v>57.262527879297458</v>
      </c>
      <c r="J33" s="2">
        <v>1225.2299195891085</v>
      </c>
      <c r="K33" s="2">
        <v>155.0659819629584</v>
      </c>
      <c r="L33" s="2">
        <v>164.75760583564329</v>
      </c>
      <c r="M33">
        <f t="shared" si="0"/>
        <v>77.357364305779498</v>
      </c>
      <c r="N33">
        <f t="shared" si="1"/>
        <v>3.1758870390077654</v>
      </c>
    </row>
    <row r="34" spans="1:14" x14ac:dyDescent="0.3">
      <c r="A34" s="1" t="s">
        <v>12</v>
      </c>
      <c r="B34" s="2">
        <v>0</v>
      </c>
      <c r="C34" s="2">
        <v>0</v>
      </c>
      <c r="D34" s="2">
        <v>86.53222949884038</v>
      </c>
      <c r="E34" s="2">
        <v>947.8055724799558</v>
      </c>
      <c r="F34" s="2">
        <v>60.306189875862223</v>
      </c>
      <c r="G34" s="2">
        <v>1.5668671483861338</v>
      </c>
      <c r="H34" s="2">
        <v>93.150804368352667</v>
      </c>
      <c r="I34" s="2">
        <v>57.262527879297458</v>
      </c>
      <c r="J34" s="2">
        <v>1246.6241912506948</v>
      </c>
      <c r="K34" s="2">
        <v>155.0659819629584</v>
      </c>
      <c r="L34" s="2">
        <v>164.75760583564329</v>
      </c>
      <c r="M34">
        <f t="shared" si="0"/>
        <v>76.029775383153392</v>
      </c>
      <c r="N34">
        <f t="shared" si="1"/>
        <v>4.8375597312417877</v>
      </c>
    </row>
    <row r="35" spans="1:14" x14ac:dyDescent="0.3">
      <c r="A35" s="1" t="s">
        <v>11</v>
      </c>
      <c r="B35" s="2">
        <v>0</v>
      </c>
      <c r="C35" s="2">
        <v>0</v>
      </c>
      <c r="D35" s="2">
        <v>86.53222949884038</v>
      </c>
      <c r="E35" s="2">
        <v>947.8055724799558</v>
      </c>
      <c r="F35" s="2">
        <v>65.569002144910499</v>
      </c>
      <c r="G35" s="2">
        <v>1.5668671483861338</v>
      </c>
      <c r="H35" s="2">
        <v>93.150804368352667</v>
      </c>
      <c r="I35" s="2">
        <v>57.262527879297458</v>
      </c>
      <c r="J35" s="2">
        <v>1251.8870035197431</v>
      </c>
      <c r="K35" s="2">
        <v>155.0659819629584</v>
      </c>
      <c r="L35" s="2">
        <v>164.75760583564329</v>
      </c>
      <c r="M35">
        <f t="shared" si="0"/>
        <v>75.71015353743212</v>
      </c>
      <c r="N35">
        <f t="shared" si="1"/>
        <v>5.2376134555722658</v>
      </c>
    </row>
    <row r="36" spans="1:14" x14ac:dyDescent="0.3">
      <c r="A36" s="1" t="s">
        <v>10</v>
      </c>
      <c r="B36" s="2">
        <v>0</v>
      </c>
      <c r="C36" s="2">
        <v>0</v>
      </c>
      <c r="D36" s="2">
        <v>86.53222949884038</v>
      </c>
      <c r="E36" s="2">
        <v>947.8055724799558</v>
      </c>
      <c r="F36" s="2">
        <v>82.81880914462144</v>
      </c>
      <c r="G36" s="2">
        <v>1.5668671483861338</v>
      </c>
      <c r="H36" s="2">
        <v>93.150804368352667</v>
      </c>
      <c r="I36" s="2">
        <v>57.262527879297458</v>
      </c>
      <c r="J36" s="2">
        <v>1269.136810519454</v>
      </c>
      <c r="K36" s="2">
        <v>155.0659819629584</v>
      </c>
      <c r="L36" s="2">
        <v>164.75760583564329</v>
      </c>
      <c r="M36">
        <f t="shared" si="0"/>
        <v>74.681119058553008</v>
      </c>
      <c r="N36">
        <f t="shared" si="1"/>
        <v>6.525601373954629</v>
      </c>
    </row>
    <row r="37" spans="1:14" x14ac:dyDescent="0.3">
      <c r="A37" s="1" t="s">
        <v>9</v>
      </c>
      <c r="B37" s="2">
        <v>0</v>
      </c>
      <c r="C37" s="2">
        <v>0</v>
      </c>
      <c r="D37" s="2">
        <v>86.53222949884038</v>
      </c>
      <c r="E37" s="2">
        <v>947.8055724799558</v>
      </c>
      <c r="F37" s="2">
        <v>103.82776776508116</v>
      </c>
      <c r="G37" s="2">
        <v>1.5668671483861338</v>
      </c>
      <c r="H37" s="2">
        <v>93.150804368352667</v>
      </c>
      <c r="I37" s="2">
        <v>57.262527879297458</v>
      </c>
      <c r="J37" s="2">
        <v>1290.1457691399139</v>
      </c>
      <c r="K37" s="2">
        <v>155.0659819629584</v>
      </c>
      <c r="L37" s="2">
        <v>164.75760583564329</v>
      </c>
      <c r="M37">
        <f t="shared" si="0"/>
        <v>73.464998696373513</v>
      </c>
      <c r="N37">
        <f t="shared" si="1"/>
        <v>8.0477547769116651</v>
      </c>
    </row>
    <row r="38" spans="1:14" x14ac:dyDescent="0.3">
      <c r="A38" s="1" t="s">
        <v>8</v>
      </c>
      <c r="B38" s="2">
        <v>0</v>
      </c>
      <c r="C38" s="2">
        <v>0</v>
      </c>
      <c r="D38" s="2">
        <v>99.91539211200849</v>
      </c>
      <c r="E38" s="2">
        <v>1094.3941461897796</v>
      </c>
      <c r="F38" s="2">
        <v>78.88109782188711</v>
      </c>
      <c r="G38" s="2">
        <v>1.809200414979752</v>
      </c>
      <c r="H38" s="2">
        <v>107.55760250159366</v>
      </c>
      <c r="I38" s="2">
        <v>66.118808674188799</v>
      </c>
      <c r="J38" s="2">
        <v>1448.6762477144375</v>
      </c>
      <c r="K38" s="2">
        <v>179.04864442756889</v>
      </c>
      <c r="L38" s="2">
        <v>190.23918470429157</v>
      </c>
      <c r="M38">
        <f t="shared" si="0"/>
        <v>75.544425327356251</v>
      </c>
      <c r="N38">
        <f t="shared" si="1"/>
        <v>5.4450466725285969</v>
      </c>
    </row>
    <row r="39" spans="1:14" x14ac:dyDescent="0.3">
      <c r="A39" s="1" t="s">
        <v>7</v>
      </c>
      <c r="B39" s="2">
        <v>0</v>
      </c>
      <c r="C39" s="2">
        <v>0</v>
      </c>
      <c r="D39" s="2">
        <v>99.91539211200849</v>
      </c>
      <c r="E39" s="2">
        <v>1094.3941461897796</v>
      </c>
      <c r="F39" s="2">
        <v>60.512943215003403</v>
      </c>
      <c r="G39" s="2">
        <v>1.809200414979752</v>
      </c>
      <c r="H39" s="2">
        <v>107.55760250159366</v>
      </c>
      <c r="I39" s="2">
        <v>66.118808674188799</v>
      </c>
      <c r="J39" s="2">
        <v>1430.3080931075538</v>
      </c>
      <c r="K39" s="2">
        <v>179.04864442756889</v>
      </c>
      <c r="L39" s="2">
        <v>190.23918470429157</v>
      </c>
      <c r="M39">
        <f t="shared" si="0"/>
        <v>76.514574130112635</v>
      </c>
      <c r="N39">
        <f t="shared" si="1"/>
        <v>4.2307628340080328</v>
      </c>
    </row>
    <row r="40" spans="1:14" x14ac:dyDescent="0.3">
      <c r="A40" s="1" t="s">
        <v>6</v>
      </c>
      <c r="B40" s="2">
        <v>0</v>
      </c>
      <c r="C40" s="2">
        <v>0</v>
      </c>
      <c r="D40" s="2">
        <v>99.91539211200849</v>
      </c>
      <c r="E40" s="2">
        <v>1094.3941461897796</v>
      </c>
      <c r="F40" s="2">
        <v>118.30050150496393</v>
      </c>
      <c r="G40" s="2">
        <v>1.809200414979752</v>
      </c>
      <c r="H40" s="2">
        <v>107.55760250159366</v>
      </c>
      <c r="I40" s="2">
        <v>66.118808674188799</v>
      </c>
      <c r="J40" s="2">
        <v>1488.0956513975143</v>
      </c>
      <c r="K40" s="2">
        <v>179.04864442756889</v>
      </c>
      <c r="L40" s="2">
        <v>190.23918470429157</v>
      </c>
      <c r="M40">
        <f t="shared" si="0"/>
        <v>73.543266198110445</v>
      </c>
      <c r="N40">
        <f t="shared" si="1"/>
        <v>7.9497914931654066</v>
      </c>
    </row>
    <row r="41" spans="1:14" x14ac:dyDescent="0.3">
      <c r="A41" s="1" t="s">
        <v>5</v>
      </c>
      <c r="B41" s="2">
        <v>0</v>
      </c>
      <c r="C41" s="2">
        <v>0</v>
      </c>
      <c r="D41" s="2">
        <v>99.91539211200849</v>
      </c>
      <c r="E41" s="2">
        <v>1094.3941461897796</v>
      </c>
      <c r="F41" s="2">
        <v>78.002396130537079</v>
      </c>
      <c r="G41" s="2">
        <v>1.809200414979752</v>
      </c>
      <c r="H41" s="2">
        <v>107.55760250159366</v>
      </c>
      <c r="I41" s="2">
        <v>66.118808674188799</v>
      </c>
      <c r="J41" s="2">
        <v>1447.7975460230875</v>
      </c>
      <c r="K41" s="2">
        <v>179.04864442756866</v>
      </c>
      <c r="L41" s="2">
        <v>190.23918470429157</v>
      </c>
      <c r="M41">
        <f t="shared" si="0"/>
        <v>75.590274979809067</v>
      </c>
      <c r="N41">
        <f t="shared" si="1"/>
        <v>5.3876590925851175</v>
      </c>
    </row>
    <row r="42" spans="1:14" x14ac:dyDescent="0.3">
      <c r="A42" s="1" t="s">
        <v>4</v>
      </c>
      <c r="B42" s="2">
        <v>0</v>
      </c>
      <c r="C42" s="2">
        <v>0</v>
      </c>
      <c r="D42" s="2">
        <v>99.91539211200849</v>
      </c>
      <c r="E42" s="2">
        <v>1094.3941461897796</v>
      </c>
      <c r="F42" s="2">
        <v>83.410875524889377</v>
      </c>
      <c r="G42" s="2">
        <v>1.809200414979752</v>
      </c>
      <c r="H42" s="2">
        <v>107.55760250159366</v>
      </c>
      <c r="I42" s="2">
        <v>66.118808674188799</v>
      </c>
      <c r="J42" s="2">
        <v>1453.2060254174398</v>
      </c>
      <c r="K42" s="2">
        <v>179.04864442756889</v>
      </c>
      <c r="L42" s="2">
        <v>190.23918470429157</v>
      </c>
      <c r="M42">
        <f t="shared" si="0"/>
        <v>75.308946360541682</v>
      </c>
      <c r="N42">
        <f t="shared" si="1"/>
        <v>5.7397832149043859</v>
      </c>
    </row>
    <row r="43" spans="1:14" x14ac:dyDescent="0.3">
      <c r="A43" s="1" t="s">
        <v>3</v>
      </c>
      <c r="B43" s="2">
        <v>0</v>
      </c>
      <c r="C43" s="2">
        <v>0</v>
      </c>
      <c r="D43" s="2">
        <v>99.91539211200849</v>
      </c>
      <c r="E43" s="2">
        <v>1094.3941461897796</v>
      </c>
      <c r="F43" s="2">
        <v>102.52146257687096</v>
      </c>
      <c r="G43" s="2">
        <v>1.809200414979752</v>
      </c>
      <c r="H43" s="2">
        <v>107.55760250159366</v>
      </c>
      <c r="I43" s="2">
        <v>66.118808674188799</v>
      </c>
      <c r="J43" s="2">
        <v>1472.3166124694214</v>
      </c>
      <c r="K43" s="2">
        <v>179.04864442756866</v>
      </c>
      <c r="L43" s="2">
        <v>190.23918470429157</v>
      </c>
      <c r="M43">
        <f t="shared" si="0"/>
        <v>74.331440460637268</v>
      </c>
      <c r="N43">
        <f t="shared" si="1"/>
        <v>6.9632755419989687</v>
      </c>
    </row>
    <row r="44" spans="1:14" x14ac:dyDescent="0.3">
      <c r="A44" s="1" t="s">
        <v>2</v>
      </c>
      <c r="B44" s="2">
        <v>0</v>
      </c>
      <c r="C44" s="2">
        <v>0</v>
      </c>
      <c r="D44" s="2">
        <v>99.91539211200849</v>
      </c>
      <c r="E44" s="2">
        <v>1094.3941461897796</v>
      </c>
      <c r="F44" s="2">
        <v>148.13876749465734</v>
      </c>
      <c r="G44" s="2">
        <v>1.809200414979752</v>
      </c>
      <c r="H44" s="2">
        <v>107.55760250159366</v>
      </c>
      <c r="I44" s="2">
        <v>66.118808674188799</v>
      </c>
      <c r="J44" s="2">
        <v>1517.9339173872077</v>
      </c>
      <c r="K44" s="2">
        <v>179.04864442756889</v>
      </c>
      <c r="L44" s="2">
        <v>190.23918470429157</v>
      </c>
      <c r="M44">
        <f t="shared" si="0"/>
        <v>72.097614636185241</v>
      </c>
      <c r="N44">
        <f t="shared" si="1"/>
        <v>9.7592369336898361</v>
      </c>
    </row>
    <row r="45" spans="1:14" x14ac:dyDescent="0.3">
      <c r="A45" s="1" t="s">
        <v>1</v>
      </c>
      <c r="B45" s="2">
        <v>0</v>
      </c>
      <c r="C45" s="2">
        <v>0</v>
      </c>
      <c r="D45" s="2">
        <v>99.91539211200849</v>
      </c>
      <c r="E45" s="2">
        <v>1094.3941461897796</v>
      </c>
      <c r="F45" s="2">
        <v>220.54472664980469</v>
      </c>
      <c r="G45" s="2">
        <v>1.809200414979752</v>
      </c>
      <c r="H45" s="2">
        <v>107.55760250159366</v>
      </c>
      <c r="I45" s="2">
        <v>66.118808674188799</v>
      </c>
      <c r="J45" s="2">
        <v>1590.3398765423551</v>
      </c>
      <c r="K45" s="2">
        <v>179.04864442756866</v>
      </c>
      <c r="L45" s="2">
        <v>190.23918470429157</v>
      </c>
      <c r="M45">
        <f t="shared" si="0"/>
        <v>68.815110677420833</v>
      </c>
      <c r="N45">
        <f t="shared" si="1"/>
        <v>13.867773166155089</v>
      </c>
    </row>
    <row r="46" spans="1:14" x14ac:dyDescent="0.3">
      <c r="A46" s="1" t="s">
        <v>0</v>
      </c>
      <c r="B46" s="2">
        <v>0</v>
      </c>
      <c r="C46" s="2">
        <v>0</v>
      </c>
      <c r="D46" s="2">
        <v>99.91539211200849</v>
      </c>
      <c r="E46" s="2">
        <v>1094.3941461897796</v>
      </c>
      <c r="F46" s="2">
        <v>169.24640384516172</v>
      </c>
      <c r="G46" s="2">
        <v>1.809200414979752</v>
      </c>
      <c r="H46" s="2">
        <v>107.55760250159366</v>
      </c>
      <c r="I46" s="2">
        <v>66.118808674188799</v>
      </c>
      <c r="J46" s="2">
        <v>1539.0415537377121</v>
      </c>
      <c r="K46" s="2">
        <v>179.04864442756889</v>
      </c>
      <c r="L46" s="2">
        <v>190.23918470429157</v>
      </c>
      <c r="M46">
        <f t="shared" si="0"/>
        <v>71.108810774597799</v>
      </c>
      <c r="N46">
        <f t="shared" si="1"/>
        <v>10.99687032063107</v>
      </c>
    </row>
    <row r="47" spans="1:14" x14ac:dyDescent="0.3">
      <c r="A47" s="1" t="s">
        <v>60</v>
      </c>
      <c r="B47" s="2">
        <v>0</v>
      </c>
      <c r="C47" s="2">
        <v>0</v>
      </c>
      <c r="D47" s="2">
        <v>99.91539211200849</v>
      </c>
      <c r="E47" s="2">
        <v>1094.3941461897796</v>
      </c>
      <c r="F47" s="2">
        <v>74.139867840217704</v>
      </c>
      <c r="G47" s="2">
        <v>1.809200414979752</v>
      </c>
      <c r="H47" s="2">
        <v>107.55760250159366</v>
      </c>
      <c r="I47" s="2">
        <v>66.118808674188799</v>
      </c>
      <c r="J47" s="2">
        <v>1443.9350177327681</v>
      </c>
      <c r="K47" s="2">
        <v>179.04864442756866</v>
      </c>
      <c r="L47" s="2">
        <v>190.23918470429157</v>
      </c>
      <c r="M47">
        <f t="shared" si="0"/>
        <v>75.792479076251709</v>
      </c>
      <c r="N47">
        <f t="shared" si="1"/>
        <v>5.134570941885622</v>
      </c>
    </row>
    <row r="48" spans="1:14" x14ac:dyDescent="0.3">
      <c r="A48" s="1" t="s">
        <v>59</v>
      </c>
      <c r="B48" s="2">
        <v>0</v>
      </c>
      <c r="C48" s="2">
        <v>0</v>
      </c>
      <c r="D48" s="2">
        <v>99.91539211200849</v>
      </c>
      <c r="E48" s="2">
        <v>1094.3941461897796</v>
      </c>
      <c r="F48" s="2">
        <v>82.442893982546565</v>
      </c>
      <c r="G48" s="2">
        <v>1.809200414979752</v>
      </c>
      <c r="H48" s="2">
        <v>107.55760250159366</v>
      </c>
      <c r="I48" s="2">
        <v>66.118808674188799</v>
      </c>
      <c r="J48" s="2">
        <v>1452.238043875097</v>
      </c>
      <c r="K48" s="2">
        <v>179.04864442756889</v>
      </c>
      <c r="L48" s="2">
        <v>190.23918470429157</v>
      </c>
      <c r="M48">
        <f t="shared" si="0"/>
        <v>75.359143138100109</v>
      </c>
      <c r="N48">
        <f t="shared" si="1"/>
        <v>5.6769545688638665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8"/>
  <sheetViews>
    <sheetView workbookViewId="0">
      <selection activeCell="B1" sqref="B1:L1"/>
    </sheetView>
  </sheetViews>
  <sheetFormatPr defaultRowHeight="14.4" x14ac:dyDescent="0.3"/>
  <cols>
    <col min="1" max="1" width="8.88671875" style="1"/>
    <col min="2" max="3" width="2.109375" bestFit="1" customWidth="1"/>
    <col min="4" max="12" width="11.6640625" customWidth="1"/>
  </cols>
  <sheetData>
    <row r="1" spans="1:12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44</v>
      </c>
      <c r="B2">
        <v>0</v>
      </c>
      <c r="C2">
        <v>0</v>
      </c>
      <c r="D2">
        <v>74.24905285387787</v>
      </c>
      <c r="E2">
        <v>1624.0518440472806</v>
      </c>
      <c r="F2">
        <v>23.217460197649618</v>
      </c>
      <c r="G2">
        <v>1.3444516845262378</v>
      </c>
      <c r="H2">
        <v>79.928126629624643</v>
      </c>
      <c r="I2">
        <v>49.134160574397185</v>
      </c>
      <c r="J2">
        <v>1851.9250959873561</v>
      </c>
      <c r="K2">
        <v>155.06598196295863</v>
      </c>
      <c r="L2">
        <v>1182.3781124675588</v>
      </c>
    </row>
    <row r="3" spans="1:12" x14ac:dyDescent="0.3">
      <c r="A3" s="1" t="s">
        <v>43</v>
      </c>
      <c r="B3">
        <v>0</v>
      </c>
      <c r="C3">
        <v>0</v>
      </c>
      <c r="D3">
        <v>74.24905285387787</v>
      </c>
      <c r="E3">
        <v>1624.0518440472806</v>
      </c>
      <c r="F3">
        <v>20.116160110531883</v>
      </c>
      <c r="G3">
        <v>1.3444516845262378</v>
      </c>
      <c r="H3">
        <v>79.928126629624643</v>
      </c>
      <c r="I3">
        <v>49.134160574397185</v>
      </c>
      <c r="J3">
        <v>1848.8237959002383</v>
      </c>
      <c r="K3">
        <v>155.06598196295863</v>
      </c>
      <c r="L3">
        <v>1182.3781124675586</v>
      </c>
    </row>
    <row r="4" spans="1:12" x14ac:dyDescent="0.3">
      <c r="A4" s="1" t="s">
        <v>42</v>
      </c>
      <c r="B4">
        <v>0</v>
      </c>
      <c r="C4">
        <v>0</v>
      </c>
      <c r="D4">
        <v>74.24905285387787</v>
      </c>
      <c r="E4">
        <v>1624.0518440472806</v>
      </c>
      <c r="F4">
        <v>14.383453888889999</v>
      </c>
      <c r="G4">
        <v>1.3444516845262378</v>
      </c>
      <c r="H4">
        <v>79.928126629624643</v>
      </c>
      <c r="I4">
        <v>49.134160574397185</v>
      </c>
      <c r="J4">
        <v>1843.0910896785965</v>
      </c>
      <c r="K4">
        <v>155.06598196295863</v>
      </c>
      <c r="L4">
        <v>1182.3781124675586</v>
      </c>
    </row>
    <row r="5" spans="1:12" x14ac:dyDescent="0.3">
      <c r="A5" s="1" t="s">
        <v>41</v>
      </c>
      <c r="B5">
        <v>0</v>
      </c>
      <c r="C5">
        <v>0</v>
      </c>
      <c r="D5">
        <v>74.24905285387787</v>
      </c>
      <c r="E5">
        <v>1624.0518440472806</v>
      </c>
      <c r="F5">
        <v>17.371979427385273</v>
      </c>
      <c r="G5">
        <v>1.3444516845262378</v>
      </c>
      <c r="H5">
        <v>79.928126629624643</v>
      </c>
      <c r="I5">
        <v>49.134160574397185</v>
      </c>
      <c r="J5">
        <v>1846.0796152170917</v>
      </c>
      <c r="K5">
        <v>155.06598196295863</v>
      </c>
      <c r="L5">
        <v>1182.3781124675586</v>
      </c>
    </row>
    <row r="6" spans="1:12" x14ac:dyDescent="0.3">
      <c r="A6" s="1" t="s">
        <v>40</v>
      </c>
      <c r="B6">
        <v>0</v>
      </c>
      <c r="C6">
        <v>0</v>
      </c>
      <c r="D6">
        <v>74.24905285387787</v>
      </c>
      <c r="E6">
        <v>1624.0518440472806</v>
      </c>
      <c r="F6">
        <v>17.776088226615769</v>
      </c>
      <c r="G6">
        <v>1.3444516845262378</v>
      </c>
      <c r="H6">
        <v>79.928126629624643</v>
      </c>
      <c r="I6">
        <v>49.134160574397185</v>
      </c>
      <c r="J6">
        <v>1846.4837240163222</v>
      </c>
      <c r="K6">
        <v>155.06598196295863</v>
      </c>
      <c r="L6">
        <v>1182.378112467559</v>
      </c>
    </row>
    <row r="7" spans="1:12" x14ac:dyDescent="0.3">
      <c r="A7" s="1" t="s">
        <v>39</v>
      </c>
      <c r="B7">
        <v>0</v>
      </c>
      <c r="C7">
        <v>0</v>
      </c>
      <c r="D7">
        <v>74.24905285387787</v>
      </c>
      <c r="E7">
        <v>1624.0518440472806</v>
      </c>
      <c r="F7">
        <v>15.271553459291898</v>
      </c>
      <c r="G7">
        <v>1.3444516845262378</v>
      </c>
      <c r="H7">
        <v>79.928126629624643</v>
      </c>
      <c r="I7">
        <v>49.134160574397185</v>
      </c>
      <c r="J7">
        <v>1843.9791892489984</v>
      </c>
      <c r="K7">
        <v>155.06598196295863</v>
      </c>
      <c r="L7">
        <v>1182.3781124675588</v>
      </c>
    </row>
    <row r="8" spans="1:12" x14ac:dyDescent="0.3">
      <c r="A8" s="1" t="s">
        <v>38</v>
      </c>
      <c r="B8">
        <v>0</v>
      </c>
      <c r="C8">
        <v>0</v>
      </c>
      <c r="D8">
        <v>74.24905285387787</v>
      </c>
      <c r="E8">
        <v>1624.0518440472806</v>
      </c>
      <c r="F8">
        <v>18.659488857491731</v>
      </c>
      <c r="G8">
        <v>1.3444516845262378</v>
      </c>
      <c r="H8">
        <v>79.928126629624643</v>
      </c>
      <c r="I8">
        <v>49.134160574397185</v>
      </c>
      <c r="J8">
        <v>1847.3671246471981</v>
      </c>
      <c r="K8">
        <v>155.06598196295863</v>
      </c>
      <c r="L8">
        <v>1182.3781124675588</v>
      </c>
    </row>
    <row r="9" spans="1:12" x14ac:dyDescent="0.3">
      <c r="A9" s="1" t="s">
        <v>37</v>
      </c>
      <c r="B9">
        <v>0</v>
      </c>
      <c r="C9">
        <v>0</v>
      </c>
      <c r="D9">
        <v>74.24905285387787</v>
      </c>
      <c r="E9">
        <v>1624.0518440472806</v>
      </c>
      <c r="F9">
        <v>17.301495334496234</v>
      </c>
      <c r="G9">
        <v>1.3444516845262378</v>
      </c>
      <c r="H9">
        <v>79.928126629624643</v>
      </c>
      <c r="I9">
        <v>49.134160574397185</v>
      </c>
      <c r="J9">
        <v>1846.0091311242027</v>
      </c>
      <c r="K9">
        <v>155.06598196295863</v>
      </c>
      <c r="L9">
        <v>1182.3781124675588</v>
      </c>
    </row>
    <row r="10" spans="1:12" x14ac:dyDescent="0.3">
      <c r="A10" s="1" t="s">
        <v>36</v>
      </c>
      <c r="B10">
        <v>0</v>
      </c>
      <c r="C10">
        <v>0</v>
      </c>
      <c r="D10">
        <v>74.24905285387787</v>
      </c>
      <c r="E10">
        <v>1624.0518440472806</v>
      </c>
      <c r="F10">
        <v>16.808106684272961</v>
      </c>
      <c r="G10">
        <v>1.3444516845262378</v>
      </c>
      <c r="H10">
        <v>79.928126629624643</v>
      </c>
      <c r="I10">
        <v>49.134160574397185</v>
      </c>
      <c r="J10">
        <v>1845.5157424739796</v>
      </c>
      <c r="K10">
        <v>155.06598196295863</v>
      </c>
      <c r="L10">
        <v>1182.3781124675588</v>
      </c>
    </row>
    <row r="11" spans="1:12" x14ac:dyDescent="0.3">
      <c r="A11" s="1" t="s">
        <v>35</v>
      </c>
      <c r="B11">
        <v>0</v>
      </c>
      <c r="C11">
        <v>0</v>
      </c>
      <c r="D11">
        <v>74.24905285387787</v>
      </c>
      <c r="E11">
        <v>1624.0518440472806</v>
      </c>
      <c r="F11">
        <v>17.362581548333406</v>
      </c>
      <c r="G11">
        <v>1.3444516845262378</v>
      </c>
      <c r="H11">
        <v>79.928126629624643</v>
      </c>
      <c r="I11">
        <v>49.134160574397185</v>
      </c>
      <c r="J11">
        <v>1846.0702173380398</v>
      </c>
      <c r="K11">
        <v>155.06598196295863</v>
      </c>
      <c r="L11">
        <v>1182.3781124675586</v>
      </c>
    </row>
    <row r="12" spans="1:12" x14ac:dyDescent="0.3">
      <c r="A12" s="1" t="s">
        <v>34</v>
      </c>
      <c r="B12">
        <v>0</v>
      </c>
      <c r="C12">
        <v>0</v>
      </c>
      <c r="D12">
        <v>74.24905285387787</v>
      </c>
      <c r="E12">
        <v>1624.0518440472806</v>
      </c>
      <c r="F12">
        <v>19.265652056337469</v>
      </c>
      <c r="G12">
        <v>1.3444516845262378</v>
      </c>
      <c r="H12">
        <v>79.928126629624643</v>
      </c>
      <c r="I12">
        <v>49.134160574397185</v>
      </c>
      <c r="J12">
        <v>1847.9732878460441</v>
      </c>
      <c r="K12">
        <v>155.06598196295863</v>
      </c>
      <c r="L12">
        <v>1182.3781124675588</v>
      </c>
    </row>
    <row r="13" spans="1:12" x14ac:dyDescent="0.3">
      <c r="A13" s="1" t="s">
        <v>33</v>
      </c>
      <c r="B13">
        <v>0</v>
      </c>
      <c r="C13">
        <v>0</v>
      </c>
      <c r="D13">
        <v>74.24905285387787</v>
      </c>
      <c r="E13">
        <v>1624.0518440472806</v>
      </c>
      <c r="F13">
        <v>15.02250966441729</v>
      </c>
      <c r="G13">
        <v>1.3444516845262378</v>
      </c>
      <c r="H13">
        <v>79.928126629624643</v>
      </c>
      <c r="I13">
        <v>49.134160574397185</v>
      </c>
      <c r="J13">
        <v>1843.7301454541239</v>
      </c>
      <c r="K13">
        <v>155.06598196295863</v>
      </c>
      <c r="L13">
        <v>1182.3781124675588</v>
      </c>
    </row>
    <row r="14" spans="1:12" x14ac:dyDescent="0.3">
      <c r="A14" s="1" t="s">
        <v>32</v>
      </c>
      <c r="B14">
        <v>0</v>
      </c>
      <c r="C14">
        <v>0</v>
      </c>
      <c r="D14">
        <v>72.86795936046417</v>
      </c>
      <c r="E14">
        <v>1594.254505922353</v>
      </c>
      <c r="F14">
        <v>16.436890461724015</v>
      </c>
      <c r="G14">
        <v>1.3194437766494536</v>
      </c>
      <c r="H14">
        <v>78.441397689847278</v>
      </c>
      <c r="I14">
        <v>48.220224748075076</v>
      </c>
      <c r="J14">
        <v>1811.540421959113</v>
      </c>
      <c r="K14">
        <v>174.4492297083284</v>
      </c>
      <c r="L14">
        <v>1027.3121305045995</v>
      </c>
    </row>
    <row r="15" spans="1:12" x14ac:dyDescent="0.3">
      <c r="A15" s="1" t="s">
        <v>31</v>
      </c>
      <c r="B15">
        <v>0</v>
      </c>
      <c r="C15">
        <v>0</v>
      </c>
      <c r="D15">
        <v>72.86795936046417</v>
      </c>
      <c r="E15">
        <v>1594.254505922353</v>
      </c>
      <c r="F15">
        <v>10.295376501325707</v>
      </c>
      <c r="G15">
        <v>1.3194437766494536</v>
      </c>
      <c r="H15">
        <v>78.441397689847278</v>
      </c>
      <c r="I15">
        <v>48.220224748075076</v>
      </c>
      <c r="J15">
        <v>1805.3989079987148</v>
      </c>
      <c r="K15">
        <v>174.4492297083284</v>
      </c>
      <c r="L15">
        <v>1027.3121305046</v>
      </c>
    </row>
    <row r="16" spans="1:12" x14ac:dyDescent="0.3">
      <c r="A16" s="1" t="s">
        <v>30</v>
      </c>
      <c r="B16">
        <v>0</v>
      </c>
      <c r="C16">
        <v>0</v>
      </c>
      <c r="D16">
        <v>72.86795936046417</v>
      </c>
      <c r="E16">
        <v>1594.254505922353</v>
      </c>
      <c r="F16">
        <v>10.582011812407801</v>
      </c>
      <c r="G16">
        <v>1.3194437766494536</v>
      </c>
      <c r="H16">
        <v>78.441397689847278</v>
      </c>
      <c r="I16">
        <v>48.220224748075076</v>
      </c>
      <c r="J16">
        <v>1805.6855433097967</v>
      </c>
      <c r="K16">
        <v>174.4492297083284</v>
      </c>
      <c r="L16">
        <v>1027.3121305045997</v>
      </c>
    </row>
    <row r="17" spans="1:12" x14ac:dyDescent="0.3">
      <c r="A17" s="1" t="s">
        <v>29</v>
      </c>
      <c r="B17">
        <v>0</v>
      </c>
      <c r="C17">
        <v>0</v>
      </c>
      <c r="D17">
        <v>72.86795936046417</v>
      </c>
      <c r="E17">
        <v>1594.254505922353</v>
      </c>
      <c r="F17">
        <v>8.011691891720826</v>
      </c>
      <c r="G17">
        <v>1.3194437766494536</v>
      </c>
      <c r="H17">
        <v>78.441397689847278</v>
      </c>
      <c r="I17">
        <v>48.220224748075076</v>
      </c>
      <c r="J17">
        <v>1803.1152233891098</v>
      </c>
      <c r="K17">
        <v>174.4492297083284</v>
      </c>
      <c r="L17">
        <v>1027.3121305045997</v>
      </c>
    </row>
    <row r="18" spans="1:12" x14ac:dyDescent="0.3">
      <c r="A18" s="1" t="s">
        <v>28</v>
      </c>
      <c r="B18">
        <v>0</v>
      </c>
      <c r="C18">
        <v>0</v>
      </c>
      <c r="D18">
        <v>72.86795936046417</v>
      </c>
      <c r="E18">
        <v>1594.254505922353</v>
      </c>
      <c r="F18">
        <v>8.2701335656473045</v>
      </c>
      <c r="G18">
        <v>1.3194437766494536</v>
      </c>
      <c r="H18">
        <v>78.441397689847278</v>
      </c>
      <c r="I18">
        <v>48.220224748075076</v>
      </c>
      <c r="J18">
        <v>1803.3736650630362</v>
      </c>
      <c r="K18">
        <v>174.4492297083284</v>
      </c>
      <c r="L18">
        <v>1027.3121305045997</v>
      </c>
    </row>
    <row r="19" spans="1:12" x14ac:dyDescent="0.3">
      <c r="A19" s="1" t="s">
        <v>27</v>
      </c>
      <c r="B19">
        <v>0</v>
      </c>
      <c r="C19">
        <v>0</v>
      </c>
      <c r="D19">
        <v>72.86795936046417</v>
      </c>
      <c r="E19">
        <v>1594.254505922353</v>
      </c>
      <c r="F19">
        <v>12.325318376530046</v>
      </c>
      <c r="G19">
        <v>1.3194437766494536</v>
      </c>
      <c r="H19">
        <v>78.441397689847278</v>
      </c>
      <c r="I19">
        <v>48.220224748075076</v>
      </c>
      <c r="J19">
        <v>1807.428849873919</v>
      </c>
      <c r="K19">
        <v>174.4492297083284</v>
      </c>
      <c r="L19">
        <v>1027.3121305045995</v>
      </c>
    </row>
    <row r="20" spans="1:12" x14ac:dyDescent="0.3">
      <c r="A20" s="1" t="s">
        <v>26</v>
      </c>
      <c r="B20">
        <v>0</v>
      </c>
      <c r="C20">
        <v>0</v>
      </c>
      <c r="D20">
        <v>72.86795936046417</v>
      </c>
      <c r="E20">
        <v>1594.254505922353</v>
      </c>
      <c r="F20">
        <v>14.129711154489458</v>
      </c>
      <c r="G20">
        <v>1.3194437766494536</v>
      </c>
      <c r="H20">
        <v>78.441397689847278</v>
      </c>
      <c r="I20">
        <v>48.220224748075076</v>
      </c>
      <c r="J20">
        <v>1809.2332426518785</v>
      </c>
      <c r="K20">
        <v>174.4492297083284</v>
      </c>
      <c r="L20">
        <v>1027.3121305046</v>
      </c>
    </row>
    <row r="21" spans="1:12" x14ac:dyDescent="0.3">
      <c r="A21" s="1" t="s">
        <v>25</v>
      </c>
      <c r="B21">
        <v>0</v>
      </c>
      <c r="C21">
        <v>0</v>
      </c>
      <c r="D21">
        <v>72.86795936046417</v>
      </c>
      <c r="E21">
        <v>1594.254505922353</v>
      </c>
      <c r="F21">
        <v>16.394600005990593</v>
      </c>
      <c r="G21">
        <v>1.3194437766494536</v>
      </c>
      <c r="H21">
        <v>78.441397689847278</v>
      </c>
      <c r="I21">
        <v>48.220224748075076</v>
      </c>
      <c r="J21">
        <v>1811.4981315033797</v>
      </c>
      <c r="K21">
        <v>174.4492297083284</v>
      </c>
      <c r="L21">
        <v>1027.3121305045997</v>
      </c>
    </row>
    <row r="22" spans="1:12" x14ac:dyDescent="0.3">
      <c r="A22" s="1" t="s">
        <v>24</v>
      </c>
      <c r="B22">
        <v>0</v>
      </c>
      <c r="C22">
        <v>0</v>
      </c>
      <c r="D22">
        <v>72.86795936046417</v>
      </c>
      <c r="E22">
        <v>1594.254505922353</v>
      </c>
      <c r="F22">
        <v>20.524967849288309</v>
      </c>
      <c r="G22">
        <v>1.3194437766494536</v>
      </c>
      <c r="H22">
        <v>78.441397689847278</v>
      </c>
      <c r="I22">
        <v>48.220224748075076</v>
      </c>
      <c r="J22">
        <v>1815.6284993466772</v>
      </c>
      <c r="K22">
        <v>174.4492297083284</v>
      </c>
      <c r="L22">
        <v>1027.3121305045995</v>
      </c>
    </row>
    <row r="23" spans="1:12" x14ac:dyDescent="0.3">
      <c r="A23" s="1" t="s">
        <v>23</v>
      </c>
      <c r="B23">
        <v>0</v>
      </c>
      <c r="C23">
        <v>0</v>
      </c>
      <c r="D23">
        <v>72.86795936046417</v>
      </c>
      <c r="E23">
        <v>1594.254505922353</v>
      </c>
      <c r="F23">
        <v>15.957598630078548</v>
      </c>
      <c r="G23">
        <v>1.3194437766494536</v>
      </c>
      <c r="H23">
        <v>78.441397689847278</v>
      </c>
      <c r="I23">
        <v>48.220224748075076</v>
      </c>
      <c r="J23">
        <v>1811.0611301274675</v>
      </c>
      <c r="K23">
        <v>174.4492297083284</v>
      </c>
      <c r="L23">
        <v>1027.3121305045997</v>
      </c>
    </row>
    <row r="24" spans="1:12" x14ac:dyDescent="0.3">
      <c r="A24" s="1" t="s">
        <v>22</v>
      </c>
      <c r="B24">
        <v>0</v>
      </c>
      <c r="C24">
        <v>0</v>
      </c>
      <c r="D24">
        <v>72.86795936046417</v>
      </c>
      <c r="E24">
        <v>1594.254505922353</v>
      </c>
      <c r="F24">
        <v>18.231885360631555</v>
      </c>
      <c r="G24">
        <v>1.3194437766494536</v>
      </c>
      <c r="H24">
        <v>78.441397689847278</v>
      </c>
      <c r="I24">
        <v>48.220224748075076</v>
      </c>
      <c r="J24">
        <v>1813.3354168580206</v>
      </c>
      <c r="K24">
        <v>174.4492297083284</v>
      </c>
      <c r="L24">
        <v>1027.3121305046</v>
      </c>
    </row>
    <row r="25" spans="1:12" x14ac:dyDescent="0.3">
      <c r="A25" s="1" t="s">
        <v>21</v>
      </c>
      <c r="B25">
        <v>0</v>
      </c>
      <c r="C25">
        <v>0</v>
      </c>
      <c r="D25">
        <v>72.86795936046417</v>
      </c>
      <c r="E25">
        <v>1594.254505922353</v>
      </c>
      <c r="F25">
        <v>20.463881635451141</v>
      </c>
      <c r="G25">
        <v>1.3194437766494536</v>
      </c>
      <c r="H25">
        <v>78.441397689847278</v>
      </c>
      <c r="I25">
        <v>48.220224748075076</v>
      </c>
      <c r="J25">
        <v>1815.5674131328401</v>
      </c>
      <c r="K25">
        <v>174.4492297083284</v>
      </c>
      <c r="L25">
        <v>1027.3121305045997</v>
      </c>
    </row>
    <row r="26" spans="1:12" x14ac:dyDescent="0.3">
      <c r="A26" s="1" t="s">
        <v>20</v>
      </c>
      <c r="B26">
        <v>0</v>
      </c>
      <c r="C26">
        <v>0</v>
      </c>
      <c r="D26">
        <v>86.53222949884038</v>
      </c>
      <c r="E26">
        <v>1447.0651709977403</v>
      </c>
      <c r="F26">
        <v>24.805701757415978</v>
      </c>
      <c r="G26">
        <v>1.5668671483861338</v>
      </c>
      <c r="H26">
        <v>93.150804368352667</v>
      </c>
      <c r="I26">
        <v>57.262527879297458</v>
      </c>
      <c r="J26">
        <v>1710.3833016500332</v>
      </c>
      <c r="K26">
        <v>184.14085358101329</v>
      </c>
      <c r="L26">
        <v>697.79691883331338</v>
      </c>
    </row>
    <row r="27" spans="1:12" x14ac:dyDescent="0.3">
      <c r="A27" s="1" t="s">
        <v>19</v>
      </c>
      <c r="B27">
        <v>0</v>
      </c>
      <c r="C27">
        <v>0</v>
      </c>
      <c r="D27">
        <v>86.53222949884038</v>
      </c>
      <c r="E27">
        <v>1447.0651709977403</v>
      </c>
      <c r="F27">
        <v>22.888534430834103</v>
      </c>
      <c r="G27">
        <v>1.5668671483861338</v>
      </c>
      <c r="H27">
        <v>93.150804368352667</v>
      </c>
      <c r="I27">
        <v>57.262527879297458</v>
      </c>
      <c r="J27">
        <v>1708.4661343234513</v>
      </c>
      <c r="K27">
        <v>184.14085358101329</v>
      </c>
      <c r="L27">
        <v>697.79691883331338</v>
      </c>
    </row>
    <row r="28" spans="1:12" x14ac:dyDescent="0.3">
      <c r="A28" s="1" t="s">
        <v>18</v>
      </c>
      <c r="B28">
        <v>0</v>
      </c>
      <c r="C28">
        <v>0</v>
      </c>
      <c r="D28">
        <v>86.53222949884038</v>
      </c>
      <c r="E28">
        <v>1447.0651709977403</v>
      </c>
      <c r="F28">
        <v>22.169596683365899</v>
      </c>
      <c r="G28">
        <v>1.5668671483861338</v>
      </c>
      <c r="H28">
        <v>93.150804368352667</v>
      </c>
      <c r="I28">
        <v>57.262527879297458</v>
      </c>
      <c r="J28">
        <v>1707.747196575983</v>
      </c>
      <c r="K28">
        <v>184.14085358101329</v>
      </c>
      <c r="L28">
        <v>697.79691883331338</v>
      </c>
    </row>
    <row r="29" spans="1:12" x14ac:dyDescent="0.3">
      <c r="A29" s="1" t="s">
        <v>17</v>
      </c>
      <c r="B29">
        <v>0</v>
      </c>
      <c r="C29">
        <v>0</v>
      </c>
      <c r="D29">
        <v>86.53222949884038</v>
      </c>
      <c r="E29">
        <v>1447.0651709977403</v>
      </c>
      <c r="F29">
        <v>25.214509496172404</v>
      </c>
      <c r="G29">
        <v>1.5668671483861338</v>
      </c>
      <c r="H29">
        <v>93.150804368352667</v>
      </c>
      <c r="I29">
        <v>57.262527879297458</v>
      </c>
      <c r="J29">
        <v>1710.7921093887896</v>
      </c>
      <c r="K29">
        <v>184.14085358101329</v>
      </c>
      <c r="L29">
        <v>697.79691883331338</v>
      </c>
    </row>
    <row r="30" spans="1:12" x14ac:dyDescent="0.3">
      <c r="A30" s="1" t="s">
        <v>16</v>
      </c>
      <c r="B30">
        <v>0</v>
      </c>
      <c r="C30">
        <v>0</v>
      </c>
      <c r="D30">
        <v>86.53222949884038</v>
      </c>
      <c r="E30">
        <v>1447.0651709977403</v>
      </c>
      <c r="F30">
        <v>25.059444491816517</v>
      </c>
      <c r="G30">
        <v>1.5668671483861338</v>
      </c>
      <c r="H30">
        <v>93.150804368352667</v>
      </c>
      <c r="I30">
        <v>57.262527879297458</v>
      </c>
      <c r="J30">
        <v>1710.6370443844337</v>
      </c>
      <c r="K30">
        <v>184.14085358101329</v>
      </c>
      <c r="L30">
        <v>697.79691883331338</v>
      </c>
    </row>
    <row r="31" spans="1:12" x14ac:dyDescent="0.3">
      <c r="A31" s="1" t="s">
        <v>15</v>
      </c>
      <c r="B31">
        <v>0</v>
      </c>
      <c r="C31">
        <v>0</v>
      </c>
      <c r="D31">
        <v>86.53222949884038</v>
      </c>
      <c r="E31">
        <v>1447.0651709977403</v>
      </c>
      <c r="F31">
        <v>34.833238705763328</v>
      </c>
      <c r="G31">
        <v>1.5668671483861338</v>
      </c>
      <c r="H31">
        <v>93.150804368352667</v>
      </c>
      <c r="I31">
        <v>57.262527879297458</v>
      </c>
      <c r="J31">
        <v>1720.4108385983805</v>
      </c>
      <c r="K31">
        <v>184.14085358101329</v>
      </c>
      <c r="L31">
        <v>697.79691883331316</v>
      </c>
    </row>
    <row r="32" spans="1:12" x14ac:dyDescent="0.3">
      <c r="A32" s="1" t="s">
        <v>14</v>
      </c>
      <c r="B32">
        <v>0</v>
      </c>
      <c r="C32">
        <v>0</v>
      </c>
      <c r="D32">
        <v>86.53222949884038</v>
      </c>
      <c r="E32">
        <v>1447.0651709977403</v>
      </c>
      <c r="F32">
        <v>38.197679406333492</v>
      </c>
      <c r="G32">
        <v>1.5668671483861338</v>
      </c>
      <c r="H32">
        <v>93.150804368352667</v>
      </c>
      <c r="I32">
        <v>57.262527879297458</v>
      </c>
      <c r="J32">
        <v>1723.7752792989506</v>
      </c>
      <c r="K32">
        <v>184.14085358101329</v>
      </c>
      <c r="L32">
        <v>697.79691883331338</v>
      </c>
    </row>
    <row r="33" spans="1:12" x14ac:dyDescent="0.3">
      <c r="A33" s="1" t="s">
        <v>13</v>
      </c>
      <c r="B33">
        <v>0</v>
      </c>
      <c r="C33">
        <v>0</v>
      </c>
      <c r="D33">
        <v>86.53222949884038</v>
      </c>
      <c r="E33">
        <v>1447.0651709977403</v>
      </c>
      <c r="F33">
        <v>38.911918214275758</v>
      </c>
      <c r="G33">
        <v>1.5668671483861338</v>
      </c>
      <c r="H33">
        <v>93.150804368352667</v>
      </c>
      <c r="I33">
        <v>57.262527879297458</v>
      </c>
      <c r="J33">
        <v>1724.489518106893</v>
      </c>
      <c r="K33">
        <v>184.14085358101329</v>
      </c>
      <c r="L33">
        <v>697.79691883331338</v>
      </c>
    </row>
    <row r="34" spans="1:12" x14ac:dyDescent="0.3">
      <c r="A34" s="1" t="s">
        <v>12</v>
      </c>
      <c r="B34">
        <v>0</v>
      </c>
      <c r="C34">
        <v>0</v>
      </c>
      <c r="D34">
        <v>86.53222949884038</v>
      </c>
      <c r="E34">
        <v>1447.0651709977403</v>
      </c>
      <c r="F34">
        <v>60.306189875862223</v>
      </c>
      <c r="G34">
        <v>1.5668671483861338</v>
      </c>
      <c r="H34">
        <v>93.150804368352667</v>
      </c>
      <c r="I34">
        <v>57.262527879297458</v>
      </c>
      <c r="J34">
        <v>1745.8837897684793</v>
      </c>
      <c r="K34">
        <v>184.14085358101329</v>
      </c>
      <c r="L34">
        <v>697.79691883331316</v>
      </c>
    </row>
    <row r="35" spans="1:12" x14ac:dyDescent="0.3">
      <c r="A35" s="1" t="s">
        <v>11</v>
      </c>
      <c r="B35">
        <v>0</v>
      </c>
      <c r="C35">
        <v>0</v>
      </c>
      <c r="D35">
        <v>86.53222949884038</v>
      </c>
      <c r="E35">
        <v>1447.0651709977403</v>
      </c>
      <c r="F35">
        <v>65.569002144910499</v>
      </c>
      <c r="G35">
        <v>1.5668671483861338</v>
      </c>
      <c r="H35">
        <v>93.150804368352667</v>
      </c>
      <c r="I35">
        <v>57.262527879297458</v>
      </c>
      <c r="J35">
        <v>1751.1466020375276</v>
      </c>
      <c r="K35">
        <v>184.14085358101329</v>
      </c>
      <c r="L35">
        <v>697.79691883331338</v>
      </c>
    </row>
    <row r="36" spans="1:12" x14ac:dyDescent="0.3">
      <c r="A36" s="1" t="s">
        <v>10</v>
      </c>
      <c r="B36">
        <v>0</v>
      </c>
      <c r="C36">
        <v>0</v>
      </c>
      <c r="D36">
        <v>86.53222949884038</v>
      </c>
      <c r="E36">
        <v>1447.0651709977403</v>
      </c>
      <c r="F36">
        <v>82.81880914462144</v>
      </c>
      <c r="G36">
        <v>1.5668671483861338</v>
      </c>
      <c r="H36">
        <v>93.150804368352667</v>
      </c>
      <c r="I36">
        <v>57.262527879297458</v>
      </c>
      <c r="J36">
        <v>1768.3964090372385</v>
      </c>
      <c r="K36">
        <v>184.14085358101329</v>
      </c>
      <c r="L36">
        <v>697.79691883331338</v>
      </c>
    </row>
    <row r="37" spans="1:12" x14ac:dyDescent="0.3">
      <c r="A37" s="1" t="s">
        <v>9</v>
      </c>
      <c r="B37">
        <v>0</v>
      </c>
      <c r="C37">
        <v>0</v>
      </c>
      <c r="D37">
        <v>86.53222949884038</v>
      </c>
      <c r="E37">
        <v>1447.0651709977403</v>
      </c>
      <c r="F37">
        <v>103.82776776508116</v>
      </c>
      <c r="G37">
        <v>1.5668671483861338</v>
      </c>
      <c r="H37">
        <v>93.150804368352667</v>
      </c>
      <c r="I37">
        <v>57.262527879297458</v>
      </c>
      <c r="J37">
        <v>1789.4053676576984</v>
      </c>
      <c r="K37">
        <v>184.14085358101329</v>
      </c>
      <c r="L37">
        <v>697.79691883331338</v>
      </c>
    </row>
    <row r="38" spans="1:12" x14ac:dyDescent="0.3">
      <c r="A38" s="1" t="s">
        <v>8</v>
      </c>
      <c r="B38">
        <v>0</v>
      </c>
      <c r="C38">
        <v>0</v>
      </c>
      <c r="D38">
        <v>99.91539211200849</v>
      </c>
      <c r="E38">
        <v>1670.8697419359501</v>
      </c>
      <c r="F38">
        <v>78.88109782188711</v>
      </c>
      <c r="G38">
        <v>1.809200414979752</v>
      </c>
      <c r="H38">
        <v>107.55760250159366</v>
      </c>
      <c r="I38">
        <v>66.118808674188799</v>
      </c>
      <c r="J38">
        <v>2025.151843460608</v>
      </c>
      <c r="K38">
        <v>212.62026525773786</v>
      </c>
      <c r="L38">
        <v>805.71889992405863</v>
      </c>
    </row>
    <row r="39" spans="1:12" x14ac:dyDescent="0.3">
      <c r="A39" s="1" t="s">
        <v>7</v>
      </c>
      <c r="B39">
        <v>0</v>
      </c>
      <c r="C39">
        <v>0</v>
      </c>
      <c r="D39">
        <v>99.91539211200849</v>
      </c>
      <c r="E39">
        <v>1670.8697419359501</v>
      </c>
      <c r="F39">
        <v>60.512943215003403</v>
      </c>
      <c r="G39">
        <v>1.809200414979752</v>
      </c>
      <c r="H39">
        <v>107.55760250159366</v>
      </c>
      <c r="I39">
        <v>66.118808674188799</v>
      </c>
      <c r="J39">
        <v>2006.7836888537242</v>
      </c>
      <c r="K39">
        <v>212.62026525773786</v>
      </c>
      <c r="L39">
        <v>805.71889992405863</v>
      </c>
    </row>
    <row r="40" spans="1:12" x14ac:dyDescent="0.3">
      <c r="A40" s="1" t="s">
        <v>6</v>
      </c>
      <c r="B40">
        <v>0</v>
      </c>
      <c r="C40">
        <v>0</v>
      </c>
      <c r="D40">
        <v>99.91539211200849</v>
      </c>
      <c r="E40">
        <v>1670.8697419359501</v>
      </c>
      <c r="F40">
        <v>118.30050150496393</v>
      </c>
      <c r="G40">
        <v>1.809200414979752</v>
      </c>
      <c r="H40">
        <v>107.55760250159366</v>
      </c>
      <c r="I40">
        <v>66.118808674188799</v>
      </c>
      <c r="J40">
        <v>2064.5712471436846</v>
      </c>
      <c r="K40">
        <v>212.62026525773786</v>
      </c>
      <c r="L40">
        <v>805.71889992405886</v>
      </c>
    </row>
    <row r="41" spans="1:12" x14ac:dyDescent="0.3">
      <c r="A41" s="1" t="s">
        <v>5</v>
      </c>
      <c r="B41">
        <v>0</v>
      </c>
      <c r="C41">
        <v>0</v>
      </c>
      <c r="D41">
        <v>99.91539211200849</v>
      </c>
      <c r="E41">
        <v>1670.8697419359501</v>
      </c>
      <c r="F41">
        <v>78.002396130537079</v>
      </c>
      <c r="G41">
        <v>1.809200414979752</v>
      </c>
      <c r="H41">
        <v>107.55760250159366</v>
      </c>
      <c r="I41">
        <v>66.118808674188799</v>
      </c>
      <c r="J41">
        <v>2024.273141769258</v>
      </c>
      <c r="K41">
        <v>212.62026525773786</v>
      </c>
      <c r="L41">
        <v>805.71889992405886</v>
      </c>
    </row>
    <row r="42" spans="1:12" x14ac:dyDescent="0.3">
      <c r="A42" s="1" t="s">
        <v>4</v>
      </c>
      <c r="B42">
        <v>0</v>
      </c>
      <c r="C42">
        <v>0</v>
      </c>
      <c r="D42">
        <v>99.91539211200849</v>
      </c>
      <c r="E42">
        <v>1670.8697419359501</v>
      </c>
      <c r="F42">
        <v>83.410875524889377</v>
      </c>
      <c r="G42">
        <v>1.809200414979752</v>
      </c>
      <c r="H42">
        <v>107.55760250159366</v>
      </c>
      <c r="I42">
        <v>66.118808674188799</v>
      </c>
      <c r="J42">
        <v>2029.6816211636103</v>
      </c>
      <c r="K42">
        <v>212.62026525773786</v>
      </c>
      <c r="L42">
        <v>805.71889992405909</v>
      </c>
    </row>
    <row r="43" spans="1:12" x14ac:dyDescent="0.3">
      <c r="A43" s="1" t="s">
        <v>3</v>
      </c>
      <c r="B43">
        <v>0</v>
      </c>
      <c r="C43">
        <v>0</v>
      </c>
      <c r="D43">
        <v>99.91539211200849</v>
      </c>
      <c r="E43">
        <v>1670.8697419359501</v>
      </c>
      <c r="F43">
        <v>102.52146257687096</v>
      </c>
      <c r="G43">
        <v>1.809200414979752</v>
      </c>
      <c r="H43">
        <v>107.55760250159366</v>
      </c>
      <c r="I43">
        <v>66.118808674188799</v>
      </c>
      <c r="J43">
        <v>2048.7922082155919</v>
      </c>
      <c r="K43">
        <v>212.62026525773786</v>
      </c>
      <c r="L43">
        <v>805.71889992405886</v>
      </c>
    </row>
    <row r="44" spans="1:12" x14ac:dyDescent="0.3">
      <c r="A44" s="1" t="s">
        <v>2</v>
      </c>
      <c r="B44">
        <v>0</v>
      </c>
      <c r="C44">
        <v>0</v>
      </c>
      <c r="D44">
        <v>99.91539211200849</v>
      </c>
      <c r="E44">
        <v>1670.8697419359501</v>
      </c>
      <c r="F44">
        <v>148.13876749465734</v>
      </c>
      <c r="G44">
        <v>1.809200414979752</v>
      </c>
      <c r="H44">
        <v>107.55760250159366</v>
      </c>
      <c r="I44">
        <v>66.118808674188799</v>
      </c>
      <c r="J44">
        <v>2094.4095131333779</v>
      </c>
      <c r="K44">
        <v>212.62026525773786</v>
      </c>
      <c r="L44">
        <v>805.71889992405886</v>
      </c>
    </row>
    <row r="45" spans="1:12" x14ac:dyDescent="0.3">
      <c r="A45" s="1" t="s">
        <v>1</v>
      </c>
      <c r="B45">
        <v>0</v>
      </c>
      <c r="C45">
        <v>0</v>
      </c>
      <c r="D45">
        <v>99.91539211200849</v>
      </c>
      <c r="E45">
        <v>1670.8697419359501</v>
      </c>
      <c r="F45">
        <v>220.54472664980469</v>
      </c>
      <c r="G45">
        <v>1.809200414979752</v>
      </c>
      <c r="H45">
        <v>107.55760250159366</v>
      </c>
      <c r="I45">
        <v>66.118808674188799</v>
      </c>
      <c r="J45">
        <v>2166.8154722885251</v>
      </c>
      <c r="K45">
        <v>212.62026525773786</v>
      </c>
      <c r="L45">
        <v>805.71889992405886</v>
      </c>
    </row>
    <row r="46" spans="1:12" x14ac:dyDescent="0.3">
      <c r="A46" s="1" t="s">
        <v>0</v>
      </c>
      <c r="B46">
        <v>0</v>
      </c>
      <c r="C46">
        <v>0</v>
      </c>
      <c r="D46">
        <v>99.91539211200849</v>
      </c>
      <c r="E46">
        <v>1670.8697419359501</v>
      </c>
      <c r="F46">
        <v>169.24640384516172</v>
      </c>
      <c r="G46">
        <v>1.809200414979752</v>
      </c>
      <c r="H46">
        <v>107.55760250159366</v>
      </c>
      <c r="I46">
        <v>66.118808674188799</v>
      </c>
      <c r="J46">
        <v>2115.5171494838823</v>
      </c>
      <c r="K46">
        <v>212.62026525773786</v>
      </c>
      <c r="L46">
        <v>805.71889992405886</v>
      </c>
    </row>
    <row r="47" spans="1:12" x14ac:dyDescent="0.3">
      <c r="A47" s="1" t="s">
        <v>60</v>
      </c>
      <c r="B47">
        <v>0</v>
      </c>
      <c r="C47">
        <v>0</v>
      </c>
      <c r="D47">
        <v>99.91539211200849</v>
      </c>
      <c r="E47">
        <v>1670.8697419359501</v>
      </c>
      <c r="F47">
        <v>74.139867840217704</v>
      </c>
      <c r="G47">
        <v>1.809200414979752</v>
      </c>
      <c r="H47">
        <v>107.55760250159366</v>
      </c>
      <c r="I47">
        <v>66.118808674188799</v>
      </c>
      <c r="J47">
        <v>2020.4106134789386</v>
      </c>
      <c r="K47">
        <v>212.62026525773786</v>
      </c>
      <c r="L47">
        <v>805.71889992405886</v>
      </c>
    </row>
    <row r="48" spans="1:12" x14ac:dyDescent="0.3">
      <c r="A48" s="1" t="s">
        <v>59</v>
      </c>
      <c r="B48">
        <v>0</v>
      </c>
      <c r="C48">
        <v>0</v>
      </c>
      <c r="D48">
        <v>99.91539211200849</v>
      </c>
      <c r="E48">
        <v>1670.8697419359501</v>
      </c>
      <c r="F48">
        <v>82.442893982546565</v>
      </c>
      <c r="G48">
        <v>1.809200414979752</v>
      </c>
      <c r="H48">
        <v>107.55760250159366</v>
      </c>
      <c r="I48">
        <v>66.118808674188799</v>
      </c>
      <c r="J48">
        <v>2028.7136396212675</v>
      </c>
      <c r="K48">
        <v>212.62026525773786</v>
      </c>
      <c r="L48">
        <v>805.71889992405863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8"/>
  <sheetViews>
    <sheetView workbookViewId="0">
      <selection activeCell="P12" sqref="P12"/>
    </sheetView>
  </sheetViews>
  <sheetFormatPr defaultRowHeight="14.4" x14ac:dyDescent="0.3"/>
  <cols>
    <col min="1" max="1" width="8.88671875" style="1"/>
    <col min="2" max="2" width="2.109375" customWidth="1"/>
    <col min="3" max="3" width="2.109375" bestFit="1" customWidth="1"/>
    <col min="4" max="10" width="11.6640625" customWidth="1"/>
    <col min="11" max="12" width="4.5546875" bestFit="1" customWidth="1"/>
  </cols>
  <sheetData>
    <row r="1" spans="1:12" x14ac:dyDescent="0.3"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44</v>
      </c>
      <c r="B2">
        <v>0</v>
      </c>
      <c r="C2">
        <v>0</v>
      </c>
      <c r="D2">
        <v>74.24905285387787</v>
      </c>
      <c r="E2">
        <v>409.06930512467102</v>
      </c>
      <c r="F2">
        <v>23.217460197649618</v>
      </c>
      <c r="G2">
        <v>1.3444516845262378</v>
      </c>
      <c r="H2">
        <v>79.928126629624643</v>
      </c>
      <c r="I2">
        <v>49.134160574397185</v>
      </c>
      <c r="J2">
        <v>636.94255706474655</v>
      </c>
      <c r="K2" s="2">
        <v>0</v>
      </c>
      <c r="L2" s="2">
        <v>0</v>
      </c>
    </row>
    <row r="3" spans="1:12" x14ac:dyDescent="0.3">
      <c r="A3" s="1" t="s">
        <v>43</v>
      </c>
      <c r="B3">
        <v>0</v>
      </c>
      <c r="C3">
        <v>0</v>
      </c>
      <c r="D3">
        <v>74.24905285387787</v>
      </c>
      <c r="E3">
        <v>368.86690297716154</v>
      </c>
      <c r="F3">
        <v>20.116160110531883</v>
      </c>
      <c r="G3">
        <v>1.3444516845262378</v>
      </c>
      <c r="H3">
        <v>79.928126629624643</v>
      </c>
      <c r="I3">
        <v>49.134160574397185</v>
      </c>
      <c r="J3">
        <v>593.63885483011927</v>
      </c>
      <c r="K3" s="2">
        <v>0</v>
      </c>
      <c r="L3" s="2">
        <v>0</v>
      </c>
    </row>
    <row r="4" spans="1:12" x14ac:dyDescent="0.3">
      <c r="A4" s="1" t="s">
        <v>42</v>
      </c>
      <c r="B4">
        <v>0</v>
      </c>
      <c r="C4">
        <v>0</v>
      </c>
      <c r="D4">
        <v>74.24905285387787</v>
      </c>
      <c r="E4">
        <v>343.00024113031429</v>
      </c>
      <c r="F4">
        <v>14.383453888889999</v>
      </c>
      <c r="G4">
        <v>1.3444516845262378</v>
      </c>
      <c r="H4">
        <v>79.928126629624643</v>
      </c>
      <c r="I4">
        <v>49.134160574397185</v>
      </c>
      <c r="J4">
        <v>562.03948676163031</v>
      </c>
      <c r="K4" s="2">
        <v>0</v>
      </c>
      <c r="L4" s="2">
        <v>0</v>
      </c>
    </row>
    <row r="5" spans="1:12" x14ac:dyDescent="0.3">
      <c r="A5" s="1" t="s">
        <v>41</v>
      </c>
      <c r="B5">
        <v>0</v>
      </c>
      <c r="C5">
        <v>0</v>
      </c>
      <c r="D5">
        <v>74.24905285387787</v>
      </c>
      <c r="E5">
        <v>334.89743139515735</v>
      </c>
      <c r="F5">
        <v>17.371979427385273</v>
      </c>
      <c r="G5">
        <v>1.3444516845262378</v>
      </c>
      <c r="H5">
        <v>79.928126629624643</v>
      </c>
      <c r="I5">
        <v>49.134160574397185</v>
      </c>
      <c r="J5">
        <v>556.92520256496846</v>
      </c>
      <c r="K5" s="2">
        <v>0</v>
      </c>
      <c r="L5" s="2">
        <v>0</v>
      </c>
    </row>
    <row r="6" spans="1:12" x14ac:dyDescent="0.3">
      <c r="A6" s="1" t="s">
        <v>40</v>
      </c>
      <c r="B6">
        <v>0</v>
      </c>
      <c r="C6">
        <v>0</v>
      </c>
      <c r="D6">
        <v>74.24905285387787</v>
      </c>
      <c r="E6">
        <v>316.82193275519188</v>
      </c>
      <c r="F6">
        <v>17.776088226615769</v>
      </c>
      <c r="G6">
        <v>1.3444516845262378</v>
      </c>
      <c r="H6">
        <v>79.928126629624643</v>
      </c>
      <c r="I6">
        <v>49.134160574397185</v>
      </c>
      <c r="J6">
        <v>539.25381272423351</v>
      </c>
      <c r="K6" s="2">
        <v>0</v>
      </c>
      <c r="L6" s="2">
        <v>0</v>
      </c>
    </row>
    <row r="7" spans="1:12" x14ac:dyDescent="0.3">
      <c r="A7" s="1" t="s">
        <v>39</v>
      </c>
      <c r="B7">
        <v>0</v>
      </c>
      <c r="C7">
        <v>0</v>
      </c>
      <c r="D7">
        <v>74.24905285387787</v>
      </c>
      <c r="E7">
        <v>293.44844313454678</v>
      </c>
      <c r="F7">
        <v>15.271553459291898</v>
      </c>
      <c r="G7">
        <v>1.3444516845262378</v>
      </c>
      <c r="H7">
        <v>79.928126629624643</v>
      </c>
      <c r="I7">
        <v>49.134160574397185</v>
      </c>
      <c r="J7">
        <v>513.37578833626458</v>
      </c>
      <c r="K7" s="2">
        <v>0</v>
      </c>
      <c r="L7" s="2">
        <v>0</v>
      </c>
    </row>
    <row r="8" spans="1:12" x14ac:dyDescent="0.3">
      <c r="A8" s="1" t="s">
        <v>38</v>
      </c>
      <c r="B8">
        <v>0</v>
      </c>
      <c r="C8">
        <v>0</v>
      </c>
      <c r="D8">
        <v>74.24905285387787</v>
      </c>
      <c r="E8">
        <v>294.38338271937261</v>
      </c>
      <c r="F8">
        <v>18.659488857491731</v>
      </c>
      <c r="G8">
        <v>1.3444516845262378</v>
      </c>
      <c r="H8">
        <v>79.928126629624643</v>
      </c>
      <c r="I8">
        <v>49.134160574397185</v>
      </c>
      <c r="J8">
        <v>517.69866331929029</v>
      </c>
      <c r="K8" s="2">
        <v>0</v>
      </c>
      <c r="L8" s="2">
        <v>0</v>
      </c>
    </row>
    <row r="9" spans="1:12" x14ac:dyDescent="0.3">
      <c r="A9" s="1" t="s">
        <v>37</v>
      </c>
      <c r="B9">
        <v>0</v>
      </c>
      <c r="C9">
        <v>0</v>
      </c>
      <c r="D9">
        <v>74.24905285387787</v>
      </c>
      <c r="E9">
        <v>296.2532618890242</v>
      </c>
      <c r="F9">
        <v>17.301495334496234</v>
      </c>
      <c r="G9">
        <v>1.3444516845262378</v>
      </c>
      <c r="H9">
        <v>79.928126629624643</v>
      </c>
      <c r="I9">
        <v>49.134160574397185</v>
      </c>
      <c r="J9">
        <v>518.21054896594637</v>
      </c>
      <c r="K9" s="2">
        <v>0</v>
      </c>
      <c r="L9" s="2">
        <v>0</v>
      </c>
    </row>
    <row r="10" spans="1:12" x14ac:dyDescent="0.3">
      <c r="A10" s="1" t="s">
        <v>36</v>
      </c>
      <c r="B10">
        <v>0</v>
      </c>
      <c r="C10">
        <v>0</v>
      </c>
      <c r="D10">
        <v>74.24905285387787</v>
      </c>
      <c r="E10">
        <v>312.77052788761335</v>
      </c>
      <c r="F10">
        <v>16.808106684272961</v>
      </c>
      <c r="G10">
        <v>1.3444516845262378</v>
      </c>
      <c r="H10">
        <v>79.928126629624643</v>
      </c>
      <c r="I10">
        <v>49.134160574397185</v>
      </c>
      <c r="J10">
        <v>534.23442631431226</v>
      </c>
      <c r="K10" s="2">
        <v>0</v>
      </c>
      <c r="L10" s="2">
        <v>0</v>
      </c>
    </row>
    <row r="11" spans="1:12" x14ac:dyDescent="0.3">
      <c r="A11" s="1" t="s">
        <v>35</v>
      </c>
      <c r="B11">
        <v>0</v>
      </c>
      <c r="C11">
        <v>0</v>
      </c>
      <c r="D11">
        <v>74.24905285387787</v>
      </c>
      <c r="E11">
        <v>339.26048279101104</v>
      </c>
      <c r="F11">
        <v>17.362581548333406</v>
      </c>
      <c r="G11">
        <v>1.3444516845262378</v>
      </c>
      <c r="H11">
        <v>79.928126629624643</v>
      </c>
      <c r="I11">
        <v>49.134160574397185</v>
      </c>
      <c r="J11">
        <v>561.2788560817703</v>
      </c>
      <c r="K11" s="2">
        <v>0</v>
      </c>
      <c r="L11" s="2">
        <v>0</v>
      </c>
    </row>
    <row r="12" spans="1:12" x14ac:dyDescent="0.3">
      <c r="A12" s="1" t="s">
        <v>34</v>
      </c>
      <c r="B12">
        <v>0</v>
      </c>
      <c r="C12">
        <v>0</v>
      </c>
      <c r="D12">
        <v>74.24905285387787</v>
      </c>
      <c r="E12">
        <v>342.06530154548852</v>
      </c>
      <c r="F12">
        <v>19.265652056337469</v>
      </c>
      <c r="G12">
        <v>1.3444516845262378</v>
      </c>
      <c r="H12">
        <v>79.928126629624643</v>
      </c>
      <c r="I12">
        <v>49.134160574397185</v>
      </c>
      <c r="J12">
        <v>565.98674534425186</v>
      </c>
      <c r="K12" s="2">
        <v>0</v>
      </c>
      <c r="L12" s="2">
        <v>0</v>
      </c>
    </row>
    <row r="13" spans="1:12" x14ac:dyDescent="0.3">
      <c r="A13" s="1" t="s">
        <v>33</v>
      </c>
      <c r="B13">
        <v>0</v>
      </c>
      <c r="C13">
        <v>0</v>
      </c>
      <c r="D13">
        <v>74.24905285387787</v>
      </c>
      <c r="E13">
        <v>325.54803554689937</v>
      </c>
      <c r="F13">
        <v>15.02250966441729</v>
      </c>
      <c r="G13">
        <v>1.3444516845262378</v>
      </c>
      <c r="H13">
        <v>79.928126629624643</v>
      </c>
      <c r="I13">
        <v>49.134160574397185</v>
      </c>
      <c r="J13">
        <v>545.22633695374248</v>
      </c>
      <c r="K13" s="2">
        <v>0</v>
      </c>
      <c r="L13" s="2">
        <v>0</v>
      </c>
    </row>
    <row r="14" spans="1:12" x14ac:dyDescent="0.3">
      <c r="A14" s="1" t="s">
        <v>32</v>
      </c>
      <c r="B14">
        <v>0</v>
      </c>
      <c r="C14">
        <v>0</v>
      </c>
      <c r="D14">
        <v>72.86795936046417</v>
      </c>
      <c r="E14">
        <v>291.31772729511107</v>
      </c>
      <c r="F14">
        <v>16.436890461724015</v>
      </c>
      <c r="G14">
        <v>1.3194437766494536</v>
      </c>
      <c r="H14">
        <v>78.441397689847278</v>
      </c>
      <c r="I14">
        <v>48.220224748075076</v>
      </c>
      <c r="J14">
        <v>508.60364333187107</v>
      </c>
      <c r="K14" s="2">
        <v>0</v>
      </c>
      <c r="L14" s="2">
        <v>0</v>
      </c>
    </row>
    <row r="15" spans="1:12" x14ac:dyDescent="0.3">
      <c r="A15" s="1" t="s">
        <v>31</v>
      </c>
      <c r="B15">
        <v>0</v>
      </c>
      <c r="C15">
        <v>0</v>
      </c>
      <c r="D15">
        <v>72.86795936046417</v>
      </c>
      <c r="E15">
        <v>268.87917725929179</v>
      </c>
      <c r="F15">
        <v>10.295376501325707</v>
      </c>
      <c r="G15">
        <v>1.3194437766494536</v>
      </c>
      <c r="H15">
        <v>78.441397689847278</v>
      </c>
      <c r="I15">
        <v>48.220224748075076</v>
      </c>
      <c r="J15">
        <v>480.02357933565349</v>
      </c>
      <c r="K15" s="2">
        <v>0</v>
      </c>
      <c r="L15" s="2">
        <v>0</v>
      </c>
    </row>
    <row r="16" spans="1:12" x14ac:dyDescent="0.3">
      <c r="A16" s="1" t="s">
        <v>30</v>
      </c>
      <c r="B16">
        <v>0</v>
      </c>
      <c r="C16">
        <v>0</v>
      </c>
      <c r="D16">
        <v>72.86795936046417</v>
      </c>
      <c r="E16">
        <v>262.95789322206167</v>
      </c>
      <c r="F16">
        <v>10.582011812407801</v>
      </c>
      <c r="G16">
        <v>1.3194437766494536</v>
      </c>
      <c r="H16">
        <v>78.441397689847278</v>
      </c>
      <c r="I16">
        <v>48.220224748075076</v>
      </c>
      <c r="J16">
        <v>474.38893060950545</v>
      </c>
      <c r="K16" s="2">
        <v>0</v>
      </c>
      <c r="L16" s="2">
        <v>0</v>
      </c>
    </row>
    <row r="17" spans="1:12" x14ac:dyDescent="0.3">
      <c r="A17" s="1" t="s">
        <v>29</v>
      </c>
      <c r="B17">
        <v>0</v>
      </c>
      <c r="C17">
        <v>0</v>
      </c>
      <c r="D17">
        <v>72.86795936046417</v>
      </c>
      <c r="E17">
        <v>244.25910152554562</v>
      </c>
      <c r="F17">
        <v>8.011691891720826</v>
      </c>
      <c r="G17">
        <v>1.3194437766494536</v>
      </c>
      <c r="H17">
        <v>78.441397689847278</v>
      </c>
      <c r="I17">
        <v>48.220224748075076</v>
      </c>
      <c r="J17">
        <v>453.11981899230238</v>
      </c>
      <c r="K17" s="2">
        <v>0</v>
      </c>
      <c r="L17" s="2">
        <v>0</v>
      </c>
    </row>
    <row r="18" spans="1:12" x14ac:dyDescent="0.3">
      <c r="A18" s="1" t="s">
        <v>28</v>
      </c>
      <c r="B18">
        <v>0</v>
      </c>
      <c r="C18">
        <v>0</v>
      </c>
      <c r="D18">
        <v>72.86795936046417</v>
      </c>
      <c r="E18">
        <v>227.43018899868119</v>
      </c>
      <c r="F18">
        <v>8.2701335656473045</v>
      </c>
      <c r="G18">
        <v>1.3194437766494536</v>
      </c>
      <c r="H18">
        <v>78.441397689847278</v>
      </c>
      <c r="I18">
        <v>48.220224748075076</v>
      </c>
      <c r="J18">
        <v>436.54934813936444</v>
      </c>
      <c r="K18" s="2">
        <v>0</v>
      </c>
      <c r="L18" s="2">
        <v>0</v>
      </c>
    </row>
    <row r="19" spans="1:12" x14ac:dyDescent="0.3">
      <c r="A19" s="1" t="s">
        <v>27</v>
      </c>
      <c r="B19">
        <v>0</v>
      </c>
      <c r="C19">
        <v>0</v>
      </c>
      <c r="D19">
        <v>72.86795936046417</v>
      </c>
      <c r="E19">
        <v>232.72817997936073</v>
      </c>
      <c r="F19">
        <v>12.325318376530046</v>
      </c>
      <c r="G19">
        <v>1.3194437766494536</v>
      </c>
      <c r="H19">
        <v>78.441397689847278</v>
      </c>
      <c r="I19">
        <v>48.220224748075076</v>
      </c>
      <c r="J19">
        <v>445.90252393092675</v>
      </c>
      <c r="K19" s="2">
        <v>0</v>
      </c>
      <c r="L19" s="2">
        <v>0</v>
      </c>
    </row>
    <row r="20" spans="1:12" x14ac:dyDescent="0.3">
      <c r="A20" s="1" t="s">
        <v>26</v>
      </c>
      <c r="B20">
        <v>0</v>
      </c>
      <c r="C20">
        <v>0</v>
      </c>
      <c r="D20">
        <v>72.86795936046417</v>
      </c>
      <c r="E20">
        <v>234.28641262073708</v>
      </c>
      <c r="F20">
        <v>14.129711154489458</v>
      </c>
      <c r="G20">
        <v>1.3194437766494536</v>
      </c>
      <c r="H20">
        <v>78.441397689847278</v>
      </c>
      <c r="I20">
        <v>48.220224748075076</v>
      </c>
      <c r="J20">
        <v>449.26514935026256</v>
      </c>
      <c r="K20" s="2">
        <v>0</v>
      </c>
      <c r="L20" s="2">
        <v>0</v>
      </c>
    </row>
    <row r="21" spans="1:12" x14ac:dyDescent="0.3">
      <c r="A21" s="1" t="s">
        <v>25</v>
      </c>
      <c r="B21">
        <v>0</v>
      </c>
      <c r="C21">
        <v>0</v>
      </c>
      <c r="D21">
        <v>72.86795936046417</v>
      </c>
      <c r="E21">
        <v>267.32094461791542</v>
      </c>
      <c r="F21">
        <v>16.394600005990593</v>
      </c>
      <c r="G21">
        <v>1.3194437766494536</v>
      </c>
      <c r="H21">
        <v>78.441397689847278</v>
      </c>
      <c r="I21">
        <v>48.220224748075076</v>
      </c>
      <c r="J21">
        <v>484.56457019894196</v>
      </c>
      <c r="K21" s="2">
        <v>0</v>
      </c>
      <c r="L21" s="2">
        <v>0</v>
      </c>
    </row>
    <row r="22" spans="1:12" x14ac:dyDescent="0.3">
      <c r="A22" s="1" t="s">
        <v>24</v>
      </c>
      <c r="B22">
        <v>0</v>
      </c>
      <c r="C22">
        <v>0</v>
      </c>
      <c r="D22">
        <v>72.86795936046417</v>
      </c>
      <c r="E22">
        <v>301.2904161999196</v>
      </c>
      <c r="F22">
        <v>20.524967849288309</v>
      </c>
      <c r="G22">
        <v>1.3194437766494536</v>
      </c>
      <c r="H22">
        <v>78.441397689847278</v>
      </c>
      <c r="I22">
        <v>48.220224748075076</v>
      </c>
      <c r="J22">
        <v>522.66440962424394</v>
      </c>
      <c r="K22" s="2">
        <v>0</v>
      </c>
      <c r="L22" s="2">
        <v>0</v>
      </c>
    </row>
    <row r="23" spans="1:12" x14ac:dyDescent="0.3">
      <c r="A23" s="1" t="s">
        <v>23</v>
      </c>
      <c r="B23">
        <v>0</v>
      </c>
      <c r="C23">
        <v>0</v>
      </c>
      <c r="D23">
        <v>72.86795936046417</v>
      </c>
      <c r="E23">
        <v>330.58518985779477</v>
      </c>
      <c r="F23">
        <v>15.957598630078548</v>
      </c>
      <c r="G23">
        <v>1.3194437766494536</v>
      </c>
      <c r="H23">
        <v>78.441397689847278</v>
      </c>
      <c r="I23">
        <v>48.220224748075076</v>
      </c>
      <c r="J23">
        <v>547.39181406290936</v>
      </c>
      <c r="K23" s="2">
        <v>0</v>
      </c>
      <c r="L23" s="2">
        <v>0</v>
      </c>
    </row>
    <row r="24" spans="1:12" x14ac:dyDescent="0.3">
      <c r="A24" s="1" t="s">
        <v>22</v>
      </c>
      <c r="B24">
        <v>0</v>
      </c>
      <c r="C24">
        <v>0</v>
      </c>
      <c r="D24">
        <v>72.86795936046417</v>
      </c>
      <c r="E24">
        <v>329.02695721641845</v>
      </c>
      <c r="F24">
        <v>18.231885360631555</v>
      </c>
      <c r="G24">
        <v>1.3194437766494536</v>
      </c>
      <c r="H24">
        <v>78.441397689847278</v>
      </c>
      <c r="I24">
        <v>48.220224748075076</v>
      </c>
      <c r="J24">
        <v>548.10786815208598</v>
      </c>
      <c r="K24" s="2">
        <v>0</v>
      </c>
      <c r="L24" s="2">
        <v>0</v>
      </c>
    </row>
    <row r="25" spans="1:12" x14ac:dyDescent="0.3">
      <c r="A25" s="1" t="s">
        <v>21</v>
      </c>
      <c r="B25">
        <v>0</v>
      </c>
      <c r="C25">
        <v>0</v>
      </c>
      <c r="D25">
        <v>72.86795936046417</v>
      </c>
      <c r="E25">
        <v>360.81490310049577</v>
      </c>
      <c r="F25">
        <v>20.463881635451141</v>
      </c>
      <c r="G25">
        <v>1.3194437766494536</v>
      </c>
      <c r="H25">
        <v>78.441397689847278</v>
      </c>
      <c r="I25">
        <v>48.220224748075076</v>
      </c>
      <c r="J25">
        <v>582.12781031098291</v>
      </c>
      <c r="K25" s="2">
        <v>0</v>
      </c>
      <c r="L25" s="2">
        <v>0</v>
      </c>
    </row>
    <row r="26" spans="1:12" x14ac:dyDescent="0.3">
      <c r="A26" s="1" t="s">
        <v>20</v>
      </c>
      <c r="B26">
        <v>0</v>
      </c>
      <c r="C26">
        <v>0</v>
      </c>
      <c r="D26">
        <v>86.53222949884038</v>
      </c>
      <c r="E26">
        <v>438.17143157789371</v>
      </c>
      <c r="F26">
        <v>24.805701757415978</v>
      </c>
      <c r="G26">
        <v>1.5668671483861338</v>
      </c>
      <c r="H26">
        <v>93.150804368352667</v>
      </c>
      <c r="I26">
        <v>57.262527879297458</v>
      </c>
      <c r="J26">
        <v>701.48956223018615</v>
      </c>
      <c r="K26" s="2">
        <v>0</v>
      </c>
      <c r="L26" s="2">
        <v>0</v>
      </c>
    </row>
    <row r="27" spans="1:12" x14ac:dyDescent="0.3">
      <c r="A27" s="1" t="s">
        <v>19</v>
      </c>
      <c r="B27">
        <v>0</v>
      </c>
      <c r="C27">
        <v>0</v>
      </c>
      <c r="D27">
        <v>86.53222949884038</v>
      </c>
      <c r="E27">
        <v>403.57866693933897</v>
      </c>
      <c r="F27">
        <v>22.888534430834103</v>
      </c>
      <c r="G27">
        <v>1.5668671483861338</v>
      </c>
      <c r="H27">
        <v>93.150804368352667</v>
      </c>
      <c r="I27">
        <v>57.262527879297458</v>
      </c>
      <c r="J27">
        <v>664.97963026504954</v>
      </c>
      <c r="K27" s="2">
        <v>0</v>
      </c>
      <c r="L27" s="2">
        <v>0</v>
      </c>
    </row>
    <row r="28" spans="1:12" x14ac:dyDescent="0.3">
      <c r="A28" s="1" t="s">
        <v>18</v>
      </c>
      <c r="B28">
        <v>0</v>
      </c>
      <c r="C28">
        <v>0</v>
      </c>
      <c r="D28">
        <v>86.53222949884038</v>
      </c>
      <c r="E28">
        <v>402.6437273545132</v>
      </c>
      <c r="F28">
        <v>22.169596683365899</v>
      </c>
      <c r="G28">
        <v>1.5668671483861338</v>
      </c>
      <c r="H28">
        <v>93.150804368352667</v>
      </c>
      <c r="I28">
        <v>57.262527879297458</v>
      </c>
      <c r="J28">
        <v>663.32575293275568</v>
      </c>
      <c r="K28" s="2">
        <v>0</v>
      </c>
      <c r="L28" s="2">
        <v>0</v>
      </c>
    </row>
    <row r="29" spans="1:12" x14ac:dyDescent="0.3">
      <c r="A29" s="1" t="s">
        <v>17</v>
      </c>
      <c r="B29">
        <v>0</v>
      </c>
      <c r="C29">
        <v>0</v>
      </c>
      <c r="D29">
        <v>86.53222949884038</v>
      </c>
      <c r="E29">
        <v>434.43167323859052</v>
      </c>
      <c r="F29">
        <v>25.214509496172404</v>
      </c>
      <c r="G29">
        <v>1.5668671483861338</v>
      </c>
      <c r="H29">
        <v>93.150804368352667</v>
      </c>
      <c r="I29">
        <v>57.262527879297458</v>
      </c>
      <c r="J29">
        <v>698.15861162963938</v>
      </c>
      <c r="K29" s="2">
        <v>0</v>
      </c>
      <c r="L29" s="2">
        <v>0</v>
      </c>
    </row>
    <row r="30" spans="1:12" x14ac:dyDescent="0.3">
      <c r="A30" s="1" t="s">
        <v>16</v>
      </c>
      <c r="B30">
        <v>0</v>
      </c>
      <c r="C30">
        <v>0</v>
      </c>
      <c r="D30">
        <v>86.53222949884038</v>
      </c>
      <c r="E30">
        <v>489.28146221503755</v>
      </c>
      <c r="F30">
        <v>25.059444491816517</v>
      </c>
      <c r="G30">
        <v>1.5668671483861338</v>
      </c>
      <c r="H30">
        <v>93.150804368352667</v>
      </c>
      <c r="I30">
        <v>57.262527879297458</v>
      </c>
      <c r="J30">
        <v>752.85333560173058</v>
      </c>
      <c r="K30" s="2">
        <v>0</v>
      </c>
      <c r="L30" s="2">
        <v>0</v>
      </c>
    </row>
    <row r="31" spans="1:12" x14ac:dyDescent="0.3">
      <c r="A31" s="1" t="s">
        <v>15</v>
      </c>
      <c r="B31">
        <v>0</v>
      </c>
      <c r="C31">
        <v>0</v>
      </c>
      <c r="D31">
        <v>86.53222949884038</v>
      </c>
      <c r="E31">
        <v>532.60032964529978</v>
      </c>
      <c r="F31">
        <v>34.833238705763328</v>
      </c>
      <c r="G31">
        <v>1.5668671483861338</v>
      </c>
      <c r="H31">
        <v>93.150804368352667</v>
      </c>
      <c r="I31">
        <v>57.262527879297458</v>
      </c>
      <c r="J31">
        <v>805.94599724593957</v>
      </c>
      <c r="K31" s="2">
        <v>0</v>
      </c>
      <c r="L31" s="2">
        <v>0</v>
      </c>
    </row>
    <row r="32" spans="1:12" x14ac:dyDescent="0.3">
      <c r="A32" s="1" t="s">
        <v>14</v>
      </c>
      <c r="B32">
        <v>0</v>
      </c>
      <c r="C32">
        <v>0</v>
      </c>
      <c r="D32">
        <v>86.53222949884038</v>
      </c>
      <c r="E32">
        <v>601.47421239413393</v>
      </c>
      <c r="F32">
        <v>38.197679406333492</v>
      </c>
      <c r="G32">
        <v>1.5668671483861338</v>
      </c>
      <c r="H32">
        <v>93.150804368352667</v>
      </c>
      <c r="I32">
        <v>57.262527879297458</v>
      </c>
      <c r="J32">
        <v>878.1843206953439</v>
      </c>
      <c r="K32" s="2">
        <v>0</v>
      </c>
      <c r="L32" s="2">
        <v>0</v>
      </c>
    </row>
    <row r="33" spans="1:12" x14ac:dyDescent="0.3">
      <c r="A33" s="1" t="s">
        <v>13</v>
      </c>
      <c r="B33">
        <v>0</v>
      </c>
      <c r="C33">
        <v>0</v>
      </c>
      <c r="D33">
        <v>86.53222949884038</v>
      </c>
      <c r="E33">
        <v>692.47499865051213</v>
      </c>
      <c r="F33">
        <v>38.911918214275758</v>
      </c>
      <c r="G33">
        <v>1.5668671483861338</v>
      </c>
      <c r="H33">
        <v>93.150804368352667</v>
      </c>
      <c r="I33">
        <v>57.262527879297458</v>
      </c>
      <c r="J33">
        <v>969.89934575966436</v>
      </c>
      <c r="K33" s="2">
        <v>0</v>
      </c>
      <c r="L33" s="2">
        <v>0</v>
      </c>
    </row>
    <row r="34" spans="1:12" x14ac:dyDescent="0.3">
      <c r="A34" s="1" t="s">
        <v>12</v>
      </c>
      <c r="B34">
        <v>0</v>
      </c>
      <c r="C34">
        <v>0</v>
      </c>
      <c r="D34">
        <v>86.53222949884038</v>
      </c>
      <c r="E34">
        <v>923.4050761024854</v>
      </c>
      <c r="F34">
        <v>60.306189875862223</v>
      </c>
      <c r="G34">
        <v>1.5668671483861338</v>
      </c>
      <c r="H34">
        <v>93.150804368352667</v>
      </c>
      <c r="I34">
        <v>57.262527879297458</v>
      </c>
      <c r="J34">
        <v>1222.2236948732243</v>
      </c>
      <c r="K34" s="2">
        <v>0</v>
      </c>
      <c r="L34" s="2">
        <v>0</v>
      </c>
    </row>
    <row r="35" spans="1:12" x14ac:dyDescent="0.3">
      <c r="A35" s="1" t="s">
        <v>11</v>
      </c>
      <c r="B35">
        <v>0</v>
      </c>
      <c r="C35">
        <v>0</v>
      </c>
      <c r="D35">
        <v>86.53222949884038</v>
      </c>
      <c r="E35">
        <v>1179.26687581648</v>
      </c>
      <c r="F35">
        <v>65.569002144910499</v>
      </c>
      <c r="G35">
        <v>1.5668671483861338</v>
      </c>
      <c r="H35">
        <v>93.150804368352667</v>
      </c>
      <c r="I35">
        <v>57.262527879297458</v>
      </c>
      <c r="J35">
        <v>1483.3483068562673</v>
      </c>
      <c r="K35" s="2">
        <v>0</v>
      </c>
      <c r="L35" s="2">
        <v>0</v>
      </c>
    </row>
    <row r="36" spans="1:12" x14ac:dyDescent="0.3">
      <c r="A36" s="1" t="s">
        <v>10</v>
      </c>
      <c r="B36">
        <v>0</v>
      </c>
      <c r="C36">
        <v>0</v>
      </c>
      <c r="D36">
        <v>86.53222949884038</v>
      </c>
      <c r="E36">
        <v>1072.3721166180633</v>
      </c>
      <c r="F36">
        <v>82.81880914462144</v>
      </c>
      <c r="G36">
        <v>1.5668671483861338</v>
      </c>
      <c r="H36">
        <v>93.150804368352667</v>
      </c>
      <c r="I36">
        <v>57.262527879297458</v>
      </c>
      <c r="J36">
        <v>1393.7033546575615</v>
      </c>
      <c r="K36" s="2">
        <v>0</v>
      </c>
      <c r="L36" s="2">
        <v>0</v>
      </c>
    </row>
    <row r="37" spans="1:12" x14ac:dyDescent="0.3">
      <c r="A37" s="1" t="s">
        <v>9</v>
      </c>
      <c r="B37">
        <v>0</v>
      </c>
      <c r="C37">
        <v>0</v>
      </c>
      <c r="D37">
        <v>86.53222949884038</v>
      </c>
      <c r="E37">
        <v>1396.7961525526168</v>
      </c>
      <c r="F37">
        <v>103.82776776508116</v>
      </c>
      <c r="G37">
        <v>1.5668671483861338</v>
      </c>
      <c r="H37">
        <v>93.150804368352667</v>
      </c>
      <c r="I37">
        <v>57.262527879297458</v>
      </c>
      <c r="J37">
        <v>1739.1363492125749</v>
      </c>
      <c r="K37" s="2">
        <v>0</v>
      </c>
      <c r="L37" s="2">
        <v>0</v>
      </c>
    </row>
    <row r="38" spans="1:12" x14ac:dyDescent="0.3">
      <c r="A38" s="1" t="s">
        <v>8</v>
      </c>
      <c r="B38">
        <v>0</v>
      </c>
      <c r="C38">
        <v>0</v>
      </c>
      <c r="D38">
        <v>99.91539211200849</v>
      </c>
      <c r="E38">
        <v>1125.0444469765989</v>
      </c>
      <c r="F38">
        <v>78.88109782188711</v>
      </c>
      <c r="G38">
        <v>1.809200414979752</v>
      </c>
      <c r="H38">
        <v>107.55760250159366</v>
      </c>
      <c r="I38">
        <v>66.118808674188799</v>
      </c>
      <c r="J38">
        <v>1479.3265485012569</v>
      </c>
      <c r="K38" s="2">
        <v>0</v>
      </c>
      <c r="L38" s="2">
        <v>0</v>
      </c>
    </row>
    <row r="39" spans="1:12" x14ac:dyDescent="0.3">
      <c r="A39" s="1" t="s">
        <v>7</v>
      </c>
      <c r="B39">
        <v>0</v>
      </c>
      <c r="C39">
        <v>0</v>
      </c>
      <c r="D39">
        <v>99.91539211200849</v>
      </c>
      <c r="E39">
        <v>1092.9448545642463</v>
      </c>
      <c r="F39">
        <v>60.512943215003403</v>
      </c>
      <c r="G39">
        <v>1.809200414979752</v>
      </c>
      <c r="H39">
        <v>107.55760250159366</v>
      </c>
      <c r="I39">
        <v>66.118808674188799</v>
      </c>
      <c r="J39">
        <v>1428.8588014820205</v>
      </c>
      <c r="K39" s="2">
        <v>0</v>
      </c>
      <c r="L39" s="2">
        <v>0</v>
      </c>
    </row>
    <row r="40" spans="1:12" x14ac:dyDescent="0.3">
      <c r="A40" s="1" t="s">
        <v>6</v>
      </c>
      <c r="B40">
        <v>0</v>
      </c>
      <c r="C40">
        <v>0</v>
      </c>
      <c r="D40">
        <v>99.91539211200849</v>
      </c>
      <c r="E40">
        <v>1565.4009914295521</v>
      </c>
      <c r="F40">
        <v>118.30050150496393</v>
      </c>
      <c r="G40">
        <v>1.809200414979752</v>
      </c>
      <c r="H40">
        <v>107.55760250159366</v>
      </c>
      <c r="I40">
        <v>66.118808674188799</v>
      </c>
      <c r="J40">
        <v>1959.1024966372868</v>
      </c>
      <c r="K40" s="2">
        <v>0</v>
      </c>
      <c r="L40" s="2">
        <v>0</v>
      </c>
    </row>
    <row r="41" spans="1:12" x14ac:dyDescent="0.3">
      <c r="A41" s="1" t="s">
        <v>5</v>
      </c>
      <c r="B41">
        <v>0</v>
      </c>
      <c r="C41">
        <v>0</v>
      </c>
      <c r="D41">
        <v>99.91539211200849</v>
      </c>
      <c r="E41">
        <v>1247.8331791170544</v>
      </c>
      <c r="F41">
        <v>78.002396130537079</v>
      </c>
      <c r="G41">
        <v>1.809200414979752</v>
      </c>
      <c r="H41">
        <v>107.55760250159366</v>
      </c>
      <c r="I41">
        <v>66.118808674188799</v>
      </c>
      <c r="J41">
        <v>1601.2365789503624</v>
      </c>
      <c r="K41" s="2">
        <v>0</v>
      </c>
      <c r="L41" s="2">
        <v>0</v>
      </c>
    </row>
    <row r="42" spans="1:12" x14ac:dyDescent="0.3">
      <c r="A42" s="1" t="s">
        <v>4</v>
      </c>
      <c r="B42">
        <v>0</v>
      </c>
      <c r="C42">
        <v>0</v>
      </c>
      <c r="D42">
        <v>99.91539211200849</v>
      </c>
      <c r="E42">
        <v>1153.4042810496483</v>
      </c>
      <c r="F42">
        <v>83.410875524889377</v>
      </c>
      <c r="G42">
        <v>1.809200414979752</v>
      </c>
      <c r="H42">
        <v>107.55760250159366</v>
      </c>
      <c r="I42">
        <v>66.118808674188799</v>
      </c>
      <c r="J42">
        <v>1512.2161602773085</v>
      </c>
      <c r="K42" s="2">
        <v>0</v>
      </c>
      <c r="L42" s="2">
        <v>0</v>
      </c>
    </row>
    <row r="43" spans="1:12" x14ac:dyDescent="0.3">
      <c r="A43" s="1" t="s">
        <v>3</v>
      </c>
      <c r="B43">
        <v>0</v>
      </c>
      <c r="C43">
        <v>0</v>
      </c>
      <c r="D43">
        <v>99.91539211200849</v>
      </c>
      <c r="E43">
        <v>1290.2171069624908</v>
      </c>
      <c r="F43">
        <v>102.52146257687096</v>
      </c>
      <c r="G43">
        <v>1.809200414979752</v>
      </c>
      <c r="H43">
        <v>107.55760250159366</v>
      </c>
      <c r="I43">
        <v>66.118808674188799</v>
      </c>
      <c r="J43">
        <v>1668.1395732421327</v>
      </c>
      <c r="K43" s="2">
        <v>0</v>
      </c>
      <c r="L43" s="2">
        <v>0</v>
      </c>
    </row>
    <row r="44" spans="1:12" x14ac:dyDescent="0.3">
      <c r="A44" s="1" t="s">
        <v>2</v>
      </c>
      <c r="B44">
        <v>0</v>
      </c>
      <c r="C44">
        <v>0</v>
      </c>
      <c r="D44">
        <v>99.91539211200849</v>
      </c>
      <c r="E44">
        <v>1844.0129877076413</v>
      </c>
      <c r="F44">
        <v>148.13876749465734</v>
      </c>
      <c r="G44">
        <v>1.809200414979752</v>
      </c>
      <c r="H44">
        <v>107.55760250159366</v>
      </c>
      <c r="I44">
        <v>66.118808674188799</v>
      </c>
      <c r="J44">
        <v>2267.5527589050689</v>
      </c>
      <c r="K44" s="2">
        <v>0</v>
      </c>
      <c r="L44" s="2">
        <v>0</v>
      </c>
    </row>
    <row r="45" spans="1:12" x14ac:dyDescent="0.3">
      <c r="A45" s="1" t="s">
        <v>1</v>
      </c>
      <c r="B45">
        <v>0</v>
      </c>
      <c r="C45">
        <v>0</v>
      </c>
      <c r="D45">
        <v>99.91539211200849</v>
      </c>
      <c r="E45">
        <v>2427.1036421106669</v>
      </c>
      <c r="F45">
        <v>220.54472664980469</v>
      </c>
      <c r="G45">
        <v>1.809200414979752</v>
      </c>
      <c r="H45">
        <v>107.55760250159366</v>
      </c>
      <c r="I45">
        <v>66.118808674188799</v>
      </c>
      <c r="J45">
        <v>2923.049372463242</v>
      </c>
      <c r="K45" s="2">
        <v>0</v>
      </c>
      <c r="L45" s="2">
        <v>0</v>
      </c>
    </row>
    <row r="46" spans="1:12" x14ac:dyDescent="0.3">
      <c r="A46" s="1" t="s">
        <v>0</v>
      </c>
      <c r="B46">
        <v>0</v>
      </c>
      <c r="C46">
        <v>0</v>
      </c>
      <c r="D46">
        <v>99.91539211200849</v>
      </c>
      <c r="E46">
        <v>2086.1623401775241</v>
      </c>
      <c r="F46">
        <v>169.24640384516172</v>
      </c>
      <c r="G46">
        <v>1.809200414979752</v>
      </c>
      <c r="H46">
        <v>107.55760250159366</v>
      </c>
      <c r="I46">
        <v>66.118808674188799</v>
      </c>
      <c r="J46">
        <v>2530.8097477254564</v>
      </c>
      <c r="K46" s="2">
        <v>0</v>
      </c>
      <c r="L46" s="2">
        <v>0</v>
      </c>
    </row>
    <row r="47" spans="1:12" x14ac:dyDescent="0.3">
      <c r="A47" s="1" t="s">
        <v>60</v>
      </c>
      <c r="B47">
        <v>0</v>
      </c>
      <c r="C47">
        <v>0</v>
      </c>
      <c r="D47">
        <v>99.91539211200849</v>
      </c>
      <c r="E47">
        <v>1460.3761114007866</v>
      </c>
      <c r="F47">
        <v>74.139867840217704</v>
      </c>
      <c r="G47">
        <v>1.809200414979752</v>
      </c>
      <c r="H47">
        <v>107.55760250159366</v>
      </c>
      <c r="I47">
        <v>66.118808674188799</v>
      </c>
      <c r="J47">
        <v>1809.9169829437751</v>
      </c>
      <c r="K47" s="2">
        <v>0</v>
      </c>
      <c r="L47" s="2">
        <v>0</v>
      </c>
    </row>
    <row r="48" spans="1:12" x14ac:dyDescent="0.3">
      <c r="A48" s="1" t="s">
        <v>59</v>
      </c>
      <c r="B48">
        <v>0</v>
      </c>
      <c r="C48">
        <v>0</v>
      </c>
      <c r="D48">
        <v>99.91539211200849</v>
      </c>
      <c r="E48">
        <v>1357.5327570699485</v>
      </c>
      <c r="F48">
        <v>82.442893982546565</v>
      </c>
      <c r="G48">
        <v>1.809200414979752</v>
      </c>
      <c r="H48">
        <v>107.55760250159366</v>
      </c>
      <c r="I48">
        <v>66.118808674188799</v>
      </c>
      <c r="J48">
        <v>1715.3766547552659</v>
      </c>
      <c r="K48" s="2">
        <v>0</v>
      </c>
      <c r="L4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760A-06F2-460D-BB31-6C4FB6FB2B95}">
  <sheetPr codeName="Sheet3"/>
  <dimension ref="A1:M34"/>
  <sheetViews>
    <sheetView workbookViewId="0">
      <selection activeCell="K30" sqref="K30"/>
    </sheetView>
  </sheetViews>
  <sheetFormatPr defaultRowHeight="14.4" x14ac:dyDescent="0.3"/>
  <cols>
    <col min="2" max="2" width="9.5546875" bestFit="1" customWidth="1"/>
    <col min="3" max="6" width="9" bestFit="1" customWidth="1"/>
    <col min="7" max="7" width="12" bestFit="1" customWidth="1"/>
    <col min="8" max="9" width="9" bestFit="1" customWidth="1"/>
    <col min="10" max="10" width="9.5546875" bestFit="1" customWidth="1"/>
  </cols>
  <sheetData>
    <row r="1" spans="1:13" x14ac:dyDescent="0.3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3" x14ac:dyDescent="0.3">
      <c r="A2" s="1" t="s">
        <v>58</v>
      </c>
      <c r="B2" s="2">
        <f>AVERAGE('BAU breakdown'!B2:B13)</f>
        <v>113.1244332786307</v>
      </c>
      <c r="C2" s="2">
        <f>AVERAGE('BAU breakdown'!C2:C13)</f>
        <v>0.14728913510739877</v>
      </c>
      <c r="D2" s="2">
        <f>AVERAGE('BAU breakdown'!D2:D13)</f>
        <v>0</v>
      </c>
      <c r="E2" s="2">
        <f>AVERAGE('BAU breakdown'!E2:E13)</f>
        <v>0</v>
      </c>
      <c r="F2" s="2">
        <f>AVERAGE('BAU breakdown'!F2:F13)</f>
        <v>35.260327459837647</v>
      </c>
      <c r="G2" s="2">
        <f>AVERAGE('BAU breakdown'!G2:G13)</f>
        <v>50.640799166079823</v>
      </c>
      <c r="H2" s="2">
        <f>AVERAGE('BAU breakdown'!H2:H13)</f>
        <v>133.05436764453748</v>
      </c>
      <c r="I2" s="2">
        <f>AVERAGE('BAU breakdown'!I2:I13)</f>
        <v>68.199817668703304</v>
      </c>
      <c r="J2" s="2">
        <f>AVERAGE('BAU breakdown'!J2:J13)</f>
        <v>400.42703435289633</v>
      </c>
      <c r="K2" s="2"/>
      <c r="L2" s="2"/>
    </row>
    <row r="3" spans="1:13" x14ac:dyDescent="0.3">
      <c r="A3" s="1" t="s">
        <v>58</v>
      </c>
      <c r="B3" s="2">
        <f>AVERAGE('Wind breakdown'!B2:B13)</f>
        <v>0</v>
      </c>
      <c r="C3" s="2">
        <f>AVERAGE('Wind breakdown'!C2:C13)</f>
        <v>0</v>
      </c>
      <c r="D3" s="2">
        <f>AVERAGE('Wind breakdown'!D2:D13)</f>
        <v>74.24905285387787</v>
      </c>
      <c r="E3" s="2">
        <f>AVERAGE('Wind breakdown'!E2:E13)</f>
        <v>1212.651221218963</v>
      </c>
      <c r="F3" s="2">
        <f>AVERAGE('Wind breakdown'!F2:F13)</f>
        <v>17.713044121309458</v>
      </c>
      <c r="G3" s="2">
        <f>AVERAGE('Wind breakdown'!G2:G13)</f>
        <v>1.3444516845262378</v>
      </c>
      <c r="H3" s="2">
        <f>AVERAGE('Wind breakdown'!H2:H13)</f>
        <v>79.928126629624657</v>
      </c>
      <c r="I3" s="2">
        <f>AVERAGE('Wind breakdown'!I2:I13)</f>
        <v>49.134160574397185</v>
      </c>
      <c r="J3" s="2">
        <f>AVERAGE('Wind breakdown'!J2:J13)</f>
        <v>1435.0200570826983</v>
      </c>
      <c r="K3" s="2">
        <v>270.54589539338554</v>
      </c>
      <c r="L3" s="2">
        <v>261.53864541793541</v>
      </c>
    </row>
    <row r="4" spans="1:13" x14ac:dyDescent="0.3">
      <c r="A4" s="1" t="s">
        <v>58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/>
      <c r="L4" s="2"/>
    </row>
    <row r="5" spans="1:13" x14ac:dyDescent="0.3">
      <c r="A5" s="1" t="s">
        <v>57</v>
      </c>
      <c r="B5" s="2">
        <f>AVERAGE('BAU breakdown'!B14:B25)</f>
        <v>76.311922657273243</v>
      </c>
      <c r="C5" s="2">
        <f>AVERAGE('BAU breakdown'!C14:C25)</f>
        <v>0.14454943596877554</v>
      </c>
      <c r="D5" s="2">
        <f>AVERAGE('BAU breakdown'!D14:D25)</f>
        <v>0</v>
      </c>
      <c r="E5" s="2">
        <f>AVERAGE('BAU breakdown'!E14:E25)</f>
        <v>0</v>
      </c>
      <c r="F5" s="2">
        <f>AVERAGE('BAU breakdown'!F14:F25)</f>
        <v>28.470171330675583</v>
      </c>
      <c r="G5" s="2">
        <f>AVERAGE('BAU breakdown'!G14:G25)</f>
        <v>49.698838621920636</v>
      </c>
      <c r="H5" s="2">
        <f>AVERAGE('BAU breakdown'!H14:H25)</f>
        <v>130.57944689658146</v>
      </c>
      <c r="I5" s="2">
        <f>AVERAGE('BAU breakdown'!I14:I25)</f>
        <v>66.931244928528258</v>
      </c>
      <c r="J5" s="2">
        <f>AVERAGE('BAU breakdown'!J14:J25)</f>
        <v>352.13617387094797</v>
      </c>
      <c r="K5" s="2"/>
      <c r="L5" s="2"/>
    </row>
    <row r="6" spans="1:13" x14ac:dyDescent="0.3">
      <c r="A6" s="1" t="s">
        <v>57</v>
      </c>
      <c r="B6" s="2">
        <f>AVERAGE('Wind breakdown'!B14:B25)</f>
        <v>0</v>
      </c>
      <c r="C6" s="2">
        <f>AVERAGE('Wind breakdown'!C14:C25)</f>
        <v>0</v>
      </c>
      <c r="D6" s="2">
        <f>AVERAGE('Wind breakdown'!D14:D25)</f>
        <v>72.86795936046417</v>
      </c>
      <c r="E6" s="2">
        <f>AVERAGE('Wind breakdown'!E14:E25)</f>
        <v>993.16237220412097</v>
      </c>
      <c r="F6" s="2">
        <f>AVERAGE('Wind breakdown'!F14:F25)</f>
        <v>14.302005603773777</v>
      </c>
      <c r="G6" s="2">
        <f>AVERAGE('Wind breakdown'!G14:G25)</f>
        <v>1.3194437766494536</v>
      </c>
      <c r="H6" s="2">
        <f>AVERAGE('Wind breakdown'!H14:H25)</f>
        <v>78.441397689847264</v>
      </c>
      <c r="I6" s="2">
        <f>AVERAGE('Wind breakdown'!I14:I25)</f>
        <v>48.220224748075076</v>
      </c>
      <c r="J6" s="2">
        <f>AVERAGE('Wind breakdown'!J14:J25)</f>
        <v>1208.3134033829308</v>
      </c>
      <c r="K6" s="2">
        <v>90.18382047649493</v>
      </c>
      <c r="L6" s="2">
        <v>180.36764095299031</v>
      </c>
    </row>
    <row r="7" spans="1:13" x14ac:dyDescent="0.3">
      <c r="A7" s="1" t="s">
        <v>57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/>
      <c r="L7" s="2"/>
    </row>
    <row r="8" spans="1:13" x14ac:dyDescent="0.3">
      <c r="A8" s="1" t="s">
        <v>14</v>
      </c>
      <c r="B8" s="2">
        <f>'BAU breakdown'!B32</f>
        <v>294.42163529452222</v>
      </c>
      <c r="C8" s="2">
        <f>'BAU breakdown'!C32</f>
        <v>0.17165548585356102</v>
      </c>
      <c r="D8" s="2">
        <f>'BAU breakdown'!D32</f>
        <v>0</v>
      </c>
      <c r="E8" s="2">
        <f>'BAU breakdown'!E32</f>
        <v>0</v>
      </c>
      <c r="F8" s="2">
        <f>'BAU breakdown'!F32</f>
        <v>76.037900365916713</v>
      </c>
      <c r="G8" s="2">
        <f>'BAU breakdown'!G32</f>
        <v>59.018412855283152</v>
      </c>
      <c r="H8" s="2">
        <f>'BAU breakdown'!H32</f>
        <v>155.0658309338807</v>
      </c>
      <c r="I8" s="2">
        <f>'BAU breakdown'!I32</f>
        <v>79.482256641056694</v>
      </c>
      <c r="J8" s="2">
        <f>'BAU breakdown'!J32</f>
        <v>664.19769157651297</v>
      </c>
      <c r="K8" s="2"/>
      <c r="L8" s="2"/>
    </row>
    <row r="9" spans="1:13" x14ac:dyDescent="0.3">
      <c r="A9" s="1" t="s">
        <v>14</v>
      </c>
      <c r="B9" s="2">
        <f>'Wind breakdown'!B32</f>
        <v>0</v>
      </c>
      <c r="C9" s="2">
        <f>'Wind breakdown'!C32</f>
        <v>0</v>
      </c>
      <c r="D9" s="2">
        <f>'Wind breakdown'!D32</f>
        <v>86.53222949884038</v>
      </c>
      <c r="E9" s="2">
        <f>'Wind breakdown'!E32</f>
        <v>947.8055724799558</v>
      </c>
      <c r="F9" s="2">
        <f>'Wind breakdown'!F32</f>
        <v>38.197679406333492</v>
      </c>
      <c r="G9" s="2">
        <f>'Wind breakdown'!G32</f>
        <v>1.5668671483861338</v>
      </c>
      <c r="H9" s="2">
        <f>'Wind breakdown'!H32</f>
        <v>93.150804368352667</v>
      </c>
      <c r="I9" s="2">
        <f>'Wind breakdown'!I32</f>
        <v>57.262527879297458</v>
      </c>
      <c r="J9" s="2">
        <f>'Wind breakdown'!J32</f>
        <v>1224.5156807811661</v>
      </c>
      <c r="K9" s="2">
        <f>'Wind breakdown'!K32</f>
        <v>155.0659819629584</v>
      </c>
      <c r="L9" s="2">
        <f>'Wind breakdown'!L32</f>
        <v>164.75760583564329</v>
      </c>
    </row>
    <row r="10" spans="1:13" x14ac:dyDescent="0.3">
      <c r="A10" s="1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/>
      <c r="L10" s="2"/>
    </row>
    <row r="11" spans="1:13" x14ac:dyDescent="0.3">
      <c r="A11" s="1" t="s">
        <v>11</v>
      </c>
      <c r="B11" s="2">
        <f>'BAU breakdown'!B35</f>
        <v>730.7587350835264</v>
      </c>
      <c r="C11" s="2">
        <f>'BAU breakdown'!C35</f>
        <v>0.17165548585356102</v>
      </c>
      <c r="D11" s="2">
        <f>'BAU breakdown'!D35</f>
        <v>0</v>
      </c>
      <c r="E11" s="2">
        <f>'BAU breakdown'!E35</f>
        <v>0</v>
      </c>
      <c r="F11" s="2">
        <f>'BAU breakdown'!F35</f>
        <v>130.52440173526901</v>
      </c>
      <c r="G11" s="2">
        <f>'BAU breakdown'!G35</f>
        <v>59.018412855283152</v>
      </c>
      <c r="H11" s="2">
        <f>'BAU breakdown'!H35</f>
        <v>155.0658309338807</v>
      </c>
      <c r="I11" s="2">
        <f>'BAU breakdown'!I35</f>
        <v>79.482256641056694</v>
      </c>
      <c r="J11" s="2">
        <f>'BAU breakdown'!J35</f>
        <v>1155.0212927348693</v>
      </c>
      <c r="K11" s="2"/>
      <c r="L11" s="2"/>
      <c r="M11" s="2"/>
    </row>
    <row r="12" spans="1:13" x14ac:dyDescent="0.3">
      <c r="A12" s="1" t="s">
        <v>11</v>
      </c>
      <c r="B12" s="2">
        <f>'Wind breakdown'!B35</f>
        <v>0</v>
      </c>
      <c r="C12" s="2">
        <f>'Wind breakdown'!C35</f>
        <v>0</v>
      </c>
      <c r="D12" s="2">
        <f>'Wind breakdown'!D35</f>
        <v>86.53222949884038</v>
      </c>
      <c r="E12" s="2">
        <f>'Wind breakdown'!E35</f>
        <v>947.8055724799558</v>
      </c>
      <c r="F12" s="2">
        <f>'Wind breakdown'!F35</f>
        <v>65.569002144910499</v>
      </c>
      <c r="G12" s="2">
        <f>'Wind breakdown'!G35</f>
        <v>1.5668671483861338</v>
      </c>
      <c r="H12" s="2">
        <f>'Wind breakdown'!H35</f>
        <v>93.150804368352667</v>
      </c>
      <c r="I12" s="2">
        <f>'Wind breakdown'!I35</f>
        <v>57.262527879297458</v>
      </c>
      <c r="J12" s="2">
        <f>'Wind breakdown'!J35</f>
        <v>1251.8870035197431</v>
      </c>
      <c r="K12" s="2">
        <f>'Wind breakdown'!K35</f>
        <v>155.0659819629584</v>
      </c>
      <c r="L12" s="2">
        <f>'Wind breakdown'!L35</f>
        <v>164.75760583564329</v>
      </c>
    </row>
    <row r="13" spans="1:13" x14ac:dyDescent="0.3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/>
      <c r="L13" s="2"/>
    </row>
    <row r="14" spans="1:13" x14ac:dyDescent="0.3">
      <c r="A14" s="1" t="s">
        <v>8</v>
      </c>
      <c r="B14" s="2">
        <f>'BAU breakdown'!B38</f>
        <v>665.0963559890647</v>
      </c>
      <c r="C14" s="2">
        <f>'BAU breakdown'!C38</f>
        <v>0.19820389786057363</v>
      </c>
      <c r="D14" s="2">
        <f>'BAU breakdown'!D38</f>
        <v>0</v>
      </c>
      <c r="E14" s="2">
        <f>'BAU breakdown'!E38</f>
        <v>0</v>
      </c>
      <c r="F14" s="2">
        <f>'BAU breakdown'!F38</f>
        <v>157.02401690769392</v>
      </c>
      <c r="G14" s="2">
        <f>'BAU breakdown'!G38</f>
        <v>68.146260606206184</v>
      </c>
      <c r="H14" s="2">
        <f>'BAU breakdown'!H38</f>
        <v>179.04847004018006</v>
      </c>
      <c r="I14" s="2">
        <f>'BAU breakdown'!I38</f>
        <v>91.77506328257607</v>
      </c>
      <c r="J14" s="2">
        <f>'BAU breakdown'!J38</f>
        <v>1161.2883707235815</v>
      </c>
      <c r="K14" s="2"/>
      <c r="L14" s="2"/>
    </row>
    <row r="15" spans="1:13" x14ac:dyDescent="0.3">
      <c r="A15" s="1" t="s">
        <v>8</v>
      </c>
      <c r="B15" s="2">
        <f>'Wind breakdown'!B38</f>
        <v>0</v>
      </c>
      <c r="C15" s="2">
        <f>'Wind breakdown'!C38</f>
        <v>0</v>
      </c>
      <c r="D15" s="2">
        <f>'Wind breakdown'!D38</f>
        <v>99.91539211200849</v>
      </c>
      <c r="E15" s="2">
        <f>'Wind breakdown'!E38</f>
        <v>1094.3941461897796</v>
      </c>
      <c r="F15" s="2">
        <f>'Wind breakdown'!F38</f>
        <v>78.88109782188711</v>
      </c>
      <c r="G15" s="2">
        <f>'Wind breakdown'!G38</f>
        <v>1.809200414979752</v>
      </c>
      <c r="H15" s="2">
        <f>'Wind breakdown'!H38</f>
        <v>107.55760250159366</v>
      </c>
      <c r="I15" s="2">
        <f>'Wind breakdown'!I38</f>
        <v>66.118808674188799</v>
      </c>
      <c r="J15" s="2">
        <f>'Wind breakdown'!J38</f>
        <v>1448.6762477144375</v>
      </c>
      <c r="K15" s="2">
        <f>'Wind breakdown'!K38</f>
        <v>179.04864442756889</v>
      </c>
      <c r="L15" s="2">
        <f>'Wind breakdown'!L38</f>
        <v>190.23918470429157</v>
      </c>
    </row>
    <row r="16" spans="1:13" x14ac:dyDescent="0.3">
      <c r="A16" s="1" t="s">
        <v>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/>
      <c r="L16" s="2"/>
    </row>
    <row r="17" spans="1:12" x14ac:dyDescent="0.3">
      <c r="A17" s="1" t="s">
        <v>5</v>
      </c>
      <c r="B17" s="2">
        <f>'BAU breakdown'!B41</f>
        <v>757.82387341995343</v>
      </c>
      <c r="C17" s="2">
        <f>'BAU breakdown'!C41</f>
        <v>0.19820389786057363</v>
      </c>
      <c r="D17" s="2">
        <f>'BAU breakdown'!D41</f>
        <v>0</v>
      </c>
      <c r="E17" s="2">
        <f>'BAU breakdown'!E41</f>
        <v>0</v>
      </c>
      <c r="F17" s="2">
        <f>'BAU breakdown'!F41</f>
        <v>155.27483652038595</v>
      </c>
      <c r="G17" s="2">
        <f>'BAU breakdown'!G41</f>
        <v>68.146260606206184</v>
      </c>
      <c r="H17" s="2">
        <f>'BAU breakdown'!H41</f>
        <v>179.04847004018006</v>
      </c>
      <c r="I17" s="2">
        <f>'BAU breakdown'!I41</f>
        <v>91.77506328257607</v>
      </c>
      <c r="J17" s="2">
        <f>'BAU breakdown'!J41</f>
        <v>1252.2667077671622</v>
      </c>
      <c r="K17" s="2"/>
      <c r="L17" s="2"/>
    </row>
    <row r="18" spans="1:12" x14ac:dyDescent="0.3">
      <c r="A18" s="1" t="s">
        <v>5</v>
      </c>
      <c r="B18" s="2">
        <f>'Wind breakdown'!B41</f>
        <v>0</v>
      </c>
      <c r="C18" s="2">
        <f>'Wind breakdown'!C41</f>
        <v>0</v>
      </c>
      <c r="D18" s="2">
        <f>'Wind breakdown'!D41</f>
        <v>99.91539211200849</v>
      </c>
      <c r="E18" s="2">
        <f>'Wind breakdown'!E41</f>
        <v>1094.3941461897796</v>
      </c>
      <c r="F18" s="2">
        <f>'Wind breakdown'!F41</f>
        <v>78.002396130537079</v>
      </c>
      <c r="G18" s="2">
        <f>'Wind breakdown'!G41</f>
        <v>1.809200414979752</v>
      </c>
      <c r="H18" s="2">
        <f>'Wind breakdown'!H41</f>
        <v>107.55760250159366</v>
      </c>
      <c r="I18" s="2">
        <f>'Wind breakdown'!I41</f>
        <v>66.118808674188799</v>
      </c>
      <c r="J18" s="2">
        <f>'Wind breakdown'!J41</f>
        <v>1447.7975460230875</v>
      </c>
      <c r="K18" s="2">
        <f>'Wind breakdown'!K41</f>
        <v>179.04864442756866</v>
      </c>
      <c r="L18" s="2">
        <f>'Wind breakdown'!L41</f>
        <v>190.23918470429157</v>
      </c>
    </row>
    <row r="19" spans="1:12" x14ac:dyDescent="0.3">
      <c r="A19" s="1" t="s">
        <v>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/>
      <c r="L19" s="2"/>
    </row>
    <row r="20" spans="1:12" x14ac:dyDescent="0.3">
      <c r="A20" s="1" t="s">
        <v>2</v>
      </c>
      <c r="B20" s="2">
        <f>'BAU breakdown'!B44</f>
        <v>1208.0465659206895</v>
      </c>
      <c r="C20" s="2">
        <f>'BAU breakdown'!C44</f>
        <v>0.19820389786057363</v>
      </c>
      <c r="D20" s="2">
        <f>'BAU breakdown'!D44</f>
        <v>0</v>
      </c>
      <c r="E20" s="2">
        <f>'BAU breakdown'!E44</f>
        <v>0</v>
      </c>
      <c r="F20" s="2">
        <f>'BAU breakdown'!F44</f>
        <v>294.89123470733057</v>
      </c>
      <c r="G20" s="2">
        <f>'BAU breakdown'!G44</f>
        <v>68.146260606206184</v>
      </c>
      <c r="H20" s="2">
        <f>'BAU breakdown'!H44</f>
        <v>179.04847004018006</v>
      </c>
      <c r="I20" s="2">
        <f>'BAU breakdown'!I44</f>
        <v>91.77506328257607</v>
      </c>
      <c r="J20" s="2">
        <f>'BAU breakdown'!J44</f>
        <v>1842.1057984548429</v>
      </c>
      <c r="K20" s="2"/>
      <c r="L20" s="2"/>
    </row>
    <row r="21" spans="1:12" x14ac:dyDescent="0.3">
      <c r="A21" s="1" t="s">
        <v>2</v>
      </c>
      <c r="B21" s="2">
        <f>'Wind breakdown'!B44</f>
        <v>0</v>
      </c>
      <c r="C21" s="2">
        <f>'Wind breakdown'!C44</f>
        <v>0</v>
      </c>
      <c r="D21" s="2">
        <f>'Wind breakdown'!D44</f>
        <v>99.91539211200849</v>
      </c>
      <c r="E21" s="2">
        <f>'Wind breakdown'!E44</f>
        <v>1094.3941461897796</v>
      </c>
      <c r="F21" s="2">
        <f>'Wind breakdown'!F44</f>
        <v>148.13876749465734</v>
      </c>
      <c r="G21" s="2">
        <f>'Wind breakdown'!G44</f>
        <v>1.809200414979752</v>
      </c>
      <c r="H21" s="2">
        <f>'Wind breakdown'!H44</f>
        <v>107.55760250159366</v>
      </c>
      <c r="I21" s="2">
        <f>'Wind breakdown'!I44</f>
        <v>66.118808674188799</v>
      </c>
      <c r="J21" s="2">
        <f>'Wind breakdown'!J44</f>
        <v>1517.9339173872077</v>
      </c>
      <c r="K21" s="2">
        <f>'Wind breakdown'!K44</f>
        <v>179.04864442756889</v>
      </c>
      <c r="L21" s="2">
        <f>'Wind breakdown'!L44</f>
        <v>190.23918470429157</v>
      </c>
    </row>
    <row r="22" spans="1:12" x14ac:dyDescent="0.3">
      <c r="A22" s="1" t="s">
        <v>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/>
      <c r="L22" s="2"/>
    </row>
    <row r="23" spans="1:12" x14ac:dyDescent="0.3">
      <c r="A23" s="1" t="s">
        <v>1</v>
      </c>
      <c r="B23" s="2">
        <f>'BAU breakdown'!B45</f>
        <v>1648.3845992029048</v>
      </c>
      <c r="C23" s="2">
        <f>'BAU breakdown'!C45</f>
        <v>0.19820389786057363</v>
      </c>
      <c r="D23" s="2">
        <f>'BAU breakdown'!D45</f>
        <v>0</v>
      </c>
      <c r="E23" s="2">
        <f>'BAU breakdown'!E45</f>
        <v>0</v>
      </c>
      <c r="F23" s="2">
        <f>'BAU breakdown'!F45</f>
        <v>439.02556940266959</v>
      </c>
      <c r="G23" s="2">
        <f>'BAU breakdown'!G45</f>
        <v>68.146260606206184</v>
      </c>
      <c r="H23" s="2">
        <f>'BAU breakdown'!H45</f>
        <v>179.04847004018006</v>
      </c>
      <c r="I23" s="2">
        <f>'BAU breakdown'!I45</f>
        <v>91.77506328257607</v>
      </c>
      <c r="J23" s="2">
        <f>'BAU breakdown'!J45</f>
        <v>2426.5781664323972</v>
      </c>
      <c r="K23" s="2"/>
      <c r="L23" s="2"/>
    </row>
    <row r="24" spans="1:12" x14ac:dyDescent="0.3">
      <c r="A24" s="1" t="s">
        <v>1</v>
      </c>
      <c r="B24" s="2">
        <f>'Wind breakdown'!B45</f>
        <v>0</v>
      </c>
      <c r="C24" s="2">
        <f>'Wind breakdown'!C45</f>
        <v>0</v>
      </c>
      <c r="D24" s="2">
        <f>'Wind breakdown'!D45</f>
        <v>99.91539211200849</v>
      </c>
      <c r="E24" s="2">
        <f>'Wind breakdown'!E45</f>
        <v>1094.3941461897796</v>
      </c>
      <c r="F24" s="2">
        <f>'Wind breakdown'!F45</f>
        <v>220.54472664980469</v>
      </c>
      <c r="G24" s="2">
        <f>'Wind breakdown'!G45</f>
        <v>1.809200414979752</v>
      </c>
      <c r="H24" s="2">
        <f>'Wind breakdown'!H45</f>
        <v>107.55760250159366</v>
      </c>
      <c r="I24" s="2">
        <f>'Wind breakdown'!I45</f>
        <v>66.118808674188799</v>
      </c>
      <c r="J24" s="2">
        <f>'Wind breakdown'!J45</f>
        <v>1590.3398765423551</v>
      </c>
      <c r="K24" s="2">
        <f>'Wind breakdown'!K45</f>
        <v>179.04864442756866</v>
      </c>
      <c r="L24" s="2">
        <f>'Wind breakdown'!L45</f>
        <v>190.23918470429157</v>
      </c>
    </row>
    <row r="25" spans="1:12" x14ac:dyDescent="0.3">
      <c r="A25" s="1" t="s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/>
      <c r="L25" s="2"/>
    </row>
    <row r="26" spans="1:12" x14ac:dyDescent="0.3">
      <c r="A26" s="1" t="s">
        <v>0</v>
      </c>
      <c r="B26" s="2">
        <f>'BAU breakdown'!B46</f>
        <v>1390.9127614633303</v>
      </c>
      <c r="C26" s="2">
        <f>'BAU breakdown'!C46</f>
        <v>0.19820389786057363</v>
      </c>
      <c r="D26" s="2">
        <f>'BAU breakdown'!D46</f>
        <v>0</v>
      </c>
      <c r="E26" s="2">
        <f>'BAU breakdown'!E46</f>
        <v>0</v>
      </c>
      <c r="F26" s="2">
        <f>'BAU breakdown'!F46</f>
        <v>336.90897962597961</v>
      </c>
      <c r="G26" s="2">
        <f>'BAU breakdown'!G46</f>
        <v>68.146260606206184</v>
      </c>
      <c r="H26" s="2">
        <f>'BAU breakdown'!H46</f>
        <v>179.04847004018006</v>
      </c>
      <c r="I26" s="2">
        <f>'BAU breakdown'!I46</f>
        <v>91.77506328257607</v>
      </c>
      <c r="J26" s="2">
        <f>'BAU breakdown'!J46</f>
        <v>2066.9897389161329</v>
      </c>
      <c r="K26" s="2"/>
      <c r="L26" s="2"/>
    </row>
    <row r="27" spans="1:12" x14ac:dyDescent="0.3">
      <c r="A27" s="1" t="s">
        <v>0</v>
      </c>
      <c r="B27" s="2">
        <f>'Wind breakdown'!B46</f>
        <v>0</v>
      </c>
      <c r="C27" s="2">
        <f>'Wind breakdown'!C46</f>
        <v>0</v>
      </c>
      <c r="D27" s="2">
        <f>'Wind breakdown'!D46</f>
        <v>99.91539211200849</v>
      </c>
      <c r="E27" s="2">
        <f>'Wind breakdown'!E46</f>
        <v>1094.3941461897796</v>
      </c>
      <c r="F27" s="2">
        <f>'Wind breakdown'!F46</f>
        <v>169.24640384516172</v>
      </c>
      <c r="G27" s="2">
        <f>'Wind breakdown'!G46</f>
        <v>1.809200414979752</v>
      </c>
      <c r="H27" s="2">
        <f>'Wind breakdown'!H46</f>
        <v>107.55760250159366</v>
      </c>
      <c r="I27" s="2">
        <f>'Wind breakdown'!I46</f>
        <v>66.118808674188799</v>
      </c>
      <c r="J27" s="2">
        <f>'Wind breakdown'!J46</f>
        <v>1539.0415537377121</v>
      </c>
      <c r="K27" s="2">
        <f>'Wind breakdown'!K46</f>
        <v>179.04864442756889</v>
      </c>
      <c r="L27" s="2">
        <f>'Wind breakdown'!L46</f>
        <v>190.23918470429157</v>
      </c>
    </row>
    <row r="28" spans="1:12" x14ac:dyDescent="0.3">
      <c r="A28" s="1" t="s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/>
      <c r="L28" s="2"/>
    </row>
    <row r="29" spans="1:12" x14ac:dyDescent="0.3">
      <c r="A29" s="1" t="s">
        <v>59</v>
      </c>
      <c r="B29" s="2">
        <f>'BAU breakdown'!B48</f>
        <v>840.66673163232099</v>
      </c>
      <c r="C29" s="2">
        <f>'BAU breakdown'!C48</f>
        <v>0.19820389786057363</v>
      </c>
      <c r="D29" s="2">
        <f>'BAU breakdown'!D48</f>
        <v>0</v>
      </c>
      <c r="E29" s="2">
        <f>'BAU breakdown'!E48</f>
        <v>0</v>
      </c>
      <c r="F29" s="2">
        <f>'BAU breakdown'!F48</f>
        <v>164.11427751507057</v>
      </c>
      <c r="G29" s="2">
        <f>'BAU breakdown'!G48</f>
        <v>68.146260606206184</v>
      </c>
      <c r="H29" s="2">
        <f>'BAU breakdown'!H48</f>
        <v>179.04847004018006</v>
      </c>
      <c r="I29" s="2">
        <f>'BAU breakdown'!I48</f>
        <v>91.77506328257607</v>
      </c>
      <c r="J29" s="2">
        <f>'BAU breakdown'!J48</f>
        <v>1343.9490069742146</v>
      </c>
      <c r="K29" s="2"/>
      <c r="L29" s="2"/>
    </row>
    <row r="30" spans="1:12" x14ac:dyDescent="0.3">
      <c r="A30" s="1" t="s">
        <v>59</v>
      </c>
      <c r="B30" s="2">
        <f>'Wind breakdown'!B48</f>
        <v>0</v>
      </c>
      <c r="C30" s="2">
        <f>'Wind breakdown'!C48</f>
        <v>0</v>
      </c>
      <c r="D30" s="2">
        <f>'Wind breakdown'!D48</f>
        <v>99.91539211200849</v>
      </c>
      <c r="E30" s="2">
        <f>'Wind breakdown'!E48</f>
        <v>1094.3941461897796</v>
      </c>
      <c r="F30" s="2">
        <f>'Wind breakdown'!F48</f>
        <v>82.442893982546565</v>
      </c>
      <c r="G30" s="2">
        <f>'Wind breakdown'!G48</f>
        <v>1.809200414979752</v>
      </c>
      <c r="H30" s="2">
        <f>'Wind breakdown'!H48</f>
        <v>107.55760250159366</v>
      </c>
      <c r="I30" s="2">
        <f>'Wind breakdown'!I48</f>
        <v>66.118808674188799</v>
      </c>
      <c r="J30" s="2">
        <f>'Wind breakdown'!J48</f>
        <v>1452.238043875097</v>
      </c>
      <c r="K30" s="2">
        <f>'Wind breakdown'!K48</f>
        <v>179.04864442756889</v>
      </c>
      <c r="L30" s="2">
        <f>'Wind breakdown'!L48</f>
        <v>190.23918470429157</v>
      </c>
    </row>
    <row r="31" spans="1:12" x14ac:dyDescent="0.3">
      <c r="A31" s="1" t="s">
        <v>59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  <c r="L31" s="2"/>
    </row>
    <row r="34" spans="6:6" x14ac:dyDescent="0.3">
      <c r="F34" s="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1B08-3B1B-4FF7-ACC7-DFB06AD2E72A}">
  <dimension ref="A1:M52"/>
  <sheetViews>
    <sheetView topLeftCell="A16" workbookViewId="0">
      <selection activeCell="D31" sqref="D31"/>
    </sheetView>
  </sheetViews>
  <sheetFormatPr defaultRowHeight="14.4" x14ac:dyDescent="0.3"/>
  <cols>
    <col min="2" max="2" width="9.5546875" bestFit="1" customWidth="1"/>
    <col min="3" max="6" width="9" bestFit="1" customWidth="1"/>
    <col min="7" max="7" width="12" bestFit="1" customWidth="1"/>
    <col min="8" max="9" width="9" bestFit="1" customWidth="1"/>
    <col min="10" max="10" width="9.5546875" bestFit="1" customWidth="1"/>
  </cols>
  <sheetData>
    <row r="1" spans="1:12" x14ac:dyDescent="0.3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1" t="s">
        <v>49</v>
      </c>
      <c r="G1" s="1" t="s">
        <v>48</v>
      </c>
      <c r="H1" s="1" t="s">
        <v>47</v>
      </c>
      <c r="I1" s="1" t="s">
        <v>46</v>
      </c>
      <c r="J1" s="1" t="s">
        <v>45</v>
      </c>
      <c r="K1" s="1" t="s">
        <v>55</v>
      </c>
      <c r="L1" s="1" t="s">
        <v>56</v>
      </c>
    </row>
    <row r="2" spans="1:12" x14ac:dyDescent="0.3">
      <c r="A2" s="1" t="s">
        <v>58</v>
      </c>
      <c r="B2" s="2">
        <f>AVERAGE('BAU breakdown'!B2:B13)</f>
        <v>113.1244332786307</v>
      </c>
      <c r="C2" s="2">
        <f>AVERAGE('BAU breakdown'!C2:C13)</f>
        <v>0.14728913510739877</v>
      </c>
      <c r="D2" s="2">
        <f>AVERAGE('BAU breakdown'!D2:D13)</f>
        <v>0</v>
      </c>
      <c r="E2" s="2">
        <f>AVERAGE('BAU breakdown'!E2:E13)</f>
        <v>0</v>
      </c>
      <c r="F2" s="2">
        <f>AVERAGE('BAU breakdown'!F2:F13)</f>
        <v>35.260327459837647</v>
      </c>
      <c r="G2" s="2">
        <f>AVERAGE('BAU breakdown'!G2:G13)</f>
        <v>50.640799166079823</v>
      </c>
      <c r="H2" s="2">
        <f>AVERAGE('BAU breakdown'!H2:H13)</f>
        <v>133.05436764453748</v>
      </c>
      <c r="I2" s="2">
        <f>AVERAGE('BAU breakdown'!I2:I13)</f>
        <v>68.199817668703304</v>
      </c>
      <c r="J2" s="2">
        <f>AVERAGE('BAU breakdown'!J2:J13)</f>
        <v>400.42703435289633</v>
      </c>
      <c r="K2" s="2"/>
      <c r="L2" s="2"/>
    </row>
    <row r="3" spans="1:12" x14ac:dyDescent="0.3">
      <c r="A3" s="1" t="s">
        <v>58</v>
      </c>
      <c r="B3" s="2">
        <f>AVERAGE('Wind breakdown'!B2:B13)</f>
        <v>0</v>
      </c>
      <c r="C3" s="2">
        <f>AVERAGE('Wind breakdown'!C2:C13)</f>
        <v>0</v>
      </c>
      <c r="D3" s="2">
        <f>AVERAGE('Wind breakdown'!D2:D13)</f>
        <v>74.24905285387787</v>
      </c>
      <c r="E3" s="2">
        <f>AVERAGE('Wind breakdown'!E2:E13)</f>
        <v>1212.651221218963</v>
      </c>
      <c r="F3" s="2">
        <f>AVERAGE('Wind breakdown'!F2:F13)</f>
        <v>17.713044121309458</v>
      </c>
      <c r="G3" s="2">
        <f>AVERAGE('Wind breakdown'!G2:G13)</f>
        <v>1.3444516845262378</v>
      </c>
      <c r="H3" s="2">
        <f>AVERAGE('Wind breakdown'!H2:H13)</f>
        <v>79.928126629624657</v>
      </c>
      <c r="I3" s="2">
        <f>AVERAGE('Wind breakdown'!I2:I13)</f>
        <v>49.134160574397185</v>
      </c>
      <c r="J3" s="2">
        <f>AVERAGE('Wind breakdown'!J2:J13)</f>
        <v>1435.0200570826983</v>
      </c>
      <c r="K3" s="2">
        <v>270.54589539338554</v>
      </c>
      <c r="L3" s="2">
        <v>261.53864541793541</v>
      </c>
    </row>
    <row r="4" spans="1:12" x14ac:dyDescent="0.3">
      <c r="A4" s="1" t="s">
        <v>58</v>
      </c>
      <c r="B4" s="2">
        <f>AVERAGE('Solar breakdown'!B2:B13)</f>
        <v>0</v>
      </c>
      <c r="C4" s="2">
        <f>AVERAGE('Solar breakdown'!C2:C13)</f>
        <v>0</v>
      </c>
      <c r="D4" s="2">
        <f>AVERAGE('Solar breakdown'!D2:D13)</f>
        <v>74.24905285387787</v>
      </c>
      <c r="E4" s="2">
        <f>AVERAGE('Solar breakdown'!E2:E13)</f>
        <v>1624.0518440472806</v>
      </c>
      <c r="F4" s="2">
        <f>AVERAGE('Solar breakdown'!F2:F13)</f>
        <v>17.713044121309458</v>
      </c>
      <c r="G4" s="2">
        <f>AVERAGE('Solar breakdown'!G2:G13)</f>
        <v>1.3444516845262378</v>
      </c>
      <c r="H4" s="2">
        <f>AVERAGE('Solar breakdown'!H2:H13)</f>
        <v>79.928126629624657</v>
      </c>
      <c r="I4" s="2">
        <f>AVERAGE('Solar breakdown'!I2:I13)</f>
        <v>49.134160574397185</v>
      </c>
      <c r="J4" s="2">
        <f>AVERAGE('Solar breakdown'!J2:J13)</f>
        <v>1846.4206799110161</v>
      </c>
      <c r="K4" s="2">
        <f>AVERAGE('Solar breakdown'!K2:K13)</f>
        <v>155.06598196295863</v>
      </c>
      <c r="L4" s="2">
        <f>AVERAGE('Solar breakdown'!L2:L13)</f>
        <v>1182.3781124675588</v>
      </c>
    </row>
    <row r="5" spans="1:12" x14ac:dyDescent="0.3">
      <c r="A5" s="1" t="s">
        <v>58</v>
      </c>
      <c r="B5" s="2">
        <f>AVERAGE('SMR CCS breakdown'!B2:B13)</f>
        <v>0</v>
      </c>
      <c r="C5" s="2">
        <f>AVERAGE('SMR CCS breakdown'!C2:C13)</f>
        <v>0</v>
      </c>
      <c r="D5" s="2">
        <f>AVERAGE('SMR CCS breakdown'!D2:D13)</f>
        <v>74.24905285387787</v>
      </c>
      <c r="E5" s="2">
        <f>AVERAGE('SMR CCS breakdown'!E2:E13)</f>
        <v>331.36543740803762</v>
      </c>
      <c r="F5" s="2">
        <f>AVERAGE('SMR CCS breakdown'!F2:F13)</f>
        <v>17.713044121309458</v>
      </c>
      <c r="G5" s="2">
        <f>AVERAGE('SMR CCS breakdown'!G2:G13)</f>
        <v>1.3444516845262378</v>
      </c>
      <c r="H5" s="2">
        <f>AVERAGE('SMR CCS breakdown'!H2:H13)</f>
        <v>79.928126629624657</v>
      </c>
      <c r="I5" s="2">
        <f>AVERAGE('SMR CCS breakdown'!I2:I13)</f>
        <v>49.134160574397185</v>
      </c>
      <c r="J5" s="2">
        <f>AVERAGE('SMR CCS breakdown'!J2:J13)</f>
        <v>553.73427327177296</v>
      </c>
      <c r="K5" s="2"/>
      <c r="L5" s="2"/>
    </row>
    <row r="6" spans="1:12" x14ac:dyDescent="0.3">
      <c r="A6" s="1" t="s">
        <v>58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/>
      <c r="L6" s="2"/>
    </row>
    <row r="7" spans="1:12" x14ac:dyDescent="0.3">
      <c r="A7" s="1" t="s">
        <v>57</v>
      </c>
      <c r="B7" s="2">
        <f>AVERAGE('BAU breakdown'!B14:B25)</f>
        <v>76.311922657273243</v>
      </c>
      <c r="C7" s="2">
        <f>AVERAGE('BAU breakdown'!C14:C25)</f>
        <v>0.14454943596877554</v>
      </c>
      <c r="D7" s="2">
        <f>AVERAGE('BAU breakdown'!D14:D25)</f>
        <v>0</v>
      </c>
      <c r="E7" s="2">
        <f>AVERAGE('BAU breakdown'!E14:E25)</f>
        <v>0</v>
      </c>
      <c r="F7" s="2">
        <f>AVERAGE('BAU breakdown'!F14:F25)</f>
        <v>28.470171330675583</v>
      </c>
      <c r="G7" s="2">
        <f>AVERAGE('BAU breakdown'!G14:G25)</f>
        <v>49.698838621920636</v>
      </c>
      <c r="H7" s="2">
        <f>AVERAGE('BAU breakdown'!H14:H25)</f>
        <v>130.57944689658146</v>
      </c>
      <c r="I7" s="2">
        <f>AVERAGE('BAU breakdown'!I14:I25)</f>
        <v>66.931244928528258</v>
      </c>
      <c r="J7" s="2">
        <f>AVERAGE('BAU breakdown'!J14:J25)</f>
        <v>352.13617387094797</v>
      </c>
      <c r="K7" s="2"/>
      <c r="L7" s="2"/>
    </row>
    <row r="8" spans="1:12" x14ac:dyDescent="0.3">
      <c r="A8" s="1" t="s">
        <v>57</v>
      </c>
      <c r="B8" s="2">
        <f>AVERAGE('Wind breakdown'!B14:B25)</f>
        <v>0</v>
      </c>
      <c r="C8" s="2">
        <f>AVERAGE('Wind breakdown'!C14:C25)</f>
        <v>0</v>
      </c>
      <c r="D8" s="2">
        <f>AVERAGE('Wind breakdown'!D14:D25)</f>
        <v>72.86795936046417</v>
      </c>
      <c r="E8" s="2">
        <f>AVERAGE('Wind breakdown'!E14:E25)</f>
        <v>993.16237220412097</v>
      </c>
      <c r="F8" s="2">
        <f>AVERAGE('Wind breakdown'!F14:F25)</f>
        <v>14.302005603773777</v>
      </c>
      <c r="G8" s="2">
        <f>AVERAGE('Wind breakdown'!G14:G25)</f>
        <v>1.3194437766494536</v>
      </c>
      <c r="H8" s="2">
        <f>AVERAGE('Wind breakdown'!H14:H25)</f>
        <v>78.441397689847264</v>
      </c>
      <c r="I8" s="2">
        <f>AVERAGE('Wind breakdown'!I14:I25)</f>
        <v>48.220224748075076</v>
      </c>
      <c r="J8" s="2">
        <f>AVERAGE('Wind breakdown'!J14:J25)</f>
        <v>1208.3134033829308</v>
      </c>
      <c r="K8" s="2">
        <v>90.18382047649493</v>
      </c>
      <c r="L8" s="2">
        <v>180.36764095299031</v>
      </c>
    </row>
    <row r="9" spans="1:12" x14ac:dyDescent="0.3">
      <c r="A9" s="1" t="s">
        <v>57</v>
      </c>
      <c r="B9" s="2">
        <f>AVERAGE('Solar breakdown'!B14:B25)</f>
        <v>0</v>
      </c>
      <c r="C9" s="2">
        <f>AVERAGE('Solar breakdown'!C14:C25)</f>
        <v>0</v>
      </c>
      <c r="D9" s="2">
        <f>AVERAGE('Solar breakdown'!D14:D25)</f>
        <v>72.86795936046417</v>
      </c>
      <c r="E9" s="2">
        <f>AVERAGE('Solar breakdown'!E14:E25)</f>
        <v>1594.2545059223528</v>
      </c>
      <c r="F9" s="2">
        <f>AVERAGE('Solar breakdown'!F14:F25)</f>
        <v>14.302005603773777</v>
      </c>
      <c r="G9" s="2">
        <f>AVERAGE('Solar breakdown'!G14:G25)</f>
        <v>1.3194437766494536</v>
      </c>
      <c r="H9" s="2">
        <f>AVERAGE('Solar breakdown'!H14:H25)</f>
        <v>78.441397689847264</v>
      </c>
      <c r="I9" s="2">
        <f>AVERAGE('Solar breakdown'!I14:I25)</f>
        <v>48.220224748075076</v>
      </c>
      <c r="J9" s="2">
        <f>AVERAGE('Solar breakdown'!J14:J25)</f>
        <v>1809.405537101163</v>
      </c>
      <c r="K9" s="2">
        <f>AVERAGE('Solar breakdown'!K14:K25)</f>
        <v>174.4492297083284</v>
      </c>
      <c r="L9" s="2">
        <f>AVERAGE('Solar breakdown'!L14:L25)</f>
        <v>1027.3121305045997</v>
      </c>
    </row>
    <row r="10" spans="1:12" x14ac:dyDescent="0.3">
      <c r="A10" s="1" t="s">
        <v>57</v>
      </c>
      <c r="B10" s="2">
        <f>AVERAGE('SMR CCS breakdown'!B14:B25)</f>
        <v>0</v>
      </c>
      <c r="C10" s="2">
        <f>AVERAGE('SMR CCS breakdown'!C14:C25)</f>
        <v>0</v>
      </c>
      <c r="D10" s="2">
        <f>AVERAGE('SMR CCS breakdown'!D14:D25)</f>
        <v>72.86795936046417</v>
      </c>
      <c r="E10" s="2">
        <f>AVERAGE('SMR CCS breakdown'!E14:E25)</f>
        <v>279.24142432444444</v>
      </c>
      <c r="F10" s="2">
        <f>AVERAGE('SMR CCS breakdown'!F14:F25)</f>
        <v>14.302005603773777</v>
      </c>
      <c r="G10" s="2">
        <f>AVERAGE('SMR CCS breakdown'!G14:G25)</f>
        <v>1.3194437766494536</v>
      </c>
      <c r="H10" s="2">
        <f>AVERAGE('SMR CCS breakdown'!H14:H25)</f>
        <v>78.441397689847264</v>
      </c>
      <c r="I10" s="2">
        <f>AVERAGE('SMR CCS breakdown'!I14:I25)</f>
        <v>48.220224748075076</v>
      </c>
      <c r="J10" s="2">
        <f>AVERAGE('SMR CCS breakdown'!J14:J25)</f>
        <v>494.3924555032541</v>
      </c>
      <c r="K10" s="2"/>
      <c r="L10" s="2"/>
    </row>
    <row r="11" spans="1:12" x14ac:dyDescent="0.3">
      <c r="A11" s="1" t="s">
        <v>57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/>
      <c r="L11" s="2"/>
    </row>
    <row r="12" spans="1:12" x14ac:dyDescent="0.3">
      <c r="A12" s="1" t="s">
        <v>14</v>
      </c>
      <c r="B12" s="2">
        <f>'BAU breakdown'!B32</f>
        <v>294.42163529452222</v>
      </c>
      <c r="C12" s="2">
        <f>'BAU breakdown'!C32</f>
        <v>0.17165548585356102</v>
      </c>
      <c r="D12" s="2">
        <f>'BAU breakdown'!D32</f>
        <v>0</v>
      </c>
      <c r="E12" s="2">
        <f>'BAU breakdown'!E32</f>
        <v>0</v>
      </c>
      <c r="F12" s="2">
        <f>'BAU breakdown'!F32</f>
        <v>76.037900365916713</v>
      </c>
      <c r="G12" s="2">
        <f>'BAU breakdown'!G32</f>
        <v>59.018412855283152</v>
      </c>
      <c r="H12" s="2">
        <f>'BAU breakdown'!H32</f>
        <v>155.0658309338807</v>
      </c>
      <c r="I12" s="2">
        <f>'BAU breakdown'!I32</f>
        <v>79.482256641056694</v>
      </c>
      <c r="J12" s="2">
        <f>'BAU breakdown'!J32</f>
        <v>664.19769157651297</v>
      </c>
      <c r="K12" s="2"/>
      <c r="L12" s="2"/>
    </row>
    <row r="13" spans="1:12" x14ac:dyDescent="0.3">
      <c r="A13" s="1" t="s">
        <v>14</v>
      </c>
      <c r="B13" s="2">
        <f>'Wind breakdown'!B32</f>
        <v>0</v>
      </c>
      <c r="C13" s="2">
        <f>'Wind breakdown'!C32</f>
        <v>0</v>
      </c>
      <c r="D13" s="2">
        <f>'Wind breakdown'!D32</f>
        <v>86.53222949884038</v>
      </c>
      <c r="E13" s="2">
        <f>'Wind breakdown'!E32</f>
        <v>947.8055724799558</v>
      </c>
      <c r="F13" s="2">
        <f>'Wind breakdown'!F32</f>
        <v>38.197679406333492</v>
      </c>
      <c r="G13" s="2">
        <f>'Wind breakdown'!G32</f>
        <v>1.5668671483861338</v>
      </c>
      <c r="H13" s="2">
        <f>'Wind breakdown'!H32</f>
        <v>93.150804368352667</v>
      </c>
      <c r="I13" s="2">
        <f>'Wind breakdown'!I32</f>
        <v>57.262527879297458</v>
      </c>
      <c r="J13" s="2">
        <f>'Wind breakdown'!J32</f>
        <v>1224.5156807811661</v>
      </c>
      <c r="K13" s="2">
        <f>'Wind breakdown'!K32</f>
        <v>155.0659819629584</v>
      </c>
      <c r="L13" s="2">
        <f>'Wind breakdown'!L32</f>
        <v>164.75760583564329</v>
      </c>
    </row>
    <row r="14" spans="1:12" x14ac:dyDescent="0.3">
      <c r="A14" s="1" t="s">
        <v>14</v>
      </c>
      <c r="B14" s="2">
        <f>'Solar breakdown'!B32</f>
        <v>0</v>
      </c>
      <c r="C14" s="2">
        <f>'Solar breakdown'!C32</f>
        <v>0</v>
      </c>
      <c r="D14" s="2">
        <f>'Solar breakdown'!D32</f>
        <v>86.53222949884038</v>
      </c>
      <c r="E14" s="2">
        <f>'Solar breakdown'!E32</f>
        <v>1447.0651709977403</v>
      </c>
      <c r="F14" s="2">
        <f>'Solar breakdown'!F32</f>
        <v>38.197679406333492</v>
      </c>
      <c r="G14" s="2">
        <f>'Solar breakdown'!G32</f>
        <v>1.5668671483861338</v>
      </c>
      <c r="H14" s="2">
        <f>'Solar breakdown'!H32</f>
        <v>93.150804368352667</v>
      </c>
      <c r="I14" s="2">
        <f>'Solar breakdown'!I32</f>
        <v>57.262527879297458</v>
      </c>
      <c r="J14" s="2">
        <f>'Solar breakdown'!J32</f>
        <v>1723.7752792989506</v>
      </c>
      <c r="K14" s="2">
        <f>'Solar breakdown'!K32</f>
        <v>184.14085358101329</v>
      </c>
      <c r="L14" s="2">
        <f>'Solar breakdown'!L32</f>
        <v>697.79691883331338</v>
      </c>
    </row>
    <row r="15" spans="1:12" x14ac:dyDescent="0.3">
      <c r="A15" s="1" t="s">
        <v>14</v>
      </c>
      <c r="B15" s="2">
        <f>'SMR CCS breakdown'!B32</f>
        <v>0</v>
      </c>
      <c r="C15" s="2">
        <f>'SMR CCS breakdown'!C32</f>
        <v>0</v>
      </c>
      <c r="D15" s="2">
        <f>'SMR CCS breakdown'!D32</f>
        <v>86.53222949884038</v>
      </c>
      <c r="E15" s="2">
        <f>'SMR CCS breakdown'!E32</f>
        <v>601.47421239413393</v>
      </c>
      <c r="F15" s="2">
        <f>'SMR CCS breakdown'!F32</f>
        <v>38.197679406333492</v>
      </c>
      <c r="G15" s="2">
        <f>'SMR CCS breakdown'!G32</f>
        <v>1.5668671483861338</v>
      </c>
      <c r="H15" s="2">
        <f>'SMR CCS breakdown'!H32</f>
        <v>93.150804368352667</v>
      </c>
      <c r="I15" s="2">
        <f>'SMR CCS breakdown'!I32</f>
        <v>57.262527879297458</v>
      </c>
      <c r="J15" s="2">
        <f>'SMR CCS breakdown'!J32</f>
        <v>878.1843206953439</v>
      </c>
      <c r="K15" s="2"/>
      <c r="L15" s="2"/>
    </row>
    <row r="16" spans="1:12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/>
      <c r="L16" s="2"/>
    </row>
    <row r="17" spans="1:13" x14ac:dyDescent="0.3">
      <c r="A17" s="1" t="s">
        <v>11</v>
      </c>
      <c r="B17" s="2">
        <f>'BAU breakdown'!B35</f>
        <v>730.7587350835264</v>
      </c>
      <c r="C17" s="2">
        <f>'BAU breakdown'!C35</f>
        <v>0.17165548585356102</v>
      </c>
      <c r="D17" s="2">
        <f>'BAU breakdown'!D35</f>
        <v>0</v>
      </c>
      <c r="E17" s="2">
        <f>'BAU breakdown'!E35</f>
        <v>0</v>
      </c>
      <c r="F17" s="2">
        <f>'BAU breakdown'!F35</f>
        <v>130.52440173526901</v>
      </c>
      <c r="G17" s="2">
        <f>'BAU breakdown'!G35</f>
        <v>59.018412855283152</v>
      </c>
      <c r="H17" s="2">
        <f>'BAU breakdown'!H35</f>
        <v>155.0658309338807</v>
      </c>
      <c r="I17" s="2">
        <f>'BAU breakdown'!I35</f>
        <v>79.482256641056694</v>
      </c>
      <c r="J17" s="2">
        <f>'BAU breakdown'!J35</f>
        <v>1155.0212927348693</v>
      </c>
      <c r="K17" s="2"/>
      <c r="L17" s="2"/>
      <c r="M17" s="2"/>
    </row>
    <row r="18" spans="1:13" x14ac:dyDescent="0.3">
      <c r="A18" s="1" t="s">
        <v>11</v>
      </c>
      <c r="B18" s="2">
        <f>'Wind breakdown'!B35</f>
        <v>0</v>
      </c>
      <c r="C18" s="2">
        <f>'Wind breakdown'!C35</f>
        <v>0</v>
      </c>
      <c r="D18" s="2">
        <f>'Wind breakdown'!D35</f>
        <v>86.53222949884038</v>
      </c>
      <c r="E18" s="2">
        <f>'Wind breakdown'!E35</f>
        <v>947.8055724799558</v>
      </c>
      <c r="F18" s="2">
        <f>'Wind breakdown'!F35</f>
        <v>65.569002144910499</v>
      </c>
      <c r="G18" s="2">
        <f>'Wind breakdown'!G35</f>
        <v>1.5668671483861338</v>
      </c>
      <c r="H18" s="2">
        <f>'Wind breakdown'!H35</f>
        <v>93.150804368352667</v>
      </c>
      <c r="I18" s="2">
        <f>'Wind breakdown'!I35</f>
        <v>57.262527879297458</v>
      </c>
      <c r="J18" s="2">
        <f>'Wind breakdown'!J35</f>
        <v>1251.8870035197431</v>
      </c>
      <c r="K18" s="2">
        <f>'Wind breakdown'!K35</f>
        <v>155.0659819629584</v>
      </c>
      <c r="L18" s="2">
        <f>'Wind breakdown'!L35</f>
        <v>164.75760583564329</v>
      </c>
    </row>
    <row r="19" spans="1:13" x14ac:dyDescent="0.3">
      <c r="A19" s="1" t="s">
        <v>11</v>
      </c>
      <c r="B19" s="2">
        <f>'Solar breakdown'!B35</f>
        <v>0</v>
      </c>
      <c r="C19" s="2">
        <f>'Solar breakdown'!C35</f>
        <v>0</v>
      </c>
      <c r="D19" s="2">
        <f>'Solar breakdown'!D35</f>
        <v>86.53222949884038</v>
      </c>
      <c r="E19" s="2">
        <f>'Solar breakdown'!E35</f>
        <v>1447.0651709977403</v>
      </c>
      <c r="F19" s="2">
        <f>'Solar breakdown'!F35</f>
        <v>65.569002144910499</v>
      </c>
      <c r="G19" s="2">
        <f>'Solar breakdown'!G35</f>
        <v>1.5668671483861338</v>
      </c>
      <c r="H19" s="2">
        <f>'Solar breakdown'!H35</f>
        <v>93.150804368352667</v>
      </c>
      <c r="I19" s="2">
        <f>'Solar breakdown'!I35</f>
        <v>57.262527879297458</v>
      </c>
      <c r="J19" s="2">
        <f>'Solar breakdown'!J35</f>
        <v>1751.1466020375276</v>
      </c>
      <c r="K19" s="2">
        <f>'Solar breakdown'!K35</f>
        <v>184.14085358101329</v>
      </c>
      <c r="L19" s="2">
        <f>'Solar breakdown'!L35</f>
        <v>697.79691883331338</v>
      </c>
    </row>
    <row r="20" spans="1:13" x14ac:dyDescent="0.3">
      <c r="A20" s="1" t="s">
        <v>11</v>
      </c>
      <c r="B20" s="2">
        <f>'SMR CCS breakdown'!B35</f>
        <v>0</v>
      </c>
      <c r="C20" s="2">
        <f>'SMR CCS breakdown'!C35</f>
        <v>0</v>
      </c>
      <c r="D20" s="2">
        <f>'SMR CCS breakdown'!D35</f>
        <v>86.53222949884038</v>
      </c>
      <c r="E20" s="2">
        <f>'SMR CCS breakdown'!E35</f>
        <v>1179.26687581648</v>
      </c>
      <c r="F20" s="2">
        <f>'SMR CCS breakdown'!F35</f>
        <v>65.569002144910499</v>
      </c>
      <c r="G20" s="2">
        <f>'SMR CCS breakdown'!G35</f>
        <v>1.5668671483861338</v>
      </c>
      <c r="H20" s="2">
        <f>'SMR CCS breakdown'!H35</f>
        <v>93.150804368352667</v>
      </c>
      <c r="I20" s="2">
        <f>'SMR CCS breakdown'!I35</f>
        <v>57.262527879297458</v>
      </c>
      <c r="J20" s="2">
        <f>'SMR CCS breakdown'!J35</f>
        <v>1483.3483068562673</v>
      </c>
      <c r="K20" s="2"/>
      <c r="L20" s="2"/>
    </row>
    <row r="21" spans="1:13" x14ac:dyDescent="0.3">
      <c r="A21" s="1" t="s">
        <v>11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/>
      <c r="L21" s="2"/>
    </row>
    <row r="22" spans="1:13" x14ac:dyDescent="0.3">
      <c r="A22" s="1" t="s">
        <v>8</v>
      </c>
      <c r="B22" s="2">
        <f>'BAU breakdown'!B38</f>
        <v>665.0963559890647</v>
      </c>
      <c r="C22" s="2">
        <f>'BAU breakdown'!C38</f>
        <v>0.19820389786057363</v>
      </c>
      <c r="D22" s="2">
        <f>'BAU breakdown'!D38</f>
        <v>0</v>
      </c>
      <c r="E22" s="2">
        <f>'BAU breakdown'!E38</f>
        <v>0</v>
      </c>
      <c r="F22" s="2">
        <f>'BAU breakdown'!F38</f>
        <v>157.02401690769392</v>
      </c>
      <c r="G22" s="2">
        <f>'BAU breakdown'!G38</f>
        <v>68.146260606206184</v>
      </c>
      <c r="H22" s="2">
        <f>'BAU breakdown'!H38</f>
        <v>179.04847004018006</v>
      </c>
      <c r="I22" s="2">
        <f>'BAU breakdown'!I38</f>
        <v>91.77506328257607</v>
      </c>
      <c r="J22" s="2">
        <f>'BAU breakdown'!J38</f>
        <v>1161.2883707235815</v>
      </c>
      <c r="K22" s="2"/>
      <c r="L22" s="2"/>
    </row>
    <row r="23" spans="1:13" x14ac:dyDescent="0.3">
      <c r="A23" s="1" t="s">
        <v>8</v>
      </c>
      <c r="B23" s="2">
        <f>'Wind breakdown'!B38</f>
        <v>0</v>
      </c>
      <c r="C23" s="2">
        <f>'Wind breakdown'!C38</f>
        <v>0</v>
      </c>
      <c r="D23" s="2">
        <f>'Wind breakdown'!D38</f>
        <v>99.91539211200849</v>
      </c>
      <c r="E23" s="2">
        <f>'Wind breakdown'!E38</f>
        <v>1094.3941461897796</v>
      </c>
      <c r="F23" s="2">
        <f>'Wind breakdown'!F38</f>
        <v>78.88109782188711</v>
      </c>
      <c r="G23" s="2">
        <f>'Wind breakdown'!G38</f>
        <v>1.809200414979752</v>
      </c>
      <c r="H23" s="2">
        <f>'Wind breakdown'!H38</f>
        <v>107.55760250159366</v>
      </c>
      <c r="I23" s="2">
        <f>'Wind breakdown'!I38</f>
        <v>66.118808674188799</v>
      </c>
      <c r="J23" s="2">
        <f>'Wind breakdown'!J38</f>
        <v>1448.6762477144375</v>
      </c>
      <c r="K23" s="2">
        <f>'Wind breakdown'!K38</f>
        <v>179.04864442756889</v>
      </c>
      <c r="L23" s="2">
        <f>'Wind breakdown'!L38</f>
        <v>190.23918470429157</v>
      </c>
    </row>
    <row r="24" spans="1:13" x14ac:dyDescent="0.3">
      <c r="A24" s="1" t="s">
        <v>8</v>
      </c>
      <c r="B24" s="2">
        <f>'Solar breakdown'!B38</f>
        <v>0</v>
      </c>
      <c r="C24" s="2">
        <f>'Solar breakdown'!C38</f>
        <v>0</v>
      </c>
      <c r="D24" s="2">
        <f>'Solar breakdown'!D38</f>
        <v>99.91539211200849</v>
      </c>
      <c r="E24" s="2">
        <f>'Solar breakdown'!E38</f>
        <v>1670.8697419359501</v>
      </c>
      <c r="F24" s="2">
        <f>'Solar breakdown'!F38</f>
        <v>78.88109782188711</v>
      </c>
      <c r="G24" s="2">
        <f>'Solar breakdown'!G38</f>
        <v>1.809200414979752</v>
      </c>
      <c r="H24" s="2">
        <f>'Solar breakdown'!H38</f>
        <v>107.55760250159366</v>
      </c>
      <c r="I24" s="2">
        <f>'Solar breakdown'!I38</f>
        <v>66.118808674188799</v>
      </c>
      <c r="J24" s="2">
        <f>'Solar breakdown'!J38</f>
        <v>2025.151843460608</v>
      </c>
      <c r="K24" s="2">
        <f>'Solar breakdown'!K38</f>
        <v>212.62026525773786</v>
      </c>
      <c r="L24" s="2">
        <f>'Solar breakdown'!L38</f>
        <v>805.71889992405863</v>
      </c>
    </row>
    <row r="25" spans="1:13" x14ac:dyDescent="0.3">
      <c r="A25" s="1" t="s">
        <v>8</v>
      </c>
      <c r="B25" s="2">
        <f>'SMR CCS breakdown'!B38</f>
        <v>0</v>
      </c>
      <c r="C25" s="2">
        <f>'SMR CCS breakdown'!C38</f>
        <v>0</v>
      </c>
      <c r="D25" s="2">
        <f>'SMR CCS breakdown'!D38</f>
        <v>99.91539211200849</v>
      </c>
      <c r="E25" s="2">
        <f>'SMR CCS breakdown'!E38</f>
        <v>1125.0444469765989</v>
      </c>
      <c r="F25" s="2">
        <f>'SMR CCS breakdown'!F38</f>
        <v>78.88109782188711</v>
      </c>
      <c r="G25" s="2">
        <f>'SMR CCS breakdown'!G38</f>
        <v>1.809200414979752</v>
      </c>
      <c r="H25" s="2">
        <f>'SMR CCS breakdown'!H38</f>
        <v>107.55760250159366</v>
      </c>
      <c r="I25" s="2">
        <f>'SMR CCS breakdown'!I38</f>
        <v>66.118808674188799</v>
      </c>
      <c r="J25" s="2">
        <f>'SMR CCS breakdown'!J38</f>
        <v>1479.3265485012569</v>
      </c>
      <c r="K25" s="2"/>
      <c r="L25" s="2"/>
    </row>
    <row r="26" spans="1:13" x14ac:dyDescent="0.3">
      <c r="A26" s="1" t="s">
        <v>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/>
      <c r="L26" s="2"/>
    </row>
    <row r="27" spans="1:13" x14ac:dyDescent="0.3">
      <c r="A27" s="1" t="s">
        <v>5</v>
      </c>
      <c r="B27" s="2">
        <f>'BAU breakdown'!B41</f>
        <v>757.82387341995343</v>
      </c>
      <c r="C27" s="2">
        <f>'BAU breakdown'!C41</f>
        <v>0.19820389786057363</v>
      </c>
      <c r="D27" s="2">
        <f>'BAU breakdown'!D41</f>
        <v>0</v>
      </c>
      <c r="E27" s="2">
        <f>'BAU breakdown'!E41</f>
        <v>0</v>
      </c>
      <c r="F27" s="2">
        <f>'BAU breakdown'!F41</f>
        <v>155.27483652038595</v>
      </c>
      <c r="G27" s="2">
        <f>'BAU breakdown'!G41</f>
        <v>68.146260606206184</v>
      </c>
      <c r="H27" s="2">
        <f>'BAU breakdown'!H41</f>
        <v>179.04847004018006</v>
      </c>
      <c r="I27" s="2">
        <f>'BAU breakdown'!I41</f>
        <v>91.77506328257607</v>
      </c>
      <c r="J27" s="2">
        <f>'BAU breakdown'!J41</f>
        <v>1252.2667077671622</v>
      </c>
      <c r="K27" s="2"/>
      <c r="L27" s="2"/>
    </row>
    <row r="28" spans="1:13" x14ac:dyDescent="0.3">
      <c r="A28" s="1" t="s">
        <v>5</v>
      </c>
      <c r="B28" s="2">
        <f>'Wind breakdown'!B41</f>
        <v>0</v>
      </c>
      <c r="C28" s="2">
        <f>'Wind breakdown'!C41</f>
        <v>0</v>
      </c>
      <c r="D28" s="2">
        <f>'Wind breakdown'!D41</f>
        <v>99.91539211200849</v>
      </c>
      <c r="E28" s="2">
        <f>'Wind breakdown'!E41</f>
        <v>1094.3941461897796</v>
      </c>
      <c r="F28" s="2">
        <f>'Wind breakdown'!F41</f>
        <v>78.002396130537079</v>
      </c>
      <c r="G28" s="2">
        <f>'Wind breakdown'!G41</f>
        <v>1.809200414979752</v>
      </c>
      <c r="H28" s="2">
        <f>'Wind breakdown'!H41</f>
        <v>107.55760250159366</v>
      </c>
      <c r="I28" s="2">
        <f>'Wind breakdown'!I41</f>
        <v>66.118808674188799</v>
      </c>
      <c r="J28" s="2">
        <f>'Wind breakdown'!J41</f>
        <v>1447.7975460230875</v>
      </c>
      <c r="K28" s="2">
        <f>'Wind breakdown'!K41</f>
        <v>179.04864442756866</v>
      </c>
      <c r="L28" s="2">
        <f>'Wind breakdown'!L41</f>
        <v>190.23918470429157</v>
      </c>
    </row>
    <row r="29" spans="1:13" x14ac:dyDescent="0.3">
      <c r="A29" s="1" t="s">
        <v>5</v>
      </c>
      <c r="B29" s="2">
        <f>'Solar breakdown'!B41</f>
        <v>0</v>
      </c>
      <c r="C29" s="2">
        <f>'Solar breakdown'!C41</f>
        <v>0</v>
      </c>
      <c r="D29" s="2">
        <f>'Solar breakdown'!D41</f>
        <v>99.91539211200849</v>
      </c>
      <c r="E29" s="2">
        <f>'Solar breakdown'!E41</f>
        <v>1670.8697419359501</v>
      </c>
      <c r="F29" s="2">
        <f>'Solar breakdown'!F41</f>
        <v>78.002396130537079</v>
      </c>
      <c r="G29" s="2">
        <f>'Solar breakdown'!G41</f>
        <v>1.809200414979752</v>
      </c>
      <c r="H29" s="2">
        <f>'Solar breakdown'!H41</f>
        <v>107.55760250159366</v>
      </c>
      <c r="I29" s="2">
        <f>'Solar breakdown'!I41</f>
        <v>66.118808674188799</v>
      </c>
      <c r="J29" s="2">
        <f>'Solar breakdown'!J41</f>
        <v>2024.273141769258</v>
      </c>
      <c r="K29" s="2">
        <f>'Solar breakdown'!K41</f>
        <v>212.62026525773786</v>
      </c>
      <c r="L29" s="2">
        <f>'Solar breakdown'!L41</f>
        <v>805.71889992405886</v>
      </c>
    </row>
    <row r="30" spans="1:13" x14ac:dyDescent="0.3">
      <c r="A30" s="1" t="s">
        <v>5</v>
      </c>
      <c r="B30" s="2">
        <f>'SMR CCS breakdown'!B41</f>
        <v>0</v>
      </c>
      <c r="C30" s="2">
        <f>'SMR CCS breakdown'!C41</f>
        <v>0</v>
      </c>
      <c r="D30" s="2">
        <f>'SMR CCS breakdown'!D41</f>
        <v>99.91539211200849</v>
      </c>
      <c r="E30" s="2">
        <f>'SMR CCS breakdown'!E41</f>
        <v>1247.8331791170544</v>
      </c>
      <c r="F30" s="2">
        <f>'SMR CCS breakdown'!F41</f>
        <v>78.002396130537079</v>
      </c>
      <c r="G30" s="2">
        <f>'SMR CCS breakdown'!G41</f>
        <v>1.809200414979752</v>
      </c>
      <c r="H30" s="2">
        <f>'SMR CCS breakdown'!H41</f>
        <v>107.55760250159366</v>
      </c>
      <c r="I30" s="2">
        <f>'SMR CCS breakdown'!I41</f>
        <v>66.118808674188799</v>
      </c>
      <c r="J30" s="2">
        <f>'SMR CCS breakdown'!J41</f>
        <v>1601.2365789503624</v>
      </c>
      <c r="K30" s="2"/>
      <c r="L30" s="2"/>
    </row>
    <row r="31" spans="1:13" x14ac:dyDescent="0.3">
      <c r="A31" s="1" t="s">
        <v>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  <c r="L31" s="2"/>
    </row>
    <row r="32" spans="1:13" x14ac:dyDescent="0.3">
      <c r="A32" s="1" t="s">
        <v>2</v>
      </c>
      <c r="B32" s="2">
        <f>'BAU breakdown'!B44</f>
        <v>1208.0465659206895</v>
      </c>
      <c r="C32" s="2">
        <f>'BAU breakdown'!C44</f>
        <v>0.19820389786057363</v>
      </c>
      <c r="D32" s="2">
        <f>'BAU breakdown'!D44</f>
        <v>0</v>
      </c>
      <c r="E32" s="2">
        <f>'BAU breakdown'!E44</f>
        <v>0</v>
      </c>
      <c r="F32" s="2">
        <f>'BAU breakdown'!F44</f>
        <v>294.89123470733057</v>
      </c>
      <c r="G32" s="2">
        <f>'BAU breakdown'!G44</f>
        <v>68.146260606206184</v>
      </c>
      <c r="H32" s="2">
        <f>'BAU breakdown'!H44</f>
        <v>179.04847004018006</v>
      </c>
      <c r="I32" s="2">
        <f>'BAU breakdown'!I44</f>
        <v>91.77506328257607</v>
      </c>
      <c r="J32" s="2">
        <f>'BAU breakdown'!J44</f>
        <v>1842.1057984548429</v>
      </c>
      <c r="K32" s="2"/>
      <c r="L32" s="2"/>
    </row>
    <row r="33" spans="1:12" x14ac:dyDescent="0.3">
      <c r="A33" s="1" t="s">
        <v>2</v>
      </c>
      <c r="B33" s="2">
        <f>'Wind breakdown'!B44</f>
        <v>0</v>
      </c>
      <c r="C33" s="2">
        <f>'Wind breakdown'!C44</f>
        <v>0</v>
      </c>
      <c r="D33" s="2">
        <f>'Wind breakdown'!D44</f>
        <v>99.91539211200849</v>
      </c>
      <c r="E33" s="2">
        <f>'Wind breakdown'!E44</f>
        <v>1094.3941461897796</v>
      </c>
      <c r="F33" s="2">
        <f>'Wind breakdown'!F44</f>
        <v>148.13876749465734</v>
      </c>
      <c r="G33" s="2">
        <f>'Wind breakdown'!G44</f>
        <v>1.809200414979752</v>
      </c>
      <c r="H33" s="2">
        <f>'Wind breakdown'!H44</f>
        <v>107.55760250159366</v>
      </c>
      <c r="I33" s="2">
        <f>'Wind breakdown'!I44</f>
        <v>66.118808674188799</v>
      </c>
      <c r="J33" s="2">
        <f>'Wind breakdown'!J44</f>
        <v>1517.9339173872077</v>
      </c>
      <c r="K33" s="2">
        <f>'Wind breakdown'!K44</f>
        <v>179.04864442756889</v>
      </c>
      <c r="L33" s="2">
        <f>'Wind breakdown'!L44</f>
        <v>190.23918470429157</v>
      </c>
    </row>
    <row r="34" spans="1:12" x14ac:dyDescent="0.3">
      <c r="A34" s="1" t="s">
        <v>2</v>
      </c>
      <c r="B34" s="2">
        <f>'Solar breakdown'!B44</f>
        <v>0</v>
      </c>
      <c r="C34" s="2">
        <f>'Solar breakdown'!C44</f>
        <v>0</v>
      </c>
      <c r="D34" s="2">
        <f>'Solar breakdown'!D44</f>
        <v>99.91539211200849</v>
      </c>
      <c r="E34" s="2">
        <f>'Solar breakdown'!E44</f>
        <v>1670.8697419359501</v>
      </c>
      <c r="F34" s="2">
        <f>'Solar breakdown'!F44</f>
        <v>148.13876749465734</v>
      </c>
      <c r="G34" s="2">
        <f>'Solar breakdown'!G44</f>
        <v>1.809200414979752</v>
      </c>
      <c r="H34" s="2">
        <f>'Solar breakdown'!H44</f>
        <v>107.55760250159366</v>
      </c>
      <c r="I34" s="2">
        <f>'Solar breakdown'!I44</f>
        <v>66.118808674188799</v>
      </c>
      <c r="J34" s="2">
        <f>'Solar breakdown'!J44</f>
        <v>2094.4095131333779</v>
      </c>
      <c r="K34" s="2">
        <f>'Solar breakdown'!K44</f>
        <v>212.62026525773786</v>
      </c>
      <c r="L34" s="2">
        <f>'Solar breakdown'!L44</f>
        <v>805.71889992405886</v>
      </c>
    </row>
    <row r="35" spans="1:12" x14ac:dyDescent="0.3">
      <c r="A35" s="1" t="s">
        <v>2</v>
      </c>
      <c r="B35" s="2">
        <f>'SMR CCS breakdown'!B44</f>
        <v>0</v>
      </c>
      <c r="C35" s="2">
        <f>'SMR CCS breakdown'!C44</f>
        <v>0</v>
      </c>
      <c r="D35" s="2">
        <f>'SMR CCS breakdown'!D44</f>
        <v>99.91539211200849</v>
      </c>
      <c r="E35" s="2">
        <f>'SMR CCS breakdown'!E44</f>
        <v>1844.0129877076413</v>
      </c>
      <c r="F35" s="2">
        <f>'SMR CCS breakdown'!F44</f>
        <v>148.13876749465734</v>
      </c>
      <c r="G35" s="2">
        <f>'SMR CCS breakdown'!G44</f>
        <v>1.809200414979752</v>
      </c>
      <c r="H35" s="2">
        <f>'SMR CCS breakdown'!H44</f>
        <v>107.55760250159366</v>
      </c>
      <c r="I35" s="2">
        <f>'SMR CCS breakdown'!I44</f>
        <v>66.118808674188799</v>
      </c>
      <c r="J35" s="2">
        <f>'SMR CCS breakdown'!J44</f>
        <v>2267.5527589050689</v>
      </c>
      <c r="K35" s="2"/>
      <c r="L35" s="2"/>
    </row>
    <row r="36" spans="1:12" x14ac:dyDescent="0.3">
      <c r="A36" s="1" t="s">
        <v>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/>
      <c r="L36" s="2"/>
    </row>
    <row r="37" spans="1:12" x14ac:dyDescent="0.3">
      <c r="A37" s="1" t="s">
        <v>1</v>
      </c>
      <c r="B37" s="2">
        <f>'BAU breakdown'!B45</f>
        <v>1648.3845992029048</v>
      </c>
      <c r="C37" s="2">
        <f>'BAU breakdown'!C45</f>
        <v>0.19820389786057363</v>
      </c>
      <c r="D37" s="2">
        <f>'BAU breakdown'!D45</f>
        <v>0</v>
      </c>
      <c r="E37" s="2">
        <f>'BAU breakdown'!E45</f>
        <v>0</v>
      </c>
      <c r="F37" s="2">
        <f>'BAU breakdown'!F45</f>
        <v>439.02556940266959</v>
      </c>
      <c r="G37" s="2">
        <f>'BAU breakdown'!G45</f>
        <v>68.146260606206184</v>
      </c>
      <c r="H37" s="2">
        <f>'BAU breakdown'!H45</f>
        <v>179.04847004018006</v>
      </c>
      <c r="I37" s="2">
        <f>'BAU breakdown'!I45</f>
        <v>91.77506328257607</v>
      </c>
      <c r="J37" s="2">
        <f>'BAU breakdown'!J45</f>
        <v>2426.5781664323972</v>
      </c>
      <c r="K37" s="2"/>
      <c r="L37" s="2"/>
    </row>
    <row r="38" spans="1:12" x14ac:dyDescent="0.3">
      <c r="A38" s="1" t="s">
        <v>1</v>
      </c>
      <c r="B38" s="2">
        <f>'Wind breakdown'!B45</f>
        <v>0</v>
      </c>
      <c r="C38" s="2">
        <f>'Wind breakdown'!C45</f>
        <v>0</v>
      </c>
      <c r="D38" s="2">
        <f>'Wind breakdown'!D45</f>
        <v>99.91539211200849</v>
      </c>
      <c r="E38" s="2">
        <f>'Wind breakdown'!E45</f>
        <v>1094.3941461897796</v>
      </c>
      <c r="F38" s="2">
        <f>'Wind breakdown'!F45</f>
        <v>220.54472664980469</v>
      </c>
      <c r="G38" s="2">
        <f>'Wind breakdown'!G45</f>
        <v>1.809200414979752</v>
      </c>
      <c r="H38" s="2">
        <f>'Wind breakdown'!H45</f>
        <v>107.55760250159366</v>
      </c>
      <c r="I38" s="2">
        <f>'Wind breakdown'!I45</f>
        <v>66.118808674188799</v>
      </c>
      <c r="J38" s="2">
        <f>'Wind breakdown'!J45</f>
        <v>1590.3398765423551</v>
      </c>
      <c r="K38" s="2">
        <f>'Wind breakdown'!K45</f>
        <v>179.04864442756866</v>
      </c>
      <c r="L38" s="2">
        <f>'Wind breakdown'!L45</f>
        <v>190.23918470429157</v>
      </c>
    </row>
    <row r="39" spans="1:12" x14ac:dyDescent="0.3">
      <c r="A39" s="1" t="s">
        <v>1</v>
      </c>
      <c r="B39" s="2">
        <f>'Solar breakdown'!B45</f>
        <v>0</v>
      </c>
      <c r="C39" s="2">
        <f>'Solar breakdown'!C45</f>
        <v>0</v>
      </c>
      <c r="D39" s="2">
        <f>'Solar breakdown'!D45</f>
        <v>99.91539211200849</v>
      </c>
      <c r="E39" s="2">
        <f>'Solar breakdown'!E45</f>
        <v>1670.8697419359501</v>
      </c>
      <c r="F39" s="2">
        <f>'Solar breakdown'!F45</f>
        <v>220.54472664980469</v>
      </c>
      <c r="G39" s="2">
        <f>'Solar breakdown'!G45</f>
        <v>1.809200414979752</v>
      </c>
      <c r="H39" s="2">
        <f>'Solar breakdown'!H45</f>
        <v>107.55760250159366</v>
      </c>
      <c r="I39" s="2">
        <f>'Solar breakdown'!I45</f>
        <v>66.118808674188799</v>
      </c>
      <c r="J39" s="2">
        <f>'Solar breakdown'!J45</f>
        <v>2166.8154722885251</v>
      </c>
      <c r="K39" s="2">
        <f>'Solar breakdown'!K45</f>
        <v>212.62026525773786</v>
      </c>
      <c r="L39" s="2">
        <f>'Solar breakdown'!L45</f>
        <v>805.71889992405886</v>
      </c>
    </row>
    <row r="40" spans="1:12" x14ac:dyDescent="0.3">
      <c r="A40" s="1" t="s">
        <v>1</v>
      </c>
      <c r="B40" s="2">
        <f>'SMR CCS breakdown'!B45</f>
        <v>0</v>
      </c>
      <c r="C40" s="2">
        <f>'SMR CCS breakdown'!C45</f>
        <v>0</v>
      </c>
      <c r="D40" s="2">
        <f>'SMR CCS breakdown'!D45</f>
        <v>99.91539211200849</v>
      </c>
      <c r="E40" s="2">
        <f>'SMR CCS breakdown'!E45</f>
        <v>2427.1036421106669</v>
      </c>
      <c r="F40" s="2">
        <f>'SMR CCS breakdown'!F45</f>
        <v>220.54472664980469</v>
      </c>
      <c r="G40" s="2">
        <f>'SMR CCS breakdown'!G45</f>
        <v>1.809200414979752</v>
      </c>
      <c r="H40" s="2">
        <f>'SMR CCS breakdown'!H45</f>
        <v>107.55760250159366</v>
      </c>
      <c r="I40" s="2">
        <f>'SMR CCS breakdown'!I45</f>
        <v>66.118808674188799</v>
      </c>
      <c r="J40" s="2">
        <f>'SMR CCS breakdown'!J45</f>
        <v>2923.049372463242</v>
      </c>
      <c r="K40" s="2"/>
      <c r="L40" s="2"/>
    </row>
    <row r="41" spans="1:12" x14ac:dyDescent="0.3">
      <c r="A41" s="1" t="s">
        <v>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/>
      <c r="L41" s="2"/>
    </row>
    <row r="42" spans="1:12" x14ac:dyDescent="0.3">
      <c r="A42" s="1" t="s">
        <v>0</v>
      </c>
      <c r="B42" s="2">
        <f>'BAU breakdown'!B46</f>
        <v>1390.9127614633303</v>
      </c>
      <c r="C42" s="2">
        <f>'BAU breakdown'!C46</f>
        <v>0.19820389786057363</v>
      </c>
      <c r="D42" s="2">
        <f>'BAU breakdown'!D46</f>
        <v>0</v>
      </c>
      <c r="E42" s="2">
        <f>'BAU breakdown'!E46</f>
        <v>0</v>
      </c>
      <c r="F42" s="2">
        <f>'BAU breakdown'!F46</f>
        <v>336.90897962597961</v>
      </c>
      <c r="G42" s="2">
        <f>'BAU breakdown'!G46</f>
        <v>68.146260606206184</v>
      </c>
      <c r="H42" s="2">
        <f>'BAU breakdown'!H46</f>
        <v>179.04847004018006</v>
      </c>
      <c r="I42" s="2">
        <f>'BAU breakdown'!I46</f>
        <v>91.77506328257607</v>
      </c>
      <c r="J42" s="2">
        <f>'BAU breakdown'!J46</f>
        <v>2066.9897389161329</v>
      </c>
      <c r="K42" s="2"/>
      <c r="L42" s="2"/>
    </row>
    <row r="43" spans="1:12" x14ac:dyDescent="0.3">
      <c r="A43" s="1" t="s">
        <v>0</v>
      </c>
      <c r="B43" s="2">
        <f>'Wind breakdown'!B46</f>
        <v>0</v>
      </c>
      <c r="C43" s="2">
        <f>'Wind breakdown'!C46</f>
        <v>0</v>
      </c>
      <c r="D43" s="2">
        <f>'Wind breakdown'!D46</f>
        <v>99.91539211200849</v>
      </c>
      <c r="E43" s="2">
        <f>'Wind breakdown'!E46</f>
        <v>1094.3941461897796</v>
      </c>
      <c r="F43" s="2">
        <f>'Wind breakdown'!F46</f>
        <v>169.24640384516172</v>
      </c>
      <c r="G43" s="2">
        <f>'Wind breakdown'!G46</f>
        <v>1.809200414979752</v>
      </c>
      <c r="H43" s="2">
        <f>'Wind breakdown'!H46</f>
        <v>107.55760250159366</v>
      </c>
      <c r="I43" s="2">
        <f>'Wind breakdown'!I46</f>
        <v>66.118808674188799</v>
      </c>
      <c r="J43" s="2">
        <f>'Wind breakdown'!J46</f>
        <v>1539.0415537377121</v>
      </c>
      <c r="K43" s="2">
        <f>'Wind breakdown'!K46</f>
        <v>179.04864442756889</v>
      </c>
      <c r="L43" s="2">
        <f>'Wind breakdown'!L46</f>
        <v>190.23918470429157</v>
      </c>
    </row>
    <row r="44" spans="1:12" x14ac:dyDescent="0.3">
      <c r="A44" s="1" t="s">
        <v>0</v>
      </c>
      <c r="B44" s="2">
        <f>'Solar breakdown'!B46</f>
        <v>0</v>
      </c>
      <c r="C44" s="2">
        <f>'Solar breakdown'!C46</f>
        <v>0</v>
      </c>
      <c r="D44" s="2">
        <f>'Solar breakdown'!D46</f>
        <v>99.91539211200849</v>
      </c>
      <c r="E44" s="2">
        <f>'Solar breakdown'!E46</f>
        <v>1670.8697419359501</v>
      </c>
      <c r="F44" s="2">
        <f>'Solar breakdown'!F46</f>
        <v>169.24640384516172</v>
      </c>
      <c r="G44" s="2">
        <f>'Solar breakdown'!G46</f>
        <v>1.809200414979752</v>
      </c>
      <c r="H44" s="2">
        <f>'Solar breakdown'!H46</f>
        <v>107.55760250159366</v>
      </c>
      <c r="I44" s="2">
        <f>'Solar breakdown'!I46</f>
        <v>66.118808674188799</v>
      </c>
      <c r="J44" s="2">
        <f>'Solar breakdown'!J46</f>
        <v>2115.5171494838823</v>
      </c>
      <c r="K44" s="2">
        <f>'Solar breakdown'!K46</f>
        <v>212.62026525773786</v>
      </c>
      <c r="L44" s="2">
        <f>'Solar breakdown'!L46</f>
        <v>805.71889992405886</v>
      </c>
    </row>
    <row r="45" spans="1:12" x14ac:dyDescent="0.3">
      <c r="A45" s="1" t="s">
        <v>0</v>
      </c>
      <c r="B45" s="2">
        <f>'SMR CCS breakdown'!B46</f>
        <v>0</v>
      </c>
      <c r="C45" s="2">
        <f>'SMR CCS breakdown'!C46</f>
        <v>0</v>
      </c>
      <c r="D45" s="2">
        <f>'SMR CCS breakdown'!D46</f>
        <v>99.91539211200849</v>
      </c>
      <c r="E45" s="2">
        <f>'SMR CCS breakdown'!E46</f>
        <v>2086.1623401775241</v>
      </c>
      <c r="F45" s="2">
        <f>'SMR CCS breakdown'!F46</f>
        <v>169.24640384516172</v>
      </c>
      <c r="G45" s="2">
        <f>'SMR CCS breakdown'!G46</f>
        <v>1.809200414979752</v>
      </c>
      <c r="H45" s="2">
        <f>'SMR CCS breakdown'!H46</f>
        <v>107.55760250159366</v>
      </c>
      <c r="I45" s="2">
        <f>'SMR CCS breakdown'!I46</f>
        <v>66.118808674188799</v>
      </c>
      <c r="J45" s="2">
        <f>'SMR CCS breakdown'!J46</f>
        <v>2530.8097477254564</v>
      </c>
      <c r="K45" s="2"/>
      <c r="L45" s="2"/>
    </row>
    <row r="46" spans="1:12" x14ac:dyDescent="0.3">
      <c r="A46" s="1" t="s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/>
      <c r="L46" s="2"/>
    </row>
    <row r="47" spans="1:12" x14ac:dyDescent="0.3">
      <c r="A47" s="1" t="s">
        <v>59</v>
      </c>
      <c r="B47" s="2">
        <f>'BAU breakdown'!B48</f>
        <v>840.66673163232099</v>
      </c>
      <c r="C47" s="2">
        <f>'BAU breakdown'!C48</f>
        <v>0.19820389786057363</v>
      </c>
      <c r="D47" s="2">
        <f>'BAU breakdown'!D48</f>
        <v>0</v>
      </c>
      <c r="E47" s="2">
        <f>'BAU breakdown'!E48</f>
        <v>0</v>
      </c>
      <c r="F47" s="2">
        <f>'BAU breakdown'!F48</f>
        <v>164.11427751507057</v>
      </c>
      <c r="G47" s="2">
        <f>'BAU breakdown'!G48</f>
        <v>68.146260606206184</v>
      </c>
      <c r="H47" s="2">
        <f>'BAU breakdown'!H48</f>
        <v>179.04847004018006</v>
      </c>
      <c r="I47" s="2">
        <f>'BAU breakdown'!I48</f>
        <v>91.77506328257607</v>
      </c>
      <c r="J47" s="2">
        <f>'BAU breakdown'!J48</f>
        <v>1343.9490069742146</v>
      </c>
      <c r="K47" s="2"/>
      <c r="L47" s="2"/>
    </row>
    <row r="48" spans="1:12" x14ac:dyDescent="0.3">
      <c r="A48" s="1" t="s">
        <v>59</v>
      </c>
      <c r="B48" s="2">
        <f>'Wind breakdown'!B48</f>
        <v>0</v>
      </c>
      <c r="C48" s="2">
        <f>'Wind breakdown'!C48</f>
        <v>0</v>
      </c>
      <c r="D48" s="2">
        <f>'Wind breakdown'!D48</f>
        <v>99.91539211200849</v>
      </c>
      <c r="E48" s="2">
        <f>'Wind breakdown'!E48</f>
        <v>1094.3941461897796</v>
      </c>
      <c r="F48" s="2">
        <f>'Wind breakdown'!F48</f>
        <v>82.442893982546565</v>
      </c>
      <c r="G48" s="2">
        <f>'Wind breakdown'!G48</f>
        <v>1.809200414979752</v>
      </c>
      <c r="H48" s="2">
        <f>'Wind breakdown'!H48</f>
        <v>107.55760250159366</v>
      </c>
      <c r="I48" s="2">
        <f>'Wind breakdown'!I48</f>
        <v>66.118808674188799</v>
      </c>
      <c r="J48" s="2">
        <f>'Wind breakdown'!J48</f>
        <v>1452.238043875097</v>
      </c>
      <c r="K48" s="2">
        <f>'Wind breakdown'!K48</f>
        <v>179.04864442756889</v>
      </c>
      <c r="L48" s="2">
        <f>'Wind breakdown'!L48</f>
        <v>190.23918470429157</v>
      </c>
    </row>
    <row r="49" spans="1:12" x14ac:dyDescent="0.3">
      <c r="A49" s="1" t="s">
        <v>59</v>
      </c>
      <c r="B49" s="2">
        <f>'Solar breakdown'!B48</f>
        <v>0</v>
      </c>
      <c r="C49" s="2">
        <f>'Solar breakdown'!C48</f>
        <v>0</v>
      </c>
      <c r="D49" s="2">
        <f>'Solar breakdown'!D48</f>
        <v>99.91539211200849</v>
      </c>
      <c r="E49" s="2">
        <f>'Solar breakdown'!E48</f>
        <v>1670.8697419359501</v>
      </c>
      <c r="F49" s="2">
        <f>'Solar breakdown'!F48</f>
        <v>82.442893982546565</v>
      </c>
      <c r="G49" s="2">
        <f>'Solar breakdown'!G48</f>
        <v>1.809200414979752</v>
      </c>
      <c r="H49" s="2">
        <f>'Solar breakdown'!H48</f>
        <v>107.55760250159366</v>
      </c>
      <c r="I49" s="2">
        <f>'Solar breakdown'!I48</f>
        <v>66.118808674188799</v>
      </c>
      <c r="J49" s="2">
        <f>'Solar breakdown'!J48</f>
        <v>2028.7136396212675</v>
      </c>
      <c r="K49" s="2">
        <f>'Solar breakdown'!K48</f>
        <v>212.62026525773786</v>
      </c>
      <c r="L49" s="2">
        <f>'Solar breakdown'!L48</f>
        <v>805.71889992405863</v>
      </c>
    </row>
    <row r="50" spans="1:12" x14ac:dyDescent="0.3">
      <c r="A50" s="1" t="s">
        <v>59</v>
      </c>
      <c r="B50" s="2">
        <f>'SMR CCS breakdown'!B48</f>
        <v>0</v>
      </c>
      <c r="C50" s="2">
        <f>'SMR CCS breakdown'!C48</f>
        <v>0</v>
      </c>
      <c r="D50" s="2">
        <f>'SMR CCS breakdown'!D48</f>
        <v>99.91539211200849</v>
      </c>
      <c r="E50" s="2">
        <f>'SMR CCS breakdown'!E48</f>
        <v>1357.5327570699485</v>
      </c>
      <c r="F50" s="2">
        <f>'SMR CCS breakdown'!F48</f>
        <v>82.442893982546565</v>
      </c>
      <c r="G50" s="2">
        <f>'SMR CCS breakdown'!G48</f>
        <v>1.809200414979752</v>
      </c>
      <c r="H50" s="2">
        <f>'SMR CCS breakdown'!H48</f>
        <v>107.55760250159366</v>
      </c>
      <c r="I50" s="2">
        <f>'SMR CCS breakdown'!I48</f>
        <v>66.118808674188799</v>
      </c>
      <c r="J50" s="2">
        <f>'SMR CCS breakdown'!J48</f>
        <v>1715.3766547552659</v>
      </c>
      <c r="K50" s="2"/>
      <c r="L50" s="2"/>
    </row>
    <row r="51" spans="1:12" x14ac:dyDescent="0.3">
      <c r="A51" s="1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2" x14ac:dyDescent="0.3">
      <c r="F52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BAU breakdown</vt:lpstr>
      <vt:lpstr>Wind breakdown</vt:lpstr>
      <vt:lpstr>Solar breakdown</vt:lpstr>
      <vt:lpstr>SMR CCS breakdown</vt:lpstr>
      <vt:lpstr>Summary</vt:lpstr>
      <vt:lpstr>Summary 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2022-11-10T16:03:24Z</dcterms:created>
  <dcterms:modified xsi:type="dcterms:W3CDTF">2023-07-13T12:11:44Z</dcterms:modified>
</cp:coreProperties>
</file>