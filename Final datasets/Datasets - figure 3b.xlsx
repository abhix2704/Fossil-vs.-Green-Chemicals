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s. green chemicals\Scripts\"/>
    </mc:Choice>
  </mc:AlternateContent>
  <xr:revisionPtr revIDLastSave="0" documentId="13_ncr:1_{AC92F6DF-75BE-4F79-95F0-7ED117749E28}" xr6:coauthVersionLast="36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BAU breakdown" sheetId="2" r:id="rId1"/>
    <sheet name="Wind breakdown" sheetId="3" r:id="rId2"/>
    <sheet name="Solar breakdown" sheetId="5" r:id="rId3"/>
    <sheet name="SMR CCS breakdown" sheetId="7" r:id="rId4"/>
    <sheet name="Summary" sheetId="4" r:id="rId5"/>
    <sheet name="Summary SI" sheetId="6" r:id="rId6"/>
  </sheets>
  <calcPr calcId="191029"/>
</workbook>
</file>

<file path=xl/calcChain.xml><?xml version="1.0" encoding="utf-8"?>
<calcChain xmlns="http://schemas.openxmlformats.org/spreadsheetml/2006/main">
  <c r="J35" i="6" l="1"/>
  <c r="J50" i="6"/>
  <c r="I50" i="6"/>
  <c r="H50" i="6"/>
  <c r="G50" i="6"/>
  <c r="F50" i="6"/>
  <c r="E50" i="6"/>
  <c r="D50" i="6"/>
  <c r="C50" i="6"/>
  <c r="L49" i="6"/>
  <c r="K49" i="6"/>
  <c r="J49" i="6"/>
  <c r="I49" i="6"/>
  <c r="H49" i="6"/>
  <c r="G49" i="6"/>
  <c r="F49" i="6"/>
  <c r="E49" i="6"/>
  <c r="D49" i="6"/>
  <c r="C49" i="6"/>
  <c r="B50" i="6"/>
  <c r="B49" i="6"/>
  <c r="J45" i="6"/>
  <c r="I45" i="6"/>
  <c r="H45" i="6"/>
  <c r="G45" i="6"/>
  <c r="F45" i="6"/>
  <c r="E45" i="6"/>
  <c r="D45" i="6"/>
  <c r="C45" i="6"/>
  <c r="L44" i="6"/>
  <c r="K44" i="6"/>
  <c r="J44" i="6"/>
  <c r="I44" i="6"/>
  <c r="H44" i="6"/>
  <c r="G44" i="6"/>
  <c r="F44" i="6"/>
  <c r="E44" i="6"/>
  <c r="D44" i="6"/>
  <c r="C44" i="6"/>
  <c r="B45" i="6"/>
  <c r="B44" i="6"/>
  <c r="J40" i="6"/>
  <c r="I40" i="6"/>
  <c r="H40" i="6"/>
  <c r="G40" i="6"/>
  <c r="F40" i="6"/>
  <c r="E40" i="6"/>
  <c r="D40" i="6"/>
  <c r="C40" i="6"/>
  <c r="L39" i="6"/>
  <c r="K39" i="6"/>
  <c r="J39" i="6"/>
  <c r="I39" i="6"/>
  <c r="H39" i="6"/>
  <c r="G39" i="6"/>
  <c r="F39" i="6"/>
  <c r="E39" i="6"/>
  <c r="D39" i="6"/>
  <c r="C39" i="6"/>
  <c r="B40" i="6"/>
  <c r="B39" i="6"/>
  <c r="I35" i="6"/>
  <c r="H35" i="6"/>
  <c r="G35" i="6"/>
  <c r="F35" i="6"/>
  <c r="E35" i="6"/>
  <c r="D35" i="6"/>
  <c r="C35" i="6"/>
  <c r="L34" i="6"/>
  <c r="K34" i="6"/>
  <c r="J34" i="6"/>
  <c r="I34" i="6"/>
  <c r="H34" i="6"/>
  <c r="G34" i="6"/>
  <c r="F34" i="6"/>
  <c r="E34" i="6"/>
  <c r="D34" i="6"/>
  <c r="C34" i="6"/>
  <c r="B35" i="6"/>
  <c r="B34" i="6"/>
  <c r="J30" i="6"/>
  <c r="I30" i="6"/>
  <c r="H30" i="6"/>
  <c r="G30" i="6"/>
  <c r="F30" i="6"/>
  <c r="E30" i="6"/>
  <c r="D30" i="6"/>
  <c r="C30" i="6"/>
  <c r="L29" i="6"/>
  <c r="K29" i="6"/>
  <c r="J29" i="6"/>
  <c r="I29" i="6"/>
  <c r="H29" i="6"/>
  <c r="G29" i="6"/>
  <c r="F29" i="6"/>
  <c r="E29" i="6"/>
  <c r="D29" i="6"/>
  <c r="C29" i="6"/>
  <c r="B30" i="6"/>
  <c r="B29" i="6"/>
  <c r="J25" i="6"/>
  <c r="I25" i="6"/>
  <c r="H25" i="6"/>
  <c r="G25" i="6"/>
  <c r="F25" i="6"/>
  <c r="E25" i="6"/>
  <c r="D25" i="6"/>
  <c r="C25" i="6"/>
  <c r="L24" i="6"/>
  <c r="K24" i="6"/>
  <c r="J24" i="6"/>
  <c r="I24" i="6"/>
  <c r="H24" i="6"/>
  <c r="G24" i="6"/>
  <c r="F24" i="6"/>
  <c r="E24" i="6"/>
  <c r="D24" i="6"/>
  <c r="C24" i="6"/>
  <c r="B25" i="6"/>
  <c r="B24" i="6"/>
  <c r="J20" i="6"/>
  <c r="I20" i="6"/>
  <c r="H20" i="6"/>
  <c r="G20" i="6"/>
  <c r="F20" i="6"/>
  <c r="E20" i="6"/>
  <c r="D20" i="6"/>
  <c r="C20" i="6"/>
  <c r="L19" i="6"/>
  <c r="K19" i="6"/>
  <c r="J19" i="6"/>
  <c r="I19" i="6"/>
  <c r="H19" i="6"/>
  <c r="G19" i="6"/>
  <c r="F19" i="6"/>
  <c r="E19" i="6"/>
  <c r="D19" i="6"/>
  <c r="C19" i="6"/>
  <c r="B20" i="6"/>
  <c r="B19" i="6"/>
  <c r="J15" i="6"/>
  <c r="I15" i="6"/>
  <c r="H15" i="6"/>
  <c r="G15" i="6"/>
  <c r="F15" i="6"/>
  <c r="E15" i="6"/>
  <c r="D15" i="6"/>
  <c r="C15" i="6"/>
  <c r="L14" i="6"/>
  <c r="K14" i="6"/>
  <c r="J14" i="6"/>
  <c r="I14" i="6"/>
  <c r="H14" i="6"/>
  <c r="G14" i="6"/>
  <c r="F14" i="6"/>
  <c r="E14" i="6"/>
  <c r="D14" i="6"/>
  <c r="C14" i="6"/>
  <c r="B15" i="6"/>
  <c r="B14" i="6"/>
  <c r="J10" i="6"/>
  <c r="I10" i="6"/>
  <c r="H10" i="6"/>
  <c r="G10" i="6"/>
  <c r="F10" i="6"/>
  <c r="E10" i="6"/>
  <c r="D10" i="6"/>
  <c r="C10" i="6"/>
  <c r="L9" i="6"/>
  <c r="K9" i="6"/>
  <c r="J9" i="6"/>
  <c r="I9" i="6"/>
  <c r="H9" i="6"/>
  <c r="G9" i="6"/>
  <c r="F9" i="6"/>
  <c r="E9" i="6"/>
  <c r="D9" i="6"/>
  <c r="C9" i="6"/>
  <c r="B10" i="6"/>
  <c r="B9" i="6"/>
  <c r="J5" i="6"/>
  <c r="I5" i="6"/>
  <c r="H5" i="6"/>
  <c r="G5" i="6"/>
  <c r="F5" i="6"/>
  <c r="E5" i="6"/>
  <c r="D5" i="6"/>
  <c r="C5" i="6"/>
  <c r="L4" i="6"/>
  <c r="K4" i="6"/>
  <c r="J4" i="6"/>
  <c r="I4" i="6"/>
  <c r="H4" i="6"/>
  <c r="G4" i="6"/>
  <c r="F4" i="6"/>
  <c r="E4" i="6"/>
  <c r="D4" i="6"/>
  <c r="C4" i="6"/>
  <c r="B5" i="6"/>
  <c r="B4" i="6"/>
  <c r="L48" i="6"/>
  <c r="K48" i="6"/>
  <c r="J48" i="6"/>
  <c r="I48" i="6"/>
  <c r="H48" i="6"/>
  <c r="G48" i="6"/>
  <c r="F48" i="6"/>
  <c r="E48" i="6"/>
  <c r="D48" i="6"/>
  <c r="C48" i="6"/>
  <c r="B48" i="6"/>
  <c r="J47" i="6"/>
  <c r="I47" i="6"/>
  <c r="H47" i="6"/>
  <c r="G47" i="6"/>
  <c r="F47" i="6"/>
  <c r="E47" i="6"/>
  <c r="D47" i="6"/>
  <c r="C47" i="6"/>
  <c r="B47" i="6"/>
  <c r="L43" i="6"/>
  <c r="K43" i="6"/>
  <c r="J43" i="6"/>
  <c r="I43" i="6"/>
  <c r="H43" i="6"/>
  <c r="G43" i="6"/>
  <c r="F43" i="6"/>
  <c r="E43" i="6"/>
  <c r="D43" i="6"/>
  <c r="C43" i="6"/>
  <c r="B43" i="6"/>
  <c r="J42" i="6"/>
  <c r="I42" i="6"/>
  <c r="H42" i="6"/>
  <c r="G42" i="6"/>
  <c r="F42" i="6"/>
  <c r="E42" i="6"/>
  <c r="D42" i="6"/>
  <c r="C42" i="6"/>
  <c r="B42" i="6"/>
  <c r="L38" i="6"/>
  <c r="K38" i="6"/>
  <c r="J38" i="6"/>
  <c r="I38" i="6"/>
  <c r="H38" i="6"/>
  <c r="G38" i="6"/>
  <c r="F38" i="6"/>
  <c r="E38" i="6"/>
  <c r="D38" i="6"/>
  <c r="C38" i="6"/>
  <c r="B38" i="6"/>
  <c r="J37" i="6"/>
  <c r="I37" i="6"/>
  <c r="H37" i="6"/>
  <c r="G37" i="6"/>
  <c r="F37" i="6"/>
  <c r="E37" i="6"/>
  <c r="D37" i="6"/>
  <c r="C37" i="6"/>
  <c r="B37" i="6"/>
  <c r="L33" i="6"/>
  <c r="K33" i="6"/>
  <c r="J33" i="6"/>
  <c r="I33" i="6"/>
  <c r="H33" i="6"/>
  <c r="G33" i="6"/>
  <c r="F33" i="6"/>
  <c r="E33" i="6"/>
  <c r="D33" i="6"/>
  <c r="C33" i="6"/>
  <c r="B33" i="6"/>
  <c r="J32" i="6"/>
  <c r="I32" i="6"/>
  <c r="H32" i="6"/>
  <c r="G32" i="6"/>
  <c r="F32" i="6"/>
  <c r="E32" i="6"/>
  <c r="D32" i="6"/>
  <c r="C32" i="6"/>
  <c r="B32" i="6"/>
  <c r="L28" i="6"/>
  <c r="K28" i="6"/>
  <c r="J28" i="6"/>
  <c r="I28" i="6"/>
  <c r="H28" i="6"/>
  <c r="G28" i="6"/>
  <c r="F28" i="6"/>
  <c r="E28" i="6"/>
  <c r="D28" i="6"/>
  <c r="C28" i="6"/>
  <c r="B28" i="6"/>
  <c r="J27" i="6"/>
  <c r="I27" i="6"/>
  <c r="H27" i="6"/>
  <c r="G27" i="6"/>
  <c r="F27" i="6"/>
  <c r="E27" i="6"/>
  <c r="D27" i="6"/>
  <c r="C27" i="6"/>
  <c r="B27" i="6"/>
  <c r="L23" i="6"/>
  <c r="K23" i="6"/>
  <c r="J23" i="6"/>
  <c r="I23" i="6"/>
  <c r="H23" i="6"/>
  <c r="G23" i="6"/>
  <c r="F23" i="6"/>
  <c r="E23" i="6"/>
  <c r="D23" i="6"/>
  <c r="C23" i="6"/>
  <c r="B23" i="6"/>
  <c r="J22" i="6"/>
  <c r="I22" i="6"/>
  <c r="H22" i="6"/>
  <c r="G22" i="6"/>
  <c r="F22" i="6"/>
  <c r="E22" i="6"/>
  <c r="D22" i="6"/>
  <c r="C22" i="6"/>
  <c r="B22" i="6"/>
  <c r="L18" i="6"/>
  <c r="K18" i="6"/>
  <c r="J18" i="6"/>
  <c r="I18" i="6"/>
  <c r="H18" i="6"/>
  <c r="G18" i="6"/>
  <c r="F18" i="6"/>
  <c r="E18" i="6"/>
  <c r="D18" i="6"/>
  <c r="C18" i="6"/>
  <c r="B18" i="6"/>
  <c r="J17" i="6"/>
  <c r="I17" i="6"/>
  <c r="H17" i="6"/>
  <c r="G17" i="6"/>
  <c r="F17" i="6"/>
  <c r="E17" i="6"/>
  <c r="D17" i="6"/>
  <c r="C17" i="6"/>
  <c r="B17" i="6"/>
  <c r="L13" i="6"/>
  <c r="K13" i="6"/>
  <c r="J13" i="6"/>
  <c r="I13" i="6"/>
  <c r="H13" i="6"/>
  <c r="G13" i="6"/>
  <c r="F13" i="6"/>
  <c r="E13" i="6"/>
  <c r="D13" i="6"/>
  <c r="C13" i="6"/>
  <c r="B13" i="6"/>
  <c r="J12" i="6"/>
  <c r="I12" i="6"/>
  <c r="H12" i="6"/>
  <c r="G12" i="6"/>
  <c r="F12" i="6"/>
  <c r="E12" i="6"/>
  <c r="D12" i="6"/>
  <c r="C12" i="6"/>
  <c r="B12" i="6"/>
  <c r="J8" i="6"/>
  <c r="I8" i="6"/>
  <c r="H8" i="6"/>
  <c r="G8" i="6"/>
  <c r="F8" i="6"/>
  <c r="E8" i="6"/>
  <c r="D8" i="6"/>
  <c r="C8" i="6"/>
  <c r="B8" i="6"/>
  <c r="J7" i="6"/>
  <c r="I7" i="6"/>
  <c r="H7" i="6"/>
  <c r="G7" i="6"/>
  <c r="F7" i="6"/>
  <c r="E7" i="6"/>
  <c r="D7" i="6"/>
  <c r="C7" i="6"/>
  <c r="B7" i="6"/>
  <c r="J3" i="6"/>
  <c r="I3" i="6"/>
  <c r="H3" i="6"/>
  <c r="G3" i="6"/>
  <c r="F3" i="6"/>
  <c r="E3" i="6"/>
  <c r="D3" i="6"/>
  <c r="C3" i="6"/>
  <c r="B3" i="6"/>
  <c r="J2" i="6"/>
  <c r="I2" i="6"/>
  <c r="H2" i="6"/>
  <c r="G2" i="6"/>
  <c r="F2" i="6"/>
  <c r="E2" i="6"/>
  <c r="D2" i="6"/>
  <c r="C2" i="6"/>
  <c r="B2" i="6"/>
  <c r="L30" i="4"/>
  <c r="K30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L27" i="4"/>
  <c r="K27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L24" i="4"/>
  <c r="K24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L21" i="4"/>
  <c r="K21" i="4"/>
  <c r="J21" i="4"/>
  <c r="I21" i="4"/>
  <c r="H21" i="4"/>
  <c r="G21" i="4"/>
  <c r="F21" i="4"/>
  <c r="E21" i="4"/>
  <c r="D21" i="4"/>
  <c r="C21" i="4"/>
  <c r="B21" i="4"/>
  <c r="J20" i="4"/>
  <c r="I20" i="4"/>
  <c r="H20" i="4"/>
  <c r="G20" i="4"/>
  <c r="F20" i="4"/>
  <c r="E20" i="4"/>
  <c r="D20" i="4"/>
  <c r="C20" i="4"/>
  <c r="B20" i="4"/>
  <c r="L18" i="4"/>
  <c r="K18" i="4"/>
  <c r="J18" i="4"/>
  <c r="I18" i="4"/>
  <c r="H18" i="4"/>
  <c r="G18" i="4"/>
  <c r="F18" i="4"/>
  <c r="E18" i="4"/>
  <c r="D18" i="4"/>
  <c r="C18" i="4"/>
  <c r="B18" i="4"/>
  <c r="J17" i="4"/>
  <c r="I17" i="4"/>
  <c r="H17" i="4"/>
  <c r="G17" i="4"/>
  <c r="F17" i="4"/>
  <c r="E17" i="4"/>
  <c r="D17" i="4"/>
  <c r="C17" i="4"/>
  <c r="B17" i="4"/>
  <c r="L15" i="4"/>
  <c r="K15" i="4"/>
  <c r="J15" i="4"/>
  <c r="I15" i="4"/>
  <c r="H15" i="4"/>
  <c r="G15" i="4"/>
  <c r="F15" i="4"/>
  <c r="E15" i="4"/>
  <c r="D15" i="4"/>
  <c r="C15" i="4"/>
  <c r="B15" i="4"/>
  <c r="J14" i="4"/>
  <c r="I14" i="4"/>
  <c r="H14" i="4"/>
  <c r="G14" i="4"/>
  <c r="F14" i="4"/>
  <c r="E14" i="4"/>
  <c r="D14" i="4"/>
  <c r="C14" i="4"/>
  <c r="B14" i="4"/>
  <c r="L12" i="4"/>
  <c r="K12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L9" i="4"/>
  <c r="K9" i="4"/>
  <c r="J9" i="4"/>
  <c r="I9" i="4"/>
  <c r="H9" i="4"/>
  <c r="G9" i="4"/>
  <c r="F9" i="4"/>
  <c r="E9" i="4"/>
  <c r="D9" i="4"/>
  <c r="C9" i="4"/>
  <c r="B9" i="4"/>
  <c r="J8" i="4"/>
  <c r="I8" i="4"/>
  <c r="H8" i="4"/>
  <c r="G8" i="4"/>
  <c r="F8" i="4"/>
  <c r="E8" i="4"/>
  <c r="D8" i="4"/>
  <c r="C8" i="4"/>
  <c r="B8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J3" i="4"/>
  <c r="I3" i="4"/>
  <c r="H3" i="4"/>
  <c r="G3" i="4"/>
  <c r="F3" i="4"/>
  <c r="E3" i="4"/>
  <c r="D3" i="4"/>
  <c r="C3" i="4"/>
  <c r="B3" i="4"/>
  <c r="J2" i="4"/>
  <c r="I2" i="4"/>
  <c r="H2" i="4"/>
  <c r="G2" i="4"/>
  <c r="F2" i="4"/>
  <c r="E2" i="4"/>
  <c r="D2" i="4"/>
  <c r="C2" i="4"/>
  <c r="B2" i="4"/>
  <c r="O48" i="3"/>
  <c r="N48" i="3"/>
  <c r="M48" i="3"/>
  <c r="O47" i="3"/>
  <c r="N47" i="3"/>
  <c r="M47" i="3"/>
  <c r="O46" i="3"/>
  <c r="N46" i="3"/>
  <c r="M46" i="3"/>
  <c r="O45" i="3"/>
  <c r="N45" i="3"/>
  <c r="M45" i="3"/>
  <c r="O44" i="3"/>
  <c r="N44" i="3"/>
  <c r="M44" i="3"/>
  <c r="O43" i="3"/>
  <c r="N43" i="3"/>
  <c r="M43" i="3"/>
  <c r="O42" i="3"/>
  <c r="N42" i="3"/>
  <c r="M42" i="3"/>
  <c r="O41" i="3"/>
  <c r="N41" i="3"/>
  <c r="M41" i="3"/>
  <c r="O40" i="3"/>
  <c r="N40" i="3"/>
  <c r="M40" i="3"/>
  <c r="O39" i="3"/>
  <c r="N39" i="3"/>
  <c r="M39" i="3"/>
  <c r="O38" i="3"/>
  <c r="N38" i="3"/>
  <c r="M38" i="3"/>
  <c r="O37" i="3"/>
  <c r="N37" i="3"/>
  <c r="M37" i="3"/>
  <c r="O36" i="3"/>
  <c r="N36" i="3"/>
  <c r="M36" i="3"/>
  <c r="O35" i="3"/>
  <c r="N35" i="3"/>
  <c r="M35" i="3"/>
  <c r="O34" i="3"/>
  <c r="N34" i="3"/>
  <c r="M34" i="3"/>
  <c r="O33" i="3"/>
  <c r="N33" i="3"/>
  <c r="M33" i="3"/>
  <c r="O32" i="3"/>
  <c r="N32" i="3"/>
  <c r="M32" i="3"/>
  <c r="O31" i="3"/>
  <c r="N31" i="3"/>
  <c r="M31" i="3"/>
  <c r="O30" i="3"/>
  <c r="N30" i="3"/>
  <c r="M30" i="3"/>
  <c r="O29" i="3"/>
  <c r="N29" i="3"/>
  <c r="M29" i="3"/>
  <c r="O28" i="3"/>
  <c r="N28" i="3"/>
  <c r="M28" i="3"/>
  <c r="O27" i="3"/>
  <c r="N27" i="3"/>
  <c r="M27" i="3"/>
  <c r="O26" i="3"/>
  <c r="N26" i="3"/>
  <c r="M26" i="3"/>
  <c r="O25" i="3"/>
  <c r="N25" i="3"/>
  <c r="M25" i="3"/>
  <c r="O24" i="3"/>
  <c r="N24" i="3"/>
  <c r="M24" i="3"/>
  <c r="O23" i="3"/>
  <c r="N23" i="3"/>
  <c r="M23" i="3"/>
  <c r="O22" i="3"/>
  <c r="N22" i="3"/>
  <c r="M22" i="3"/>
  <c r="O21" i="3"/>
  <c r="N21" i="3"/>
  <c r="M21" i="3"/>
  <c r="O20" i="3"/>
  <c r="N20" i="3"/>
  <c r="M20" i="3"/>
  <c r="O19" i="3"/>
  <c r="N19" i="3"/>
  <c r="M19" i="3"/>
  <c r="O18" i="3"/>
  <c r="N18" i="3"/>
  <c r="M18" i="3"/>
  <c r="O17" i="3"/>
  <c r="N17" i="3"/>
  <c r="M17" i="3"/>
  <c r="O16" i="3"/>
  <c r="N16" i="3"/>
  <c r="M16" i="3"/>
  <c r="O15" i="3"/>
  <c r="N15" i="3"/>
  <c r="M15" i="3"/>
  <c r="O14" i="3"/>
  <c r="N14" i="3"/>
  <c r="M14" i="3"/>
  <c r="O13" i="3"/>
  <c r="N13" i="3"/>
  <c r="M13" i="3"/>
  <c r="O12" i="3"/>
  <c r="N12" i="3"/>
  <c r="M12" i="3"/>
  <c r="O11" i="3"/>
  <c r="N11" i="3"/>
  <c r="M11" i="3"/>
  <c r="O10" i="3"/>
  <c r="N10" i="3"/>
  <c r="M10" i="3"/>
  <c r="O9" i="3"/>
  <c r="N9" i="3"/>
  <c r="M9" i="3"/>
  <c r="O8" i="3"/>
  <c r="N8" i="3"/>
  <c r="M8" i="3"/>
  <c r="O7" i="3"/>
  <c r="N7" i="3"/>
  <c r="M7" i="3"/>
  <c r="O6" i="3"/>
  <c r="N6" i="3"/>
  <c r="M6" i="3"/>
  <c r="O5" i="3"/>
  <c r="N5" i="3"/>
  <c r="M5" i="3"/>
  <c r="O4" i="3"/>
  <c r="N4" i="3"/>
  <c r="M4" i="3"/>
  <c r="O3" i="3"/>
  <c r="N3" i="3"/>
  <c r="M3" i="3"/>
  <c r="O2" i="3"/>
  <c r="N2" i="3"/>
  <c r="M2" i="3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</calcChain>
</file>

<file path=xl/sharedStrings.xml><?xml version="1.0" encoding="utf-8"?>
<sst xmlns="http://schemas.openxmlformats.org/spreadsheetml/2006/main" count="336" uniqueCount="61">
  <si>
    <t>Jan '19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</si>
  <si>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</si>
  <si>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</si>
  <si>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</si>
  <si>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</si>
  <si>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</si>
  <si>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</si>
  <si>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</si>
  <si>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</si>
  <si>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</si>
  <si>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</si>
  <si>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</si>
  <si>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</si>
  <si>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</si>
  <si>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</si>
  <si>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</si>
  <si>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</si>
  <si>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</si>
  <si>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</si>
  <si>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</si>
  <si>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</si>
  <si>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</si>
  <si>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</si>
  <si>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</si>
  <si>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</si>
  <si>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</si>
  <si>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</si>
  <si>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</si>
  <si>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</si>
  <si>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</si>
  <si>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</si>
  <si>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</si>
  <si>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</si>
  <si>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</si>
  <si>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</si>
  <si>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</si>
  <si>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</si>
  <si>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</si>
  <si>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</si>
  <si>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</si>
  <si>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</si>
  <si>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</si>
  <si>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</si>
  <si>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</si>
  <si>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</si>
  <si>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Natural gas</t>
  </si>
  <si>
    <t>Water</t>
  </si>
  <si>
    <t>Nitrogen</t>
  </si>
  <si>
    <t>Hydrogen</t>
  </si>
  <si>
    <t>Electricity</t>
  </si>
  <si>
    <t>Other utilities</t>
  </si>
  <si>
    <t>CAPEX</t>
  </si>
  <si>
    <t>Fixed costs</t>
  </si>
  <si>
    <t>Total</t>
  </si>
  <si>
    <t>Low</t>
  </si>
  <si>
    <t>High</t>
  </si>
  <si>
    <t>Time</t>
  </si>
  <si>
    <t>Avg 19</t>
  </si>
  <si>
    <t>Avg 20</t>
  </si>
  <si>
    <t>Oct '22</t>
  </si>
  <si>
    <t>Nov '22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</si>
</sst>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1"/>
    <xf numFmtId="0" fontId="3" fillId="0" borderId="2"/>
  </cellStyleXfs>
  <cellXfs count="10">
    <xf numFmtId="0" fontId="0" fillId="0" borderId="0" xfId="0"/>
    <xf numFmtId="0" fontId="0" fillId="0" borderId="0" xfId="0" applyAlignment="1">
      <alignment horizontal="center"/>
    </xf>
    <xf numFmtId="2" fontId="4" fillId="0" borderId="1" xfId="1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2" xfId="2" applyAlignment="1">
      <alignment horizontal="center"/>
    </xf>
    <xf numFmtId="0" fontId="3" fillId="0" borderId="2" xfId="2"/>
    <xf numFmtId="2" fontId="3" fillId="0" borderId="2" xfId="2" applyNumberFormat="1" applyAlignment="1">
      <alignment horizontal="center"/>
    </xf>
    <xf numFmtId="0" fontId="2" fillId="0" borderId="2" xfId="2" applyFont="1" applyAlignment="1">
      <alignment horizontal="center"/>
    </xf>
    <xf numFmtId="2" fontId="0" fillId="0" borderId="0" xfId="0" applyNumberFormat="1"/>
    <xf numFmtId="0" fontId="1" fillId="0" borderId="2" xfId="2" applyFont="1" applyAlignment="1">
      <alignment horizontal="center"/>
    </xf>
  </cellXfs>
  <cellStyles count="3">
    <cellStyle name="Normal" xfId="0" builtinId="0"/>
    <cellStyle name="Normal 2" xfId="1" xr:uid="{49FCB730-475F-40B3-861B-E0BE759ED172}"/>
    <cellStyle name="Normal 3" xfId="2" xr:uid="{9C1D4060-338D-4461-9BAD-193947384E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'BAU breakdown'!$B$1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breakdown'!$B$2:$B$46</c:f>
              <c:numCache>
                <c:formatCode>0.00</c:formatCode>
                <c:ptCount val="45"/>
                <c:pt idx="0">
                  <c:v>213.18946545454546</c:v>
                </c:pt>
                <c:pt idx="1">
                  <c:v>175.51625854545455</c:v>
                </c:pt>
                <c:pt idx="2">
                  <c:v>151.27690836363635</c:v>
                </c:pt>
                <c:pt idx="3">
                  <c:v>143.6838589090909</c:v>
                </c:pt>
                <c:pt idx="4">
                  <c:v>126.7455178181818</c:v>
                </c:pt>
                <c:pt idx="5">
                  <c:v>104.84249054545454</c:v>
                </c:pt>
                <c:pt idx="6">
                  <c:v>105.71861163636363</c:v>
                </c:pt>
                <c:pt idx="7">
                  <c:v>107.47085381818182</c:v>
                </c:pt>
                <c:pt idx="8">
                  <c:v>122.9489930909091</c:v>
                </c:pt>
                <c:pt idx="9">
                  <c:v>147.77242399999997</c:v>
                </c:pt>
                <c:pt idx="10">
                  <c:v>150.40078727272729</c:v>
                </c:pt>
                <c:pt idx="11">
                  <c:v>134.92264800000001</c:v>
                </c:pt>
                <c:pt idx="12">
                  <c:v>106.01065199999999</c:v>
                </c:pt>
                <c:pt idx="13">
                  <c:v>84.983745818181816</c:v>
                </c:pt>
                <c:pt idx="14">
                  <c:v>79.434978909090916</c:v>
                </c:pt>
                <c:pt idx="15">
                  <c:v>61.91255709090909</c:v>
                </c:pt>
                <c:pt idx="16">
                  <c:v>46.142377454545446</c:v>
                </c:pt>
                <c:pt idx="17">
                  <c:v>51.107063636363641</c:v>
                </c:pt>
                <c:pt idx="18">
                  <c:v>52.567265454545456</c:v>
                </c:pt>
                <c:pt idx="19">
                  <c:v>83.523543999999987</c:v>
                </c:pt>
                <c:pt idx="20">
                  <c:v>115.35594363636363</c:v>
                </c:pt>
                <c:pt idx="21">
                  <c:v>142.80773781818181</c:v>
                </c:pt>
                <c:pt idx="22">
                  <c:v>141.34753599999999</c:v>
                </c:pt>
                <c:pt idx="23">
                  <c:v>171.1356530909091</c:v>
                </c:pt>
                <c:pt idx="24">
                  <c:v>212.31334436363636</c:v>
                </c:pt>
                <c:pt idx="25">
                  <c:v>179.89686400000002</c:v>
                </c:pt>
                <c:pt idx="26">
                  <c:v>179.02074290909093</c:v>
                </c:pt>
                <c:pt idx="27">
                  <c:v>208.80886000000001</c:v>
                </c:pt>
                <c:pt idx="28">
                  <c:v>260.207964</c:v>
                </c:pt>
                <c:pt idx="29">
                  <c:v>300.80157454545457</c:v>
                </c:pt>
                <c:pt idx="30">
                  <c:v>365.34249490909093</c:v>
                </c:pt>
                <c:pt idx="31">
                  <c:v>450.61828109090908</c:v>
                </c:pt>
                <c:pt idx="32">
                  <c:v>667.02019054545451</c:v>
                </c:pt>
                <c:pt idx="33">
                  <c:v>906.78532909090904</c:v>
                </c:pt>
                <c:pt idx="34">
                  <c:v>806.61548436363637</c:v>
                </c:pt>
                <c:pt idx="35">
                  <c:v>1110.6295029090909</c:v>
                </c:pt>
                <c:pt idx="36">
                  <c:v>825.30606763636376</c:v>
                </c:pt>
                <c:pt idx="37">
                  <c:v>795.22591018181822</c:v>
                </c:pt>
                <c:pt idx="38">
                  <c:v>1237.9591014545456</c:v>
                </c:pt>
                <c:pt idx="39">
                  <c:v>940.36997090909097</c:v>
                </c:pt>
                <c:pt idx="40">
                  <c:v>851.88174072727281</c:v>
                </c:pt>
                <c:pt idx="41">
                  <c:v>980.08746036363641</c:v>
                </c:pt>
                <c:pt idx="42">
                  <c:v>1499.0431865454545</c:v>
                </c:pt>
                <c:pt idx="43">
                  <c:v>2045.450706909091</c:v>
                </c:pt>
                <c:pt idx="44">
                  <c:v>1725.9585490909089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F-4D89-A2EB-D39A7693CC34}"/>
            </c:ext>
          </c:extLst>
        </c:ser>
        <c:ser>
          <c:idx val="1"/>
          <c:order val="1"/>
          <c:tx>
            <c:strRef>
              <c:f>'BAU breakdown'!$C$1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breakdown'!$C$2:$C$46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F-4D89-A2EB-D39A7693CC34}"/>
            </c:ext>
          </c:extLst>
        </c:ser>
        <c:ser>
          <c:idx val="2"/>
          <c:order val="2"/>
          <c:tx>
            <c:strRef>
              <c:f>'BAU breakdown'!$D$1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breakdown'!$D$2:$D$46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F-4D89-A2EB-D39A7693CC34}"/>
            </c:ext>
          </c:extLst>
        </c:ser>
        <c:ser>
          <c:idx val="3"/>
          <c:order val="3"/>
          <c:tx>
            <c:strRef>
              <c:f>'BAU breakdown'!$E$1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breakdown'!$E$2:$E$46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8F-4D89-A2EB-D39A7693CC34}"/>
            </c:ext>
          </c:extLst>
        </c:ser>
        <c:ser>
          <c:idx val="4"/>
          <c:order val="4"/>
          <c:tx>
            <c:strRef>
              <c:f>'BAU breakdown'!$F$1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breakdown'!$F$2:$F$46</c:f>
              <c:numCache>
                <c:formatCode>0.00</c:formatCode>
                <c:ptCount val="45"/>
                <c:pt idx="0">
                  <c:v>3.6563399999999997</c:v>
                </c:pt>
                <c:pt idx="1">
                  <c:v>3.1679400000000002</c:v>
                </c:pt>
                <c:pt idx="2">
                  <c:v>2.2651399999999997</c:v>
                </c:pt>
                <c:pt idx="3">
                  <c:v>2.7357799999999997</c:v>
                </c:pt>
                <c:pt idx="4">
                  <c:v>2.7994199999999996</c:v>
                </c:pt>
                <c:pt idx="5">
                  <c:v>2.4049999999999998</c:v>
                </c:pt>
                <c:pt idx="6">
                  <c:v>2.9385399999999997</c:v>
                </c:pt>
                <c:pt idx="7">
                  <c:v>2.7246799999999998</c:v>
                </c:pt>
                <c:pt idx="8">
                  <c:v>2.6469800000000001</c:v>
                </c:pt>
                <c:pt idx="9">
                  <c:v>2.7343000000000002</c:v>
                </c:pt>
                <c:pt idx="10">
                  <c:v>3.0339999999999998</c:v>
                </c:pt>
                <c:pt idx="11">
                  <c:v>2.36578</c:v>
                </c:pt>
                <c:pt idx="12">
                  <c:v>2.5885199999999995</c:v>
                </c:pt>
                <c:pt idx="13">
                  <c:v>1.62134</c:v>
                </c:pt>
                <c:pt idx="14">
                  <c:v>1.66648</c:v>
                </c:pt>
                <c:pt idx="15">
                  <c:v>1.2617</c:v>
                </c:pt>
                <c:pt idx="16">
                  <c:v>1.3024</c:v>
                </c:pt>
                <c:pt idx="17">
                  <c:v>1.94102</c:v>
                </c:pt>
                <c:pt idx="18">
                  <c:v>2.2251799999999999</c:v>
                </c:pt>
                <c:pt idx="19">
                  <c:v>2.5818599999999998</c:v>
                </c:pt>
                <c:pt idx="20">
                  <c:v>3.2323199999999996</c:v>
                </c:pt>
                <c:pt idx="21">
                  <c:v>2.5130399999999997</c:v>
                </c:pt>
                <c:pt idx="22">
                  <c:v>2.8711999999999995</c:v>
                </c:pt>
                <c:pt idx="23">
                  <c:v>3.2226999999999997</c:v>
                </c:pt>
                <c:pt idx="24">
                  <c:v>3.9064599999999996</c:v>
                </c:pt>
                <c:pt idx="25">
                  <c:v>3.6045400000000001</c:v>
                </c:pt>
                <c:pt idx="26">
                  <c:v>3.49132</c:v>
                </c:pt>
                <c:pt idx="27">
                  <c:v>3.9708399999999999</c:v>
                </c:pt>
                <c:pt idx="28">
                  <c:v>3.9464199999999998</c:v>
                </c:pt>
                <c:pt idx="29">
                  <c:v>5.4856199999999991</c:v>
                </c:pt>
                <c:pt idx="30">
                  <c:v>6.01546</c:v>
                </c:pt>
                <c:pt idx="31">
                  <c:v>6.1279399999999997</c:v>
                </c:pt>
                <c:pt idx="32">
                  <c:v>9.4971599999999992</c:v>
                </c:pt>
                <c:pt idx="33">
                  <c:v>10.325959999999998</c:v>
                </c:pt>
                <c:pt idx="34">
                  <c:v>13.042499999999999</c:v>
                </c:pt>
                <c:pt idx="35">
                  <c:v>16.351040000000001</c:v>
                </c:pt>
                <c:pt idx="36">
                  <c:v>12.42238</c:v>
                </c:pt>
                <c:pt idx="37">
                  <c:v>9.5297199999999993</c:v>
                </c:pt>
                <c:pt idx="38">
                  <c:v>18.630239999999997</c:v>
                </c:pt>
                <c:pt idx="39">
                  <c:v>12.283999999999999</c:v>
                </c:pt>
                <c:pt idx="40">
                  <c:v>13.135739999999998</c:v>
                </c:pt>
                <c:pt idx="41">
                  <c:v>16.145319999999998</c:v>
                </c:pt>
                <c:pt idx="42">
                  <c:v>23.329239999999999</c:v>
                </c:pt>
                <c:pt idx="43">
                  <c:v>34.731900000000003</c:v>
                </c:pt>
                <c:pt idx="44">
                  <c:v>26.653320000000001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F-4D89-A2EB-D39A7693CC34}"/>
            </c:ext>
          </c:extLst>
        </c:ser>
        <c:ser>
          <c:idx val="5"/>
          <c:order val="5"/>
          <c:tx>
            <c:strRef>
              <c:f>'BAU breakdown'!$G$1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breakdown'!$G$2:$G$46</c:f>
              <c:numCache>
                <c:formatCode>0.00</c:formatCode>
                <c:ptCount val="45"/>
                <c:pt idx="0">
                  <c:v>25.530711206896552</c:v>
                </c:pt>
                <c:pt idx="1">
                  <c:v>25.530711206896552</c:v>
                </c:pt>
                <c:pt idx="2">
                  <c:v>25.530711206896552</c:v>
                </c:pt>
                <c:pt idx="3">
                  <c:v>25.530711206896552</c:v>
                </c:pt>
                <c:pt idx="4">
                  <c:v>25.530711206896552</c:v>
                </c:pt>
                <c:pt idx="5">
                  <c:v>25.530711206896552</c:v>
                </c:pt>
                <c:pt idx="6">
                  <c:v>25.530711206896552</c:v>
                </c:pt>
                <c:pt idx="7">
                  <c:v>25.530711206896552</c:v>
                </c:pt>
                <c:pt idx="8">
                  <c:v>25.530711206896552</c:v>
                </c:pt>
                <c:pt idx="9">
                  <c:v>25.530711206896552</c:v>
                </c:pt>
                <c:pt idx="10">
                  <c:v>25.530711206896552</c:v>
                </c:pt>
                <c:pt idx="11">
                  <c:v>25.530711206896552</c:v>
                </c:pt>
                <c:pt idx="12">
                  <c:v>25.055818965517247</c:v>
                </c:pt>
                <c:pt idx="13">
                  <c:v>25.055818965517247</c:v>
                </c:pt>
                <c:pt idx="14">
                  <c:v>25.055818965517247</c:v>
                </c:pt>
                <c:pt idx="15">
                  <c:v>25.055818965517247</c:v>
                </c:pt>
                <c:pt idx="16">
                  <c:v>25.055818965517247</c:v>
                </c:pt>
                <c:pt idx="17">
                  <c:v>25.055818965517247</c:v>
                </c:pt>
                <c:pt idx="18">
                  <c:v>25.055818965517247</c:v>
                </c:pt>
                <c:pt idx="19">
                  <c:v>25.055818965517247</c:v>
                </c:pt>
                <c:pt idx="20">
                  <c:v>25.055818965517247</c:v>
                </c:pt>
                <c:pt idx="21">
                  <c:v>25.055818965517247</c:v>
                </c:pt>
                <c:pt idx="22">
                  <c:v>25.055818965517247</c:v>
                </c:pt>
                <c:pt idx="23">
                  <c:v>25.055818965517247</c:v>
                </c:pt>
                <c:pt idx="24">
                  <c:v>29.754310344827591</c:v>
                </c:pt>
                <c:pt idx="25">
                  <c:v>29.754310344827591</c:v>
                </c:pt>
                <c:pt idx="26">
                  <c:v>29.754310344827591</c:v>
                </c:pt>
                <c:pt idx="27">
                  <c:v>29.754310344827591</c:v>
                </c:pt>
                <c:pt idx="28">
                  <c:v>29.754310344827591</c:v>
                </c:pt>
                <c:pt idx="29">
                  <c:v>29.754310344827591</c:v>
                </c:pt>
                <c:pt idx="30">
                  <c:v>29.754310344827591</c:v>
                </c:pt>
                <c:pt idx="31">
                  <c:v>29.754310344827591</c:v>
                </c:pt>
                <c:pt idx="32">
                  <c:v>29.754310344827591</c:v>
                </c:pt>
                <c:pt idx="33">
                  <c:v>29.754310344827591</c:v>
                </c:pt>
                <c:pt idx="34">
                  <c:v>29.754310344827591</c:v>
                </c:pt>
                <c:pt idx="35">
                  <c:v>29.754310344827591</c:v>
                </c:pt>
                <c:pt idx="36">
                  <c:v>34.35614224137931</c:v>
                </c:pt>
                <c:pt idx="37">
                  <c:v>34.35614224137931</c:v>
                </c:pt>
                <c:pt idx="38">
                  <c:v>34.35614224137931</c:v>
                </c:pt>
                <c:pt idx="39">
                  <c:v>34.35614224137931</c:v>
                </c:pt>
                <c:pt idx="40">
                  <c:v>34.35614224137931</c:v>
                </c:pt>
                <c:pt idx="41">
                  <c:v>34.35614224137931</c:v>
                </c:pt>
                <c:pt idx="42">
                  <c:v>34.35614224137931</c:v>
                </c:pt>
                <c:pt idx="43">
                  <c:v>34.35614224137931</c:v>
                </c:pt>
                <c:pt idx="44">
                  <c:v>34.35614224137931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8F-4D89-A2EB-D39A7693CC34}"/>
            </c:ext>
          </c:extLst>
        </c:ser>
        <c:ser>
          <c:idx val="6"/>
          <c:order val="6"/>
          <c:tx>
            <c:strRef>
              <c:f>'BAU breakdown'!$H$1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breakdown'!$H$2:$H$46</c:f>
              <c:numCache>
                <c:formatCode>0.00</c:formatCode>
                <c:ptCount val="45"/>
                <c:pt idx="0">
                  <c:v>55.862068965517253</c:v>
                </c:pt>
                <c:pt idx="1">
                  <c:v>55.862068965517253</c:v>
                </c:pt>
                <c:pt idx="2">
                  <c:v>55.862068965517253</c:v>
                </c:pt>
                <c:pt idx="3">
                  <c:v>55.862068965517253</c:v>
                </c:pt>
                <c:pt idx="4">
                  <c:v>55.862068965517253</c:v>
                </c:pt>
                <c:pt idx="5">
                  <c:v>55.862068965517253</c:v>
                </c:pt>
                <c:pt idx="6">
                  <c:v>55.862068965517253</c:v>
                </c:pt>
                <c:pt idx="7">
                  <c:v>55.862068965517253</c:v>
                </c:pt>
                <c:pt idx="8">
                  <c:v>55.862068965517253</c:v>
                </c:pt>
                <c:pt idx="9">
                  <c:v>55.862068965517253</c:v>
                </c:pt>
                <c:pt idx="10">
                  <c:v>55.862068965517253</c:v>
                </c:pt>
                <c:pt idx="11">
                  <c:v>55.862068965517253</c:v>
                </c:pt>
                <c:pt idx="12">
                  <c:v>54.822988505747134</c:v>
                </c:pt>
                <c:pt idx="13">
                  <c:v>54.822988505747134</c:v>
                </c:pt>
                <c:pt idx="14">
                  <c:v>54.822988505747134</c:v>
                </c:pt>
                <c:pt idx="15">
                  <c:v>54.822988505747134</c:v>
                </c:pt>
                <c:pt idx="16">
                  <c:v>54.822988505747134</c:v>
                </c:pt>
                <c:pt idx="17">
                  <c:v>54.822988505747134</c:v>
                </c:pt>
                <c:pt idx="18">
                  <c:v>54.822988505747134</c:v>
                </c:pt>
                <c:pt idx="19">
                  <c:v>54.822988505747134</c:v>
                </c:pt>
                <c:pt idx="20">
                  <c:v>54.822988505747134</c:v>
                </c:pt>
                <c:pt idx="21">
                  <c:v>54.822988505747134</c:v>
                </c:pt>
                <c:pt idx="22">
                  <c:v>54.822988505747134</c:v>
                </c:pt>
                <c:pt idx="23">
                  <c:v>54.822988505747134</c:v>
                </c:pt>
                <c:pt idx="24">
                  <c:v>65.103448275862078</c:v>
                </c:pt>
                <c:pt idx="25">
                  <c:v>65.103448275862078</c:v>
                </c:pt>
                <c:pt idx="26">
                  <c:v>65.103448275862078</c:v>
                </c:pt>
                <c:pt idx="27">
                  <c:v>65.103448275862078</c:v>
                </c:pt>
                <c:pt idx="28">
                  <c:v>65.103448275862078</c:v>
                </c:pt>
                <c:pt idx="29">
                  <c:v>65.103448275862078</c:v>
                </c:pt>
                <c:pt idx="30">
                  <c:v>65.103448275862078</c:v>
                </c:pt>
                <c:pt idx="31">
                  <c:v>65.103448275862078</c:v>
                </c:pt>
                <c:pt idx="32">
                  <c:v>65.103448275862078</c:v>
                </c:pt>
                <c:pt idx="33">
                  <c:v>65.103448275862078</c:v>
                </c:pt>
                <c:pt idx="34">
                  <c:v>65.103448275862078</c:v>
                </c:pt>
                <c:pt idx="35">
                  <c:v>65.103448275862078</c:v>
                </c:pt>
                <c:pt idx="36">
                  <c:v>75.172413793103445</c:v>
                </c:pt>
                <c:pt idx="37">
                  <c:v>75.172413793103445</c:v>
                </c:pt>
                <c:pt idx="38">
                  <c:v>75.172413793103445</c:v>
                </c:pt>
                <c:pt idx="39">
                  <c:v>75.172413793103445</c:v>
                </c:pt>
                <c:pt idx="40">
                  <c:v>75.172413793103445</c:v>
                </c:pt>
                <c:pt idx="41">
                  <c:v>75.172413793103445</c:v>
                </c:pt>
                <c:pt idx="42">
                  <c:v>75.172413793103445</c:v>
                </c:pt>
                <c:pt idx="43">
                  <c:v>75.172413793103445</c:v>
                </c:pt>
                <c:pt idx="44">
                  <c:v>75.172413793103445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8F-4D89-A2EB-D39A7693CC34}"/>
            </c:ext>
          </c:extLst>
        </c:ser>
        <c:ser>
          <c:idx val="7"/>
          <c:order val="7"/>
          <c:tx>
            <c:strRef>
              <c:f>'BAU breakdown'!$I$1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breakdown'!$I$2:$I$46</c:f>
              <c:numCache>
                <c:formatCode>0.00</c:formatCode>
                <c:ptCount val="45"/>
                <c:pt idx="0">
                  <c:v>11.128771551724139</c:v>
                </c:pt>
                <c:pt idx="1">
                  <c:v>11.128771551724139</c:v>
                </c:pt>
                <c:pt idx="2">
                  <c:v>11.128771551724139</c:v>
                </c:pt>
                <c:pt idx="3">
                  <c:v>11.128771551724139</c:v>
                </c:pt>
                <c:pt idx="4">
                  <c:v>11.128771551724139</c:v>
                </c:pt>
                <c:pt idx="5">
                  <c:v>11.128771551724139</c:v>
                </c:pt>
                <c:pt idx="6">
                  <c:v>11.128771551724139</c:v>
                </c:pt>
                <c:pt idx="7">
                  <c:v>11.128771551724139</c:v>
                </c:pt>
                <c:pt idx="8">
                  <c:v>11.128771551724139</c:v>
                </c:pt>
                <c:pt idx="9">
                  <c:v>11.128771551724139</c:v>
                </c:pt>
                <c:pt idx="10">
                  <c:v>11.128771551724139</c:v>
                </c:pt>
                <c:pt idx="11">
                  <c:v>11.128771551724139</c:v>
                </c:pt>
                <c:pt idx="12">
                  <c:v>10.921767241379314</c:v>
                </c:pt>
                <c:pt idx="13">
                  <c:v>10.921767241379314</c:v>
                </c:pt>
                <c:pt idx="14">
                  <c:v>10.921767241379314</c:v>
                </c:pt>
                <c:pt idx="15">
                  <c:v>10.921767241379314</c:v>
                </c:pt>
                <c:pt idx="16">
                  <c:v>10.921767241379314</c:v>
                </c:pt>
                <c:pt idx="17">
                  <c:v>10.921767241379314</c:v>
                </c:pt>
                <c:pt idx="18">
                  <c:v>10.921767241379314</c:v>
                </c:pt>
                <c:pt idx="19">
                  <c:v>10.921767241379314</c:v>
                </c:pt>
                <c:pt idx="20">
                  <c:v>10.921767241379314</c:v>
                </c:pt>
                <c:pt idx="21">
                  <c:v>10.921767241379314</c:v>
                </c:pt>
                <c:pt idx="22">
                  <c:v>10.921767241379314</c:v>
                </c:pt>
                <c:pt idx="23">
                  <c:v>10.921767241379314</c:v>
                </c:pt>
                <c:pt idx="24">
                  <c:v>12.969827586206899</c:v>
                </c:pt>
                <c:pt idx="25">
                  <c:v>12.969827586206899</c:v>
                </c:pt>
                <c:pt idx="26">
                  <c:v>12.969827586206899</c:v>
                </c:pt>
                <c:pt idx="27">
                  <c:v>12.969827586206899</c:v>
                </c:pt>
                <c:pt idx="28">
                  <c:v>12.969827586206899</c:v>
                </c:pt>
                <c:pt idx="29">
                  <c:v>12.969827586206899</c:v>
                </c:pt>
                <c:pt idx="30">
                  <c:v>12.969827586206899</c:v>
                </c:pt>
                <c:pt idx="31">
                  <c:v>12.969827586206899</c:v>
                </c:pt>
                <c:pt idx="32">
                  <c:v>12.969827586206899</c:v>
                </c:pt>
                <c:pt idx="33">
                  <c:v>12.969827586206899</c:v>
                </c:pt>
                <c:pt idx="34">
                  <c:v>12.969827586206899</c:v>
                </c:pt>
                <c:pt idx="35">
                  <c:v>12.969827586206899</c:v>
                </c:pt>
                <c:pt idx="36">
                  <c:v>14.975754310344829</c:v>
                </c:pt>
                <c:pt idx="37">
                  <c:v>14.975754310344829</c:v>
                </c:pt>
                <c:pt idx="38">
                  <c:v>14.975754310344829</c:v>
                </c:pt>
                <c:pt idx="39">
                  <c:v>14.975754310344829</c:v>
                </c:pt>
                <c:pt idx="40">
                  <c:v>14.975754310344829</c:v>
                </c:pt>
                <c:pt idx="41">
                  <c:v>14.975754310344829</c:v>
                </c:pt>
                <c:pt idx="42">
                  <c:v>14.975754310344829</c:v>
                </c:pt>
                <c:pt idx="43">
                  <c:v>14.975754310344829</c:v>
                </c:pt>
                <c:pt idx="44">
                  <c:v>14.975754310344829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8F-4D89-A2EB-D39A7693C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23296"/>
        <c:axId val="518326208"/>
      </c:barChart>
      <c:catAx>
        <c:axId val="51832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8326208"/>
        <c:crosses val="autoZero"/>
        <c:auto val="1"/>
        <c:lblAlgn val="ctr"/>
        <c:lblOffset val="100"/>
        <c:noMultiLvlLbl val="0"/>
      </c:catAx>
      <c:valAx>
        <c:axId val="5183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83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'Wind breakdown'!$B$1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breakdown'!$B$2:$B$46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F-45C6-A1FD-C20BEAEC6312}"/>
            </c:ext>
          </c:extLst>
        </c:ser>
        <c:ser>
          <c:idx val="1"/>
          <c:order val="1"/>
          <c:tx>
            <c:strRef>
              <c:f>'Wind breakdown'!$C$1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breakdown'!$C$2:$C$46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F-45C6-A1FD-C20BEAEC6312}"/>
            </c:ext>
          </c:extLst>
        </c:ser>
        <c:ser>
          <c:idx val="2"/>
          <c:order val="2"/>
          <c:tx>
            <c:strRef>
              <c:f>'Wind breakdown'!$D$1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breakdown'!$D$2:$D$46</c:f>
              <c:numCache>
                <c:formatCode>0.00</c:formatCode>
                <c:ptCount val="45"/>
                <c:pt idx="0">
                  <c:v>263.11674051000131</c:v>
                </c:pt>
                <c:pt idx="1">
                  <c:v>254.10794318671026</c:v>
                </c:pt>
                <c:pt idx="2">
                  <c:v>248.31158521901131</c:v>
                </c:pt>
                <c:pt idx="3">
                  <c:v>246.49585862672006</c:v>
                </c:pt>
                <c:pt idx="4">
                  <c:v>242.44539161314728</c:v>
                </c:pt>
                <c:pt idx="5">
                  <c:v>237.20771875076878</c:v>
                </c:pt>
                <c:pt idx="6">
                  <c:v>237.41722566526391</c:v>
                </c:pt>
                <c:pt idx="7">
                  <c:v>237.83623949425419</c:v>
                </c:pt>
                <c:pt idx="8">
                  <c:v>241.53752831700172</c:v>
                </c:pt>
                <c:pt idx="9">
                  <c:v>247.47355756103073</c:v>
                </c:pt>
                <c:pt idx="10">
                  <c:v>248.10207830451617</c:v>
                </c:pt>
                <c:pt idx="11">
                  <c:v>244.40078948176864</c:v>
                </c:pt>
                <c:pt idx="12">
                  <c:v>233.54114362682066</c:v>
                </c:pt>
                <c:pt idx="13">
                  <c:v>228.51297767893726</c:v>
                </c:pt>
                <c:pt idx="14">
                  <c:v>227.18610055380134</c:v>
                </c:pt>
                <c:pt idx="15">
                  <c:v>222.99596226389855</c:v>
                </c:pt>
                <c:pt idx="16">
                  <c:v>219.22483780298597</c:v>
                </c:pt>
                <c:pt idx="17">
                  <c:v>220.41204365179178</c:v>
                </c:pt>
                <c:pt idx="18">
                  <c:v>220.761221842617</c:v>
                </c:pt>
                <c:pt idx="19">
                  <c:v>228.16379948811206</c:v>
                </c:pt>
                <c:pt idx="20">
                  <c:v>235.7758840481022</c:v>
                </c:pt>
                <c:pt idx="21">
                  <c:v>242.34043403561668</c:v>
                </c:pt>
                <c:pt idx="22">
                  <c:v>241.99125584479143</c:v>
                </c:pt>
                <c:pt idx="23">
                  <c:v>249.11449093762627</c:v>
                </c:pt>
                <c:pt idx="24">
                  <c:v>298.00145717950039</c:v>
                </c:pt>
                <c:pt idx="25">
                  <c:v>290.24970134318011</c:v>
                </c:pt>
                <c:pt idx="26">
                  <c:v>290.04019442868497</c:v>
                </c:pt>
                <c:pt idx="27">
                  <c:v>297.16342952151979</c:v>
                </c:pt>
                <c:pt idx="28">
                  <c:v>309.45450183856815</c:v>
                </c:pt>
                <c:pt idx="29">
                  <c:v>319.16165554350971</c:v>
                </c:pt>
                <c:pt idx="30">
                  <c:v>334.59533157798518</c:v>
                </c:pt>
                <c:pt idx="31">
                  <c:v>354.98733792217905</c:v>
                </c:pt>
                <c:pt idx="32">
                  <c:v>406.73554580247912</c:v>
                </c:pt>
                <c:pt idx="33">
                  <c:v>464.07060473598312</c:v>
                </c:pt>
                <c:pt idx="34">
                  <c:v>440.11698084537187</c:v>
                </c:pt>
                <c:pt idx="35">
                  <c:v>512.81588017518618</c:v>
                </c:pt>
                <c:pt idx="36">
                  <c:v>482.82345156303302</c:v>
                </c:pt>
                <c:pt idx="37">
                  <c:v>475.6303808320331</c:v>
                </c:pt>
                <c:pt idx="38">
                  <c:v>581.50120829024502</c:v>
                </c:pt>
                <c:pt idx="39">
                  <c:v>510.33869300006177</c:v>
                </c:pt>
                <c:pt idx="40">
                  <c:v>489.17849463605228</c:v>
                </c:pt>
                <c:pt idx="41">
                  <c:v>519.83633979050819</c:v>
                </c:pt>
                <c:pt idx="42">
                  <c:v>643.93426880979735</c:v>
                </c:pt>
                <c:pt idx="43">
                  <c:v>774.59674781660101</c:v>
                </c:pt>
                <c:pt idx="44">
                  <c:v>698.19655966403911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F-45C6-A1FD-C20BEAEC6312}"/>
            </c:ext>
          </c:extLst>
        </c:ser>
        <c:ser>
          <c:idx val="3"/>
          <c:order val="3"/>
          <c:tx>
            <c:strRef>
              <c:f>'Wind breakdown'!$E$1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breakdown'!$E$2:$E$46</c:f>
              <c:numCache>
                <c:formatCode>0.00</c:formatCode>
                <c:ptCount val="45"/>
                <c:pt idx="0">
                  <c:v>1307.5419999999999</c:v>
                </c:pt>
                <c:pt idx="1">
                  <c:v>1307.5419999999999</c:v>
                </c:pt>
                <c:pt idx="2">
                  <c:v>1307.5419999999999</c:v>
                </c:pt>
                <c:pt idx="3">
                  <c:v>1307.5419999999999</c:v>
                </c:pt>
                <c:pt idx="4">
                  <c:v>1307.5419999999999</c:v>
                </c:pt>
                <c:pt idx="5">
                  <c:v>1307.5419999999999</c:v>
                </c:pt>
                <c:pt idx="6">
                  <c:v>1307.5419999999999</c:v>
                </c:pt>
                <c:pt idx="7">
                  <c:v>1307.5419999999999</c:v>
                </c:pt>
                <c:pt idx="8">
                  <c:v>1307.5419999999999</c:v>
                </c:pt>
                <c:pt idx="9">
                  <c:v>1307.5419999999999</c:v>
                </c:pt>
                <c:pt idx="10">
                  <c:v>1307.5419999999999</c:v>
                </c:pt>
                <c:pt idx="11">
                  <c:v>1307.5419999999999</c:v>
                </c:pt>
                <c:pt idx="12">
                  <c:v>1070.8779999999999</c:v>
                </c:pt>
                <c:pt idx="13">
                  <c:v>1070.8779999999999</c:v>
                </c:pt>
                <c:pt idx="14">
                  <c:v>1070.8779999999999</c:v>
                </c:pt>
                <c:pt idx="15">
                  <c:v>1070.8779999999999</c:v>
                </c:pt>
                <c:pt idx="16">
                  <c:v>1070.8779999999999</c:v>
                </c:pt>
                <c:pt idx="17">
                  <c:v>1070.8779999999999</c:v>
                </c:pt>
                <c:pt idx="18">
                  <c:v>1070.8779999999999</c:v>
                </c:pt>
                <c:pt idx="19">
                  <c:v>1070.8779999999999</c:v>
                </c:pt>
                <c:pt idx="20">
                  <c:v>1070.8779999999999</c:v>
                </c:pt>
                <c:pt idx="21">
                  <c:v>1070.8779999999999</c:v>
                </c:pt>
                <c:pt idx="22">
                  <c:v>1070.8779999999999</c:v>
                </c:pt>
                <c:pt idx="23">
                  <c:v>1070.8779999999999</c:v>
                </c:pt>
                <c:pt idx="24">
                  <c:v>1021.9720000000001</c:v>
                </c:pt>
                <c:pt idx="25">
                  <c:v>1021.9720000000001</c:v>
                </c:pt>
                <c:pt idx="26">
                  <c:v>1021.9720000000001</c:v>
                </c:pt>
                <c:pt idx="27">
                  <c:v>1021.9720000000001</c:v>
                </c:pt>
                <c:pt idx="28">
                  <c:v>1021.9720000000001</c:v>
                </c:pt>
                <c:pt idx="29">
                  <c:v>1021.9720000000001</c:v>
                </c:pt>
                <c:pt idx="30">
                  <c:v>1021.9720000000001</c:v>
                </c:pt>
                <c:pt idx="31">
                  <c:v>1021.9720000000001</c:v>
                </c:pt>
                <c:pt idx="32">
                  <c:v>1021.9720000000001</c:v>
                </c:pt>
                <c:pt idx="33">
                  <c:v>1021.9720000000001</c:v>
                </c:pt>
                <c:pt idx="34">
                  <c:v>1021.9720000000001</c:v>
                </c:pt>
                <c:pt idx="35">
                  <c:v>1021.9720000000001</c:v>
                </c:pt>
                <c:pt idx="36">
                  <c:v>1180.0312288135592</c:v>
                </c:pt>
                <c:pt idx="37">
                  <c:v>1180.0312288135592</c:v>
                </c:pt>
                <c:pt idx="38">
                  <c:v>1180.0312288135592</c:v>
                </c:pt>
                <c:pt idx="39">
                  <c:v>1180.0312288135592</c:v>
                </c:pt>
                <c:pt idx="40">
                  <c:v>1180.0312288135592</c:v>
                </c:pt>
                <c:pt idx="41">
                  <c:v>1180.0312288135592</c:v>
                </c:pt>
                <c:pt idx="42">
                  <c:v>1180.0312288135592</c:v>
                </c:pt>
                <c:pt idx="43">
                  <c:v>1180.0312288135592</c:v>
                </c:pt>
                <c:pt idx="44">
                  <c:v>1180.0312288135592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4F-45C6-A1FD-C20BEAEC6312}"/>
            </c:ext>
          </c:extLst>
        </c:ser>
        <c:ser>
          <c:idx val="4"/>
          <c:order val="4"/>
          <c:tx>
            <c:strRef>
              <c:f>'Wind breakdown'!$F$1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breakdown'!$F$2:$F$46</c:f>
              <c:numCache>
                <c:formatCode>0.00</c:formatCode>
                <c:ptCount val="45"/>
                <c:pt idx="0">
                  <c:v>14.822999999999999</c:v>
                </c:pt>
                <c:pt idx="1">
                  <c:v>12.843</c:v>
                </c:pt>
                <c:pt idx="2">
                  <c:v>9.1829999999999998</c:v>
                </c:pt>
                <c:pt idx="3">
                  <c:v>11.090999999999999</c:v>
                </c:pt>
                <c:pt idx="4">
                  <c:v>11.348999999999998</c:v>
                </c:pt>
                <c:pt idx="5">
                  <c:v>9.75</c:v>
                </c:pt>
                <c:pt idx="6">
                  <c:v>11.913</c:v>
                </c:pt>
                <c:pt idx="7">
                  <c:v>11.045999999999999</c:v>
                </c:pt>
                <c:pt idx="8">
                  <c:v>10.731</c:v>
                </c:pt>
                <c:pt idx="9">
                  <c:v>11.085000000000001</c:v>
                </c:pt>
                <c:pt idx="10">
                  <c:v>12.299999999999999</c:v>
                </c:pt>
                <c:pt idx="11">
                  <c:v>9.5909999999999993</c:v>
                </c:pt>
                <c:pt idx="12">
                  <c:v>10.493999999999998</c:v>
                </c:pt>
                <c:pt idx="13">
                  <c:v>6.5729999999999995</c:v>
                </c:pt>
                <c:pt idx="14">
                  <c:v>6.7559999999999993</c:v>
                </c:pt>
                <c:pt idx="15">
                  <c:v>5.1150000000000002</c:v>
                </c:pt>
                <c:pt idx="16">
                  <c:v>5.28</c:v>
                </c:pt>
                <c:pt idx="17">
                  <c:v>7.8689999999999989</c:v>
                </c:pt>
                <c:pt idx="18">
                  <c:v>9.020999999999999</c:v>
                </c:pt>
                <c:pt idx="19">
                  <c:v>10.467000000000001</c:v>
                </c:pt>
                <c:pt idx="20">
                  <c:v>13.103999999999999</c:v>
                </c:pt>
                <c:pt idx="21">
                  <c:v>10.188000000000001</c:v>
                </c:pt>
                <c:pt idx="22">
                  <c:v>11.639999999999999</c:v>
                </c:pt>
                <c:pt idx="23">
                  <c:v>13.065</c:v>
                </c:pt>
                <c:pt idx="24">
                  <c:v>15.837</c:v>
                </c:pt>
                <c:pt idx="25">
                  <c:v>14.613</c:v>
                </c:pt>
                <c:pt idx="26">
                  <c:v>14.154</c:v>
                </c:pt>
                <c:pt idx="27">
                  <c:v>16.097999999999999</c:v>
                </c:pt>
                <c:pt idx="28">
                  <c:v>15.998999999999999</c:v>
                </c:pt>
                <c:pt idx="29">
                  <c:v>22.238999999999997</c:v>
                </c:pt>
                <c:pt idx="30">
                  <c:v>24.387</c:v>
                </c:pt>
                <c:pt idx="31">
                  <c:v>24.843</c:v>
                </c:pt>
                <c:pt idx="32">
                  <c:v>38.502000000000002</c:v>
                </c:pt>
                <c:pt idx="33">
                  <c:v>41.861999999999995</c:v>
                </c:pt>
                <c:pt idx="34">
                  <c:v>52.875</c:v>
                </c:pt>
                <c:pt idx="35">
                  <c:v>66.287999999999997</c:v>
                </c:pt>
                <c:pt idx="36">
                  <c:v>50.360999999999997</c:v>
                </c:pt>
                <c:pt idx="37">
                  <c:v>38.634</c:v>
                </c:pt>
                <c:pt idx="38">
                  <c:v>75.527999999999992</c:v>
                </c:pt>
                <c:pt idx="39">
                  <c:v>49.8</c:v>
                </c:pt>
                <c:pt idx="40">
                  <c:v>53.252999999999993</c:v>
                </c:pt>
                <c:pt idx="41">
                  <c:v>65.453999999999994</c:v>
                </c:pt>
                <c:pt idx="42">
                  <c:v>94.577999999999989</c:v>
                </c:pt>
                <c:pt idx="43">
                  <c:v>140.80500000000001</c:v>
                </c:pt>
                <c:pt idx="44">
                  <c:v>108.054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F-45C6-A1FD-C20BEAEC6312}"/>
            </c:ext>
          </c:extLst>
        </c:ser>
        <c:ser>
          <c:idx val="5"/>
          <c:order val="5"/>
          <c:tx>
            <c:strRef>
              <c:f>'Wind breakdown'!$G$1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breakdown'!$G$2:$G$46</c:f>
              <c:numCache>
                <c:formatCode>0.00</c:formatCode>
                <c:ptCount val="45"/>
                <c:pt idx="0">
                  <c:v>22.584859913793107</c:v>
                </c:pt>
                <c:pt idx="1">
                  <c:v>22.584859913793107</c:v>
                </c:pt>
                <c:pt idx="2">
                  <c:v>22.584859913793107</c:v>
                </c:pt>
                <c:pt idx="3">
                  <c:v>22.584859913793107</c:v>
                </c:pt>
                <c:pt idx="4">
                  <c:v>22.584859913793107</c:v>
                </c:pt>
                <c:pt idx="5">
                  <c:v>22.584859913793107</c:v>
                </c:pt>
                <c:pt idx="6">
                  <c:v>22.584859913793107</c:v>
                </c:pt>
                <c:pt idx="7">
                  <c:v>22.584859913793107</c:v>
                </c:pt>
                <c:pt idx="8">
                  <c:v>22.584859913793107</c:v>
                </c:pt>
                <c:pt idx="9">
                  <c:v>22.584859913793107</c:v>
                </c:pt>
                <c:pt idx="10">
                  <c:v>22.584859913793107</c:v>
                </c:pt>
                <c:pt idx="11">
                  <c:v>22.584859913793107</c:v>
                </c:pt>
                <c:pt idx="12">
                  <c:v>22.164762931034488</c:v>
                </c:pt>
                <c:pt idx="13">
                  <c:v>22.164762931034488</c:v>
                </c:pt>
                <c:pt idx="14">
                  <c:v>22.164762931034488</c:v>
                </c:pt>
                <c:pt idx="15">
                  <c:v>22.164762931034488</c:v>
                </c:pt>
                <c:pt idx="16">
                  <c:v>22.164762931034488</c:v>
                </c:pt>
                <c:pt idx="17">
                  <c:v>22.164762931034488</c:v>
                </c:pt>
                <c:pt idx="18">
                  <c:v>22.164762931034488</c:v>
                </c:pt>
                <c:pt idx="19">
                  <c:v>22.164762931034488</c:v>
                </c:pt>
                <c:pt idx="20">
                  <c:v>22.164762931034488</c:v>
                </c:pt>
                <c:pt idx="21">
                  <c:v>22.164762931034488</c:v>
                </c:pt>
                <c:pt idx="22">
                  <c:v>22.164762931034488</c:v>
                </c:pt>
                <c:pt idx="23">
                  <c:v>22.164762931034488</c:v>
                </c:pt>
                <c:pt idx="24">
                  <c:v>26.321120689655174</c:v>
                </c:pt>
                <c:pt idx="25">
                  <c:v>26.321120689655174</c:v>
                </c:pt>
                <c:pt idx="26">
                  <c:v>26.321120689655174</c:v>
                </c:pt>
                <c:pt idx="27">
                  <c:v>26.321120689655174</c:v>
                </c:pt>
                <c:pt idx="28">
                  <c:v>26.321120689655174</c:v>
                </c:pt>
                <c:pt idx="29">
                  <c:v>26.321120689655174</c:v>
                </c:pt>
                <c:pt idx="30">
                  <c:v>26.321120689655174</c:v>
                </c:pt>
                <c:pt idx="31">
                  <c:v>26.321120689655174</c:v>
                </c:pt>
                <c:pt idx="32">
                  <c:v>26.321120689655174</c:v>
                </c:pt>
                <c:pt idx="33">
                  <c:v>26.321120689655174</c:v>
                </c:pt>
                <c:pt idx="34">
                  <c:v>26.321120689655174</c:v>
                </c:pt>
                <c:pt idx="35">
                  <c:v>26.321120689655174</c:v>
                </c:pt>
                <c:pt idx="36">
                  <c:v>30.391971982758623</c:v>
                </c:pt>
                <c:pt idx="37">
                  <c:v>30.391971982758623</c:v>
                </c:pt>
                <c:pt idx="38">
                  <c:v>30.391971982758623</c:v>
                </c:pt>
                <c:pt idx="39">
                  <c:v>30.391971982758623</c:v>
                </c:pt>
                <c:pt idx="40">
                  <c:v>30.391971982758623</c:v>
                </c:pt>
                <c:pt idx="41">
                  <c:v>30.391971982758623</c:v>
                </c:pt>
                <c:pt idx="42">
                  <c:v>30.391971982758623</c:v>
                </c:pt>
                <c:pt idx="43">
                  <c:v>30.391971982758623</c:v>
                </c:pt>
                <c:pt idx="44">
                  <c:v>30.391971982758623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4F-45C6-A1FD-C20BEAEC6312}"/>
            </c:ext>
          </c:extLst>
        </c:ser>
        <c:ser>
          <c:idx val="6"/>
          <c:order val="6"/>
          <c:tx>
            <c:strRef>
              <c:f>'Wind breakdown'!$H$1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breakdown'!$H$2:$H$46</c:f>
              <c:numCache>
                <c:formatCode>0.00</c:formatCode>
                <c:ptCount val="45"/>
                <c:pt idx="0">
                  <c:v>92.19423491379311</c:v>
                </c:pt>
                <c:pt idx="1">
                  <c:v>92.19423491379311</c:v>
                </c:pt>
                <c:pt idx="2">
                  <c:v>92.19423491379311</c:v>
                </c:pt>
                <c:pt idx="3">
                  <c:v>92.19423491379311</c:v>
                </c:pt>
                <c:pt idx="4">
                  <c:v>92.19423491379311</c:v>
                </c:pt>
                <c:pt idx="5">
                  <c:v>92.19423491379311</c:v>
                </c:pt>
                <c:pt idx="6">
                  <c:v>92.19423491379311</c:v>
                </c:pt>
                <c:pt idx="7">
                  <c:v>92.19423491379311</c:v>
                </c:pt>
                <c:pt idx="8">
                  <c:v>92.19423491379311</c:v>
                </c:pt>
                <c:pt idx="9">
                  <c:v>92.19423491379311</c:v>
                </c:pt>
                <c:pt idx="10">
                  <c:v>92.19423491379311</c:v>
                </c:pt>
                <c:pt idx="11">
                  <c:v>92.19423491379311</c:v>
                </c:pt>
                <c:pt idx="12">
                  <c:v>90.479346264367834</c:v>
                </c:pt>
                <c:pt idx="13">
                  <c:v>90.479346264367834</c:v>
                </c:pt>
                <c:pt idx="14">
                  <c:v>90.479346264367834</c:v>
                </c:pt>
                <c:pt idx="15">
                  <c:v>90.479346264367834</c:v>
                </c:pt>
                <c:pt idx="16">
                  <c:v>90.479346264367834</c:v>
                </c:pt>
                <c:pt idx="17">
                  <c:v>90.479346264367834</c:v>
                </c:pt>
                <c:pt idx="18">
                  <c:v>90.479346264367834</c:v>
                </c:pt>
                <c:pt idx="19">
                  <c:v>90.479346264367834</c:v>
                </c:pt>
                <c:pt idx="20">
                  <c:v>90.479346264367834</c:v>
                </c:pt>
                <c:pt idx="21">
                  <c:v>90.479346264367834</c:v>
                </c:pt>
                <c:pt idx="22">
                  <c:v>90.479346264367834</c:v>
                </c:pt>
                <c:pt idx="23">
                  <c:v>90.479346264367834</c:v>
                </c:pt>
                <c:pt idx="24">
                  <c:v>107.44612068965519</c:v>
                </c:pt>
                <c:pt idx="25">
                  <c:v>107.44612068965519</c:v>
                </c:pt>
                <c:pt idx="26">
                  <c:v>107.44612068965519</c:v>
                </c:pt>
                <c:pt idx="27">
                  <c:v>107.44612068965519</c:v>
                </c:pt>
                <c:pt idx="28">
                  <c:v>107.44612068965519</c:v>
                </c:pt>
                <c:pt idx="29">
                  <c:v>107.44612068965519</c:v>
                </c:pt>
                <c:pt idx="30">
                  <c:v>107.44612068965519</c:v>
                </c:pt>
                <c:pt idx="31">
                  <c:v>107.44612068965519</c:v>
                </c:pt>
                <c:pt idx="32">
                  <c:v>107.44612068965519</c:v>
                </c:pt>
                <c:pt idx="33">
                  <c:v>107.44612068965519</c:v>
                </c:pt>
                <c:pt idx="34">
                  <c:v>107.44612068965519</c:v>
                </c:pt>
                <c:pt idx="35">
                  <c:v>107.44612068965519</c:v>
                </c:pt>
                <c:pt idx="36">
                  <c:v>124.06384698275863</c:v>
                </c:pt>
                <c:pt idx="37">
                  <c:v>124.06384698275863</c:v>
                </c:pt>
                <c:pt idx="38">
                  <c:v>124.06384698275863</c:v>
                </c:pt>
                <c:pt idx="39">
                  <c:v>124.06384698275863</c:v>
                </c:pt>
                <c:pt idx="40">
                  <c:v>124.06384698275863</c:v>
                </c:pt>
                <c:pt idx="41">
                  <c:v>124.06384698275863</c:v>
                </c:pt>
                <c:pt idx="42">
                  <c:v>124.06384698275863</c:v>
                </c:pt>
                <c:pt idx="43">
                  <c:v>124.06384698275863</c:v>
                </c:pt>
                <c:pt idx="44">
                  <c:v>124.06384698275863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4F-45C6-A1FD-C20BEAEC6312}"/>
            </c:ext>
          </c:extLst>
        </c:ser>
        <c:ser>
          <c:idx val="7"/>
          <c:order val="7"/>
          <c:tx>
            <c:strRef>
              <c:f>'Wind breakdown'!$I$1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breakdown'!$I$2:$I$46</c:f>
              <c:numCache>
                <c:formatCode>0.00</c:formatCode>
                <c:ptCount val="45"/>
                <c:pt idx="0">
                  <c:v>17.238685344827591</c:v>
                </c:pt>
                <c:pt idx="1">
                  <c:v>17.238685344827591</c:v>
                </c:pt>
                <c:pt idx="2">
                  <c:v>17.238685344827591</c:v>
                </c:pt>
                <c:pt idx="3">
                  <c:v>17.238685344827591</c:v>
                </c:pt>
                <c:pt idx="4">
                  <c:v>17.238685344827591</c:v>
                </c:pt>
                <c:pt idx="5">
                  <c:v>17.238685344827591</c:v>
                </c:pt>
                <c:pt idx="6">
                  <c:v>17.238685344827591</c:v>
                </c:pt>
                <c:pt idx="7">
                  <c:v>17.238685344827591</c:v>
                </c:pt>
                <c:pt idx="8">
                  <c:v>17.238685344827591</c:v>
                </c:pt>
                <c:pt idx="9">
                  <c:v>17.238685344827591</c:v>
                </c:pt>
                <c:pt idx="10">
                  <c:v>17.238685344827591</c:v>
                </c:pt>
                <c:pt idx="11">
                  <c:v>17.238685344827591</c:v>
                </c:pt>
                <c:pt idx="12">
                  <c:v>16.918031609195406</c:v>
                </c:pt>
                <c:pt idx="13">
                  <c:v>16.918031609195406</c:v>
                </c:pt>
                <c:pt idx="14">
                  <c:v>16.918031609195406</c:v>
                </c:pt>
                <c:pt idx="15">
                  <c:v>16.918031609195406</c:v>
                </c:pt>
                <c:pt idx="16">
                  <c:v>16.918031609195406</c:v>
                </c:pt>
                <c:pt idx="17">
                  <c:v>16.918031609195406</c:v>
                </c:pt>
                <c:pt idx="18">
                  <c:v>16.918031609195406</c:v>
                </c:pt>
                <c:pt idx="19">
                  <c:v>16.918031609195406</c:v>
                </c:pt>
                <c:pt idx="20">
                  <c:v>16.918031609195406</c:v>
                </c:pt>
                <c:pt idx="21">
                  <c:v>16.918031609195406</c:v>
                </c:pt>
                <c:pt idx="22">
                  <c:v>16.918031609195406</c:v>
                </c:pt>
                <c:pt idx="23">
                  <c:v>16.918031609195406</c:v>
                </c:pt>
                <c:pt idx="24">
                  <c:v>20.090517241379313</c:v>
                </c:pt>
                <c:pt idx="25">
                  <c:v>20.090517241379313</c:v>
                </c:pt>
                <c:pt idx="26">
                  <c:v>20.090517241379313</c:v>
                </c:pt>
                <c:pt idx="27">
                  <c:v>20.090517241379313</c:v>
                </c:pt>
                <c:pt idx="28">
                  <c:v>20.090517241379313</c:v>
                </c:pt>
                <c:pt idx="29">
                  <c:v>20.090517241379313</c:v>
                </c:pt>
                <c:pt idx="30">
                  <c:v>20.090517241379313</c:v>
                </c:pt>
                <c:pt idx="31">
                  <c:v>20.090517241379313</c:v>
                </c:pt>
                <c:pt idx="32">
                  <c:v>20.090517241379313</c:v>
                </c:pt>
                <c:pt idx="33">
                  <c:v>20.090517241379313</c:v>
                </c:pt>
                <c:pt idx="34">
                  <c:v>20.090517241379313</c:v>
                </c:pt>
                <c:pt idx="35">
                  <c:v>20.090517241379313</c:v>
                </c:pt>
                <c:pt idx="36">
                  <c:v>23.19773706896552</c:v>
                </c:pt>
                <c:pt idx="37">
                  <c:v>23.19773706896552</c:v>
                </c:pt>
                <c:pt idx="38">
                  <c:v>23.19773706896552</c:v>
                </c:pt>
                <c:pt idx="39">
                  <c:v>23.19773706896552</c:v>
                </c:pt>
                <c:pt idx="40">
                  <c:v>23.19773706896552</c:v>
                </c:pt>
                <c:pt idx="41">
                  <c:v>23.19773706896552</c:v>
                </c:pt>
                <c:pt idx="42">
                  <c:v>23.19773706896552</c:v>
                </c:pt>
                <c:pt idx="43">
                  <c:v>23.19773706896552</c:v>
                </c:pt>
                <c:pt idx="44">
                  <c:v>23.19773706896552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4F-45C6-A1FD-C20BEAEC6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23296"/>
        <c:axId val="518326208"/>
      </c:barChart>
      <c:catAx>
        <c:axId val="51832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8326208"/>
        <c:crosses val="autoZero"/>
        <c:auto val="1"/>
        <c:lblAlgn val="ctr"/>
        <c:lblOffset val="100"/>
        <c:noMultiLvlLbl val="0"/>
      </c:catAx>
      <c:valAx>
        <c:axId val="5183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83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Summary!$B$2:$B$30</c:f>
              <c:numCache>
                <c:formatCode>0.00</c:formatCode>
                <c:ptCount val="29"/>
                <c:pt idx="0">
                  <c:v>140.37406812121213</c:v>
                </c:pt>
                <c:pt idx="1">
                  <c:v>0</c:v>
                </c:pt>
                <c:pt idx="2">
                  <c:v>0</c:v>
                </c:pt>
                <c:pt idx="3">
                  <c:v>94.694087909090896</c:v>
                </c:pt>
                <c:pt idx="4">
                  <c:v>0</c:v>
                </c:pt>
                <c:pt idx="5">
                  <c:v>0</c:v>
                </c:pt>
                <c:pt idx="6">
                  <c:v>365.34249490909093</c:v>
                </c:pt>
                <c:pt idx="7">
                  <c:v>0</c:v>
                </c:pt>
                <c:pt idx="8">
                  <c:v>0</c:v>
                </c:pt>
                <c:pt idx="9">
                  <c:v>906.78532909090904</c:v>
                </c:pt>
                <c:pt idx="10">
                  <c:v>0</c:v>
                </c:pt>
                <c:pt idx="11">
                  <c:v>0</c:v>
                </c:pt>
                <c:pt idx="12">
                  <c:v>825.30606763636376</c:v>
                </c:pt>
                <c:pt idx="13">
                  <c:v>0</c:v>
                </c:pt>
                <c:pt idx="14">
                  <c:v>0</c:v>
                </c:pt>
                <c:pt idx="15">
                  <c:v>940.36997090909097</c:v>
                </c:pt>
                <c:pt idx="16">
                  <c:v>0</c:v>
                </c:pt>
                <c:pt idx="17">
                  <c:v>0</c:v>
                </c:pt>
                <c:pt idx="18">
                  <c:v>1499.0431865454545</c:v>
                </c:pt>
                <c:pt idx="19">
                  <c:v>0</c:v>
                </c:pt>
                <c:pt idx="20">
                  <c:v>0</c:v>
                </c:pt>
                <c:pt idx="21">
                  <c:v>2045.450706909091</c:v>
                </c:pt>
                <c:pt idx="22">
                  <c:v>0</c:v>
                </c:pt>
                <c:pt idx="23">
                  <c:v>0</c:v>
                </c:pt>
                <c:pt idx="24">
                  <c:v>1725.9585490909089</c:v>
                </c:pt>
                <c:pt idx="25">
                  <c:v>0</c:v>
                </c:pt>
                <c:pt idx="26">
                  <c:v>0</c:v>
                </c:pt>
                <c:pt idx="27">
                  <c:v>1043.168178909091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E-47A5-82F5-D211FBF5E450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Summary!$C$2:$C$30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E-47A5-82F5-D211FBF5E450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Summary!$D$2:$D$30</c:f>
              <c:numCache>
                <c:formatCode>0.00</c:formatCode>
                <c:ptCount val="29"/>
                <c:pt idx="0">
                  <c:v>0</c:v>
                </c:pt>
                <c:pt idx="1">
                  <c:v>245.70438806084951</c:v>
                </c:pt>
                <c:pt idx="2">
                  <c:v>0</c:v>
                </c:pt>
                <c:pt idx="3">
                  <c:v>0</c:v>
                </c:pt>
                <c:pt idx="4">
                  <c:v>230.83501264792508</c:v>
                </c:pt>
                <c:pt idx="5">
                  <c:v>0</c:v>
                </c:pt>
                <c:pt idx="6">
                  <c:v>0</c:v>
                </c:pt>
                <c:pt idx="7">
                  <c:v>334.59533157798518</c:v>
                </c:pt>
                <c:pt idx="8">
                  <c:v>0</c:v>
                </c:pt>
                <c:pt idx="9">
                  <c:v>0</c:v>
                </c:pt>
                <c:pt idx="10">
                  <c:v>464.07060473598312</c:v>
                </c:pt>
                <c:pt idx="11">
                  <c:v>0</c:v>
                </c:pt>
                <c:pt idx="12">
                  <c:v>0</c:v>
                </c:pt>
                <c:pt idx="13">
                  <c:v>482.82345156303302</c:v>
                </c:pt>
                <c:pt idx="14">
                  <c:v>0</c:v>
                </c:pt>
                <c:pt idx="15">
                  <c:v>0</c:v>
                </c:pt>
                <c:pt idx="16">
                  <c:v>510.33869300006177</c:v>
                </c:pt>
                <c:pt idx="17">
                  <c:v>0</c:v>
                </c:pt>
                <c:pt idx="18">
                  <c:v>0</c:v>
                </c:pt>
                <c:pt idx="19">
                  <c:v>643.93426880979735</c:v>
                </c:pt>
                <c:pt idx="20">
                  <c:v>0</c:v>
                </c:pt>
                <c:pt idx="21">
                  <c:v>0</c:v>
                </c:pt>
                <c:pt idx="22">
                  <c:v>774.59674781660101</c:v>
                </c:pt>
                <c:pt idx="23">
                  <c:v>0</c:v>
                </c:pt>
                <c:pt idx="24">
                  <c:v>0</c:v>
                </c:pt>
                <c:pt idx="25">
                  <c:v>698.19655966403911</c:v>
                </c:pt>
                <c:pt idx="26">
                  <c:v>0</c:v>
                </c:pt>
                <c:pt idx="27">
                  <c:v>0</c:v>
                </c:pt>
                <c:pt idx="28">
                  <c:v>534.92083763415837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3E-47A5-82F5-D211FBF5E450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Summary!$E$2:$E$30</c:f>
              <c:numCache>
                <c:formatCode>0.00</c:formatCode>
                <c:ptCount val="29"/>
                <c:pt idx="0">
                  <c:v>0</c:v>
                </c:pt>
                <c:pt idx="1">
                  <c:v>1307.5419999999997</c:v>
                </c:pt>
                <c:pt idx="2">
                  <c:v>0</c:v>
                </c:pt>
                <c:pt idx="3">
                  <c:v>0</c:v>
                </c:pt>
                <c:pt idx="4">
                  <c:v>1070.8780000000002</c:v>
                </c:pt>
                <c:pt idx="5">
                  <c:v>0</c:v>
                </c:pt>
                <c:pt idx="6">
                  <c:v>0</c:v>
                </c:pt>
                <c:pt idx="7">
                  <c:v>1021.9720000000001</c:v>
                </c:pt>
                <c:pt idx="8">
                  <c:v>0</c:v>
                </c:pt>
                <c:pt idx="9">
                  <c:v>0</c:v>
                </c:pt>
                <c:pt idx="10">
                  <c:v>1021.9720000000001</c:v>
                </c:pt>
                <c:pt idx="11">
                  <c:v>0</c:v>
                </c:pt>
                <c:pt idx="12">
                  <c:v>0</c:v>
                </c:pt>
                <c:pt idx="13">
                  <c:v>1180.0312288135592</c:v>
                </c:pt>
                <c:pt idx="14">
                  <c:v>0</c:v>
                </c:pt>
                <c:pt idx="15">
                  <c:v>0</c:v>
                </c:pt>
                <c:pt idx="16">
                  <c:v>1180.0312288135592</c:v>
                </c:pt>
                <c:pt idx="17">
                  <c:v>0</c:v>
                </c:pt>
                <c:pt idx="18">
                  <c:v>0</c:v>
                </c:pt>
                <c:pt idx="19">
                  <c:v>1180.0312288135592</c:v>
                </c:pt>
                <c:pt idx="20">
                  <c:v>0</c:v>
                </c:pt>
                <c:pt idx="21">
                  <c:v>0</c:v>
                </c:pt>
                <c:pt idx="22">
                  <c:v>1180.0312288135592</c:v>
                </c:pt>
                <c:pt idx="23">
                  <c:v>0</c:v>
                </c:pt>
                <c:pt idx="24">
                  <c:v>0</c:v>
                </c:pt>
                <c:pt idx="25">
                  <c:v>1180.0312288135592</c:v>
                </c:pt>
                <c:pt idx="26">
                  <c:v>0</c:v>
                </c:pt>
                <c:pt idx="27">
                  <c:v>0</c:v>
                </c:pt>
                <c:pt idx="28">
                  <c:v>1180.0312288135592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3E-47A5-82F5-D211FBF5E450}"/>
            </c:ext>
          </c:extLst>
        </c:ser>
        <c:ser>
          <c:idx val="4"/>
          <c:order val="4"/>
          <c:tx>
            <c:strRef>
              <c:f>Summary!$F$1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Summary!$F$2:$F$30</c:f>
              <c:numCache>
                <c:formatCode>0.00</c:formatCode>
                <c:ptCount val="29"/>
                <c:pt idx="0">
                  <c:v>2.7894916666666667</c:v>
                </c:pt>
                <c:pt idx="1">
                  <c:v>11.308749999999998</c:v>
                </c:pt>
                <c:pt idx="2">
                  <c:v>0</c:v>
                </c:pt>
                <c:pt idx="3">
                  <c:v>2.2523133333333329</c:v>
                </c:pt>
                <c:pt idx="4">
                  <c:v>9.1310000000000002</c:v>
                </c:pt>
                <c:pt idx="5">
                  <c:v>0</c:v>
                </c:pt>
                <c:pt idx="6">
                  <c:v>6.01546</c:v>
                </c:pt>
                <c:pt idx="7">
                  <c:v>24.387</c:v>
                </c:pt>
                <c:pt idx="8">
                  <c:v>0</c:v>
                </c:pt>
                <c:pt idx="9">
                  <c:v>10.325959999999998</c:v>
                </c:pt>
                <c:pt idx="10">
                  <c:v>41.861999999999995</c:v>
                </c:pt>
                <c:pt idx="11">
                  <c:v>0</c:v>
                </c:pt>
                <c:pt idx="12">
                  <c:v>12.42238</c:v>
                </c:pt>
                <c:pt idx="13">
                  <c:v>50.360999999999997</c:v>
                </c:pt>
                <c:pt idx="14">
                  <c:v>0</c:v>
                </c:pt>
                <c:pt idx="15">
                  <c:v>12.283999999999999</c:v>
                </c:pt>
                <c:pt idx="16">
                  <c:v>49.8</c:v>
                </c:pt>
                <c:pt idx="17">
                  <c:v>0</c:v>
                </c:pt>
                <c:pt idx="18">
                  <c:v>23.329239999999999</c:v>
                </c:pt>
                <c:pt idx="19">
                  <c:v>94.577999999999989</c:v>
                </c:pt>
                <c:pt idx="20">
                  <c:v>0</c:v>
                </c:pt>
                <c:pt idx="21">
                  <c:v>34.731900000000003</c:v>
                </c:pt>
                <c:pt idx="22">
                  <c:v>140.80500000000001</c:v>
                </c:pt>
                <c:pt idx="23">
                  <c:v>0</c:v>
                </c:pt>
                <c:pt idx="24">
                  <c:v>26.653320000000001</c:v>
                </c:pt>
                <c:pt idx="25">
                  <c:v>108.054</c:v>
                </c:pt>
                <c:pt idx="26">
                  <c:v>0</c:v>
                </c:pt>
                <c:pt idx="27">
                  <c:v>12.983299999999998</c:v>
                </c:pt>
                <c:pt idx="28">
                  <c:v>52.634999999999998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3E-47A5-82F5-D211FBF5E450}"/>
            </c:ext>
          </c:extLst>
        </c:ser>
        <c:ser>
          <c:idx val="5"/>
          <c:order val="5"/>
          <c:tx>
            <c:strRef>
              <c:f>Summary!$G$1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Summary!$G$2:$G$30</c:f>
              <c:numCache>
                <c:formatCode>0.00</c:formatCode>
                <c:ptCount val="29"/>
                <c:pt idx="0">
                  <c:v>25.530711206896552</c:v>
                </c:pt>
                <c:pt idx="1">
                  <c:v>22.584859913793107</c:v>
                </c:pt>
                <c:pt idx="2">
                  <c:v>0</c:v>
                </c:pt>
                <c:pt idx="3">
                  <c:v>25.055818965517243</c:v>
                </c:pt>
                <c:pt idx="4">
                  <c:v>22.164762931034488</c:v>
                </c:pt>
                <c:pt idx="5">
                  <c:v>0</c:v>
                </c:pt>
                <c:pt idx="6">
                  <c:v>29.754310344827591</c:v>
                </c:pt>
                <c:pt idx="7">
                  <c:v>26.321120689655174</c:v>
                </c:pt>
                <c:pt idx="8">
                  <c:v>0</c:v>
                </c:pt>
                <c:pt idx="9">
                  <c:v>29.754310344827591</c:v>
                </c:pt>
                <c:pt idx="10">
                  <c:v>26.321120689655174</c:v>
                </c:pt>
                <c:pt idx="11">
                  <c:v>0</c:v>
                </c:pt>
                <c:pt idx="12">
                  <c:v>34.35614224137931</c:v>
                </c:pt>
                <c:pt idx="13">
                  <c:v>30.391971982758623</c:v>
                </c:pt>
                <c:pt idx="14">
                  <c:v>0</c:v>
                </c:pt>
                <c:pt idx="15">
                  <c:v>34.35614224137931</c:v>
                </c:pt>
                <c:pt idx="16">
                  <c:v>30.391971982758623</c:v>
                </c:pt>
                <c:pt idx="17">
                  <c:v>0</c:v>
                </c:pt>
                <c:pt idx="18">
                  <c:v>34.35614224137931</c:v>
                </c:pt>
                <c:pt idx="19">
                  <c:v>30.391971982758623</c:v>
                </c:pt>
                <c:pt idx="20">
                  <c:v>0</c:v>
                </c:pt>
                <c:pt idx="21">
                  <c:v>34.35614224137931</c:v>
                </c:pt>
                <c:pt idx="22">
                  <c:v>30.391971982758623</c:v>
                </c:pt>
                <c:pt idx="23">
                  <c:v>0</c:v>
                </c:pt>
                <c:pt idx="24">
                  <c:v>34.35614224137931</c:v>
                </c:pt>
                <c:pt idx="25">
                  <c:v>30.391971982758623</c:v>
                </c:pt>
                <c:pt idx="26">
                  <c:v>0</c:v>
                </c:pt>
                <c:pt idx="27">
                  <c:v>34.35614224137931</c:v>
                </c:pt>
                <c:pt idx="28">
                  <c:v>30.391971982758623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3E-47A5-82F5-D211FBF5E450}"/>
            </c:ext>
          </c:extLst>
        </c:ser>
        <c:ser>
          <c:idx val="6"/>
          <c:order val="6"/>
          <c:tx>
            <c:strRef>
              <c:f>Summary!$H$1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Summary!$H$2:$H$30</c:f>
              <c:numCache>
                <c:formatCode>0.00</c:formatCode>
                <c:ptCount val="29"/>
                <c:pt idx="0">
                  <c:v>55.862068965517246</c:v>
                </c:pt>
                <c:pt idx="1">
                  <c:v>92.194234913793125</c:v>
                </c:pt>
                <c:pt idx="2">
                  <c:v>0</c:v>
                </c:pt>
                <c:pt idx="3">
                  <c:v>54.822988505747155</c:v>
                </c:pt>
                <c:pt idx="4">
                  <c:v>90.479346264367805</c:v>
                </c:pt>
                <c:pt idx="5">
                  <c:v>0</c:v>
                </c:pt>
                <c:pt idx="6">
                  <c:v>65.103448275862078</c:v>
                </c:pt>
                <c:pt idx="7">
                  <c:v>107.44612068965519</c:v>
                </c:pt>
                <c:pt idx="8">
                  <c:v>0</c:v>
                </c:pt>
                <c:pt idx="9">
                  <c:v>65.103448275862078</c:v>
                </c:pt>
                <c:pt idx="10">
                  <c:v>107.44612068965519</c:v>
                </c:pt>
                <c:pt idx="11">
                  <c:v>0</c:v>
                </c:pt>
                <c:pt idx="12">
                  <c:v>75.172413793103445</c:v>
                </c:pt>
                <c:pt idx="13">
                  <c:v>124.06384698275863</c:v>
                </c:pt>
                <c:pt idx="14">
                  <c:v>0</c:v>
                </c:pt>
                <c:pt idx="15">
                  <c:v>75.172413793103445</c:v>
                </c:pt>
                <c:pt idx="16">
                  <c:v>124.06384698275863</c:v>
                </c:pt>
                <c:pt idx="17">
                  <c:v>0</c:v>
                </c:pt>
                <c:pt idx="18">
                  <c:v>75.172413793103445</c:v>
                </c:pt>
                <c:pt idx="19">
                  <c:v>124.06384698275863</c:v>
                </c:pt>
                <c:pt idx="20">
                  <c:v>0</c:v>
                </c:pt>
                <c:pt idx="21">
                  <c:v>75.172413793103445</c:v>
                </c:pt>
                <c:pt idx="22">
                  <c:v>124.06384698275863</c:v>
                </c:pt>
                <c:pt idx="23">
                  <c:v>0</c:v>
                </c:pt>
                <c:pt idx="24">
                  <c:v>75.172413793103445</c:v>
                </c:pt>
                <c:pt idx="25">
                  <c:v>124.06384698275863</c:v>
                </c:pt>
                <c:pt idx="26">
                  <c:v>0</c:v>
                </c:pt>
                <c:pt idx="27">
                  <c:v>75.172413793103445</c:v>
                </c:pt>
                <c:pt idx="28">
                  <c:v>124.06384698275863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3E-47A5-82F5-D211FBF5E450}"/>
            </c:ext>
          </c:extLst>
        </c:ser>
        <c:ser>
          <c:idx val="7"/>
          <c:order val="7"/>
          <c:tx>
            <c:strRef>
              <c:f>Summary!$I$1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Summary!$I$2:$I$30</c:f>
              <c:numCache>
                <c:formatCode>0.00</c:formatCode>
                <c:ptCount val="29"/>
                <c:pt idx="0">
                  <c:v>11.128771551724141</c:v>
                </c:pt>
                <c:pt idx="1">
                  <c:v>17.238685344827591</c:v>
                </c:pt>
                <c:pt idx="2">
                  <c:v>0</c:v>
                </c:pt>
                <c:pt idx="3">
                  <c:v>10.921767241379314</c:v>
                </c:pt>
                <c:pt idx="4">
                  <c:v>16.918031609195403</c:v>
                </c:pt>
                <c:pt idx="5">
                  <c:v>0</c:v>
                </c:pt>
                <c:pt idx="6">
                  <c:v>12.969827586206899</c:v>
                </c:pt>
                <c:pt idx="7">
                  <c:v>20.090517241379313</c:v>
                </c:pt>
                <c:pt idx="8">
                  <c:v>0</c:v>
                </c:pt>
                <c:pt idx="9">
                  <c:v>12.969827586206899</c:v>
                </c:pt>
                <c:pt idx="10">
                  <c:v>20.090517241379313</c:v>
                </c:pt>
                <c:pt idx="11">
                  <c:v>0</c:v>
                </c:pt>
                <c:pt idx="12">
                  <c:v>14.975754310344829</c:v>
                </c:pt>
                <c:pt idx="13">
                  <c:v>23.19773706896552</c:v>
                </c:pt>
                <c:pt idx="14">
                  <c:v>0</c:v>
                </c:pt>
                <c:pt idx="15">
                  <c:v>14.975754310344829</c:v>
                </c:pt>
                <c:pt idx="16">
                  <c:v>23.19773706896552</c:v>
                </c:pt>
                <c:pt idx="17">
                  <c:v>0</c:v>
                </c:pt>
                <c:pt idx="18">
                  <c:v>14.975754310344829</c:v>
                </c:pt>
                <c:pt idx="19">
                  <c:v>23.19773706896552</c:v>
                </c:pt>
                <c:pt idx="20">
                  <c:v>0</c:v>
                </c:pt>
                <c:pt idx="21">
                  <c:v>14.975754310344829</c:v>
                </c:pt>
                <c:pt idx="22">
                  <c:v>23.19773706896552</c:v>
                </c:pt>
                <c:pt idx="23">
                  <c:v>0</c:v>
                </c:pt>
                <c:pt idx="24">
                  <c:v>14.975754310344829</c:v>
                </c:pt>
                <c:pt idx="25">
                  <c:v>23.19773706896552</c:v>
                </c:pt>
                <c:pt idx="26">
                  <c:v>0</c:v>
                </c:pt>
                <c:pt idx="27">
                  <c:v>14.975754310344829</c:v>
                </c:pt>
                <c:pt idx="28">
                  <c:v>23.19773706896552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3E-47A5-82F5-D211FBF5E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533568"/>
        <c:axId val="1524527328"/>
      </c:barChart>
      <c:catAx>
        <c:axId val="152453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4527328"/>
        <c:crosses val="autoZero"/>
        <c:auto val="1"/>
        <c:lblAlgn val="ctr"/>
        <c:lblOffset val="100"/>
        <c:noMultiLvlLbl val="0"/>
      </c:catAx>
      <c:valAx>
        <c:axId val="152452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45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SI'!$B$1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SI'!$B$2:$B$50</c:f>
              <c:numCache>
                <c:formatCode>0.00</c:formatCode>
                <c:ptCount val="49"/>
                <c:pt idx="0">
                  <c:v>140.37406812121213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94.694087909090896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365.34249490909093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906.78532909090904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825.30606763636376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940.36997090909097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1499.0431865454545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2045.450706909091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1725.9585490909089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1043.168178909091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D-409F-8D89-B5A3F06A8636}"/>
            </c:ext>
          </c:extLst>
        </c:ser>
        <c:ser>
          <c:idx val="1"/>
          <c:order val="1"/>
          <c:tx>
            <c:strRef>
              <c:f>'Summary SI'!$C$1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SI'!$C$2:$C$50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0D-409F-8D89-B5A3F06A8636}"/>
            </c:ext>
          </c:extLst>
        </c:ser>
        <c:ser>
          <c:idx val="2"/>
          <c:order val="2"/>
          <c:tx>
            <c:strRef>
              <c:f>'Summary SI'!$D$1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SI'!$D$2:$D$50</c:f>
              <c:numCache>
                <c:formatCode>0.00</c:formatCode>
                <c:ptCount val="49"/>
                <c:pt idx="0">
                  <c:v>0</c:v>
                </c:pt>
                <c:pt idx="1">
                  <c:v>245.70438806084951</c:v>
                </c:pt>
                <c:pt idx="2">
                  <c:v>245.70438806084951</c:v>
                </c:pt>
                <c:pt idx="3">
                  <c:v>245.70438806084951</c:v>
                </c:pt>
                <c:pt idx="4">
                  <c:v>0</c:v>
                </c:pt>
                <c:pt idx="5">
                  <c:v>0</c:v>
                </c:pt>
                <c:pt idx="6">
                  <c:v>230.83501264792508</c:v>
                </c:pt>
                <c:pt idx="7">
                  <c:v>230.83501264792508</c:v>
                </c:pt>
                <c:pt idx="8">
                  <c:v>230.83501264792508</c:v>
                </c:pt>
                <c:pt idx="9">
                  <c:v>0</c:v>
                </c:pt>
                <c:pt idx="10">
                  <c:v>0</c:v>
                </c:pt>
                <c:pt idx="11">
                  <c:v>334.59533157798518</c:v>
                </c:pt>
                <c:pt idx="12">
                  <c:v>334.59533157798518</c:v>
                </c:pt>
                <c:pt idx="13">
                  <c:v>334.59533157798518</c:v>
                </c:pt>
                <c:pt idx="14">
                  <c:v>0</c:v>
                </c:pt>
                <c:pt idx="15">
                  <c:v>0</c:v>
                </c:pt>
                <c:pt idx="16">
                  <c:v>464.07060473598312</c:v>
                </c:pt>
                <c:pt idx="17">
                  <c:v>464.07060473598312</c:v>
                </c:pt>
                <c:pt idx="18">
                  <c:v>464.07060473598312</c:v>
                </c:pt>
                <c:pt idx="19">
                  <c:v>0</c:v>
                </c:pt>
                <c:pt idx="20">
                  <c:v>0</c:v>
                </c:pt>
                <c:pt idx="21">
                  <c:v>482.82345156303302</c:v>
                </c:pt>
                <c:pt idx="22">
                  <c:v>482.82345156303302</c:v>
                </c:pt>
                <c:pt idx="23">
                  <c:v>482.82345156303302</c:v>
                </c:pt>
                <c:pt idx="24">
                  <c:v>0</c:v>
                </c:pt>
                <c:pt idx="25">
                  <c:v>0</c:v>
                </c:pt>
                <c:pt idx="26">
                  <c:v>510.33869300006177</c:v>
                </c:pt>
                <c:pt idx="27">
                  <c:v>510.33869300006177</c:v>
                </c:pt>
                <c:pt idx="28">
                  <c:v>510.33869300006177</c:v>
                </c:pt>
                <c:pt idx="29">
                  <c:v>0</c:v>
                </c:pt>
                <c:pt idx="30">
                  <c:v>0</c:v>
                </c:pt>
                <c:pt idx="31">
                  <c:v>643.93426880979735</c:v>
                </c:pt>
                <c:pt idx="32">
                  <c:v>643.93426880979735</c:v>
                </c:pt>
                <c:pt idx="33">
                  <c:v>643.93426880979735</c:v>
                </c:pt>
                <c:pt idx="34">
                  <c:v>0</c:v>
                </c:pt>
                <c:pt idx="35">
                  <c:v>0</c:v>
                </c:pt>
                <c:pt idx="36">
                  <c:v>774.59674781660101</c:v>
                </c:pt>
                <c:pt idx="37">
                  <c:v>774.59674781660101</c:v>
                </c:pt>
                <c:pt idx="38">
                  <c:v>774.59674781660101</c:v>
                </c:pt>
                <c:pt idx="39">
                  <c:v>0</c:v>
                </c:pt>
                <c:pt idx="40">
                  <c:v>0</c:v>
                </c:pt>
                <c:pt idx="41">
                  <c:v>698.19655966403911</c:v>
                </c:pt>
                <c:pt idx="42">
                  <c:v>698.19655966403911</c:v>
                </c:pt>
                <c:pt idx="43">
                  <c:v>698.19655966403911</c:v>
                </c:pt>
                <c:pt idx="44">
                  <c:v>0</c:v>
                </c:pt>
                <c:pt idx="45">
                  <c:v>0</c:v>
                </c:pt>
                <c:pt idx="46">
                  <c:v>534.92083763415837</c:v>
                </c:pt>
                <c:pt idx="47">
                  <c:v>534.92083763415837</c:v>
                </c:pt>
                <c:pt idx="48">
                  <c:v>534.92083763415837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0D-409F-8D89-B5A3F06A8636}"/>
            </c:ext>
          </c:extLst>
        </c:ser>
        <c:ser>
          <c:idx val="3"/>
          <c:order val="3"/>
          <c:tx>
            <c:strRef>
              <c:f>'Summary SI'!$E$1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SI'!$E$2:$E$50</c:f>
              <c:numCache>
                <c:formatCode>0.00</c:formatCode>
                <c:ptCount val="49"/>
                <c:pt idx="0">
                  <c:v>0</c:v>
                </c:pt>
                <c:pt idx="1">
                  <c:v>1307.5419999999997</c:v>
                </c:pt>
                <c:pt idx="2">
                  <c:v>1751.1350000000002</c:v>
                </c:pt>
                <c:pt idx="3">
                  <c:v>357.29500715288185</c:v>
                </c:pt>
                <c:pt idx="4">
                  <c:v>0</c:v>
                </c:pt>
                <c:pt idx="5">
                  <c:v>0</c:v>
                </c:pt>
                <c:pt idx="6">
                  <c:v>1070.8780000000002</c:v>
                </c:pt>
                <c:pt idx="7">
                  <c:v>1719.0060000000001</c:v>
                </c:pt>
                <c:pt idx="8">
                  <c:v>301.09225476803812</c:v>
                </c:pt>
                <c:pt idx="9">
                  <c:v>0</c:v>
                </c:pt>
                <c:pt idx="10">
                  <c:v>0</c:v>
                </c:pt>
                <c:pt idx="11">
                  <c:v>1021.9720000000001</c:v>
                </c:pt>
                <c:pt idx="12">
                  <c:v>1560.299</c:v>
                </c:pt>
                <c:pt idx="13">
                  <c:v>648.53997659088168</c:v>
                </c:pt>
                <c:pt idx="14">
                  <c:v>0</c:v>
                </c:pt>
                <c:pt idx="15">
                  <c:v>0</c:v>
                </c:pt>
                <c:pt idx="16">
                  <c:v>1021.9720000000001</c:v>
                </c:pt>
                <c:pt idx="17">
                  <c:v>1560.299</c:v>
                </c:pt>
                <c:pt idx="18">
                  <c:v>1271.5453069752941</c:v>
                </c:pt>
                <c:pt idx="19">
                  <c:v>0</c:v>
                </c:pt>
                <c:pt idx="20">
                  <c:v>0</c:v>
                </c:pt>
                <c:pt idx="21">
                  <c:v>1180.0312288135592</c:v>
                </c:pt>
                <c:pt idx="22">
                  <c:v>1801.6164300847456</c:v>
                </c:pt>
                <c:pt idx="23">
                  <c:v>1213.0799363810281</c:v>
                </c:pt>
                <c:pt idx="24">
                  <c:v>0</c:v>
                </c:pt>
                <c:pt idx="25">
                  <c:v>0</c:v>
                </c:pt>
                <c:pt idx="26">
                  <c:v>1180.0312288135592</c:v>
                </c:pt>
                <c:pt idx="27">
                  <c:v>1801.6164300847456</c:v>
                </c:pt>
                <c:pt idx="28">
                  <c:v>1345.4769699147166</c:v>
                </c:pt>
                <c:pt idx="29">
                  <c:v>0</c:v>
                </c:pt>
                <c:pt idx="30">
                  <c:v>0</c:v>
                </c:pt>
                <c:pt idx="31">
                  <c:v>1180.0312288135592</c:v>
                </c:pt>
                <c:pt idx="32">
                  <c:v>1801.6164300847456</c:v>
                </c:pt>
                <c:pt idx="33">
                  <c:v>1988.3082520211788</c:v>
                </c:pt>
                <c:pt idx="34">
                  <c:v>0</c:v>
                </c:pt>
                <c:pt idx="35">
                  <c:v>0</c:v>
                </c:pt>
                <c:pt idx="36">
                  <c:v>1180.0312288135592</c:v>
                </c:pt>
                <c:pt idx="37">
                  <c:v>1801.6164300847456</c:v>
                </c:pt>
                <c:pt idx="38">
                  <c:v>2617.0261447661815</c:v>
                </c:pt>
                <c:pt idx="39">
                  <c:v>0</c:v>
                </c:pt>
                <c:pt idx="40">
                  <c:v>0</c:v>
                </c:pt>
                <c:pt idx="41">
                  <c:v>1180.0312288135592</c:v>
                </c:pt>
                <c:pt idx="42">
                  <c:v>1801.6164300847456</c:v>
                </c:pt>
                <c:pt idx="43">
                  <c:v>2249.4059552081735</c:v>
                </c:pt>
                <c:pt idx="44">
                  <c:v>0</c:v>
                </c:pt>
                <c:pt idx="45">
                  <c:v>0</c:v>
                </c:pt>
                <c:pt idx="46">
                  <c:v>1180.0312288135592</c:v>
                </c:pt>
                <c:pt idx="47">
                  <c:v>1801.6164300847456</c:v>
                </c:pt>
                <c:pt idx="48">
                  <c:v>1463.7606140869459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0D-409F-8D89-B5A3F06A8636}"/>
            </c:ext>
          </c:extLst>
        </c:ser>
        <c:ser>
          <c:idx val="4"/>
          <c:order val="4"/>
          <c:tx>
            <c:strRef>
              <c:f>'Summary SI'!$F$1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SI'!$F$2:$F$50</c:f>
              <c:numCache>
                <c:formatCode>0.00</c:formatCode>
                <c:ptCount val="49"/>
                <c:pt idx="0">
                  <c:v>2.7894916666666667</c:v>
                </c:pt>
                <c:pt idx="1">
                  <c:v>11.308749999999998</c:v>
                </c:pt>
                <c:pt idx="2">
                  <c:v>11.308749999999998</c:v>
                </c:pt>
                <c:pt idx="3">
                  <c:v>11.308749999999998</c:v>
                </c:pt>
                <c:pt idx="4">
                  <c:v>0</c:v>
                </c:pt>
                <c:pt idx="5">
                  <c:v>2.2523133333333329</c:v>
                </c:pt>
                <c:pt idx="6">
                  <c:v>9.1310000000000002</c:v>
                </c:pt>
                <c:pt idx="7">
                  <c:v>9.1310000000000002</c:v>
                </c:pt>
                <c:pt idx="8">
                  <c:v>9.1310000000000002</c:v>
                </c:pt>
                <c:pt idx="9">
                  <c:v>0</c:v>
                </c:pt>
                <c:pt idx="10">
                  <c:v>6.01546</c:v>
                </c:pt>
                <c:pt idx="11">
                  <c:v>24.387</c:v>
                </c:pt>
                <c:pt idx="12">
                  <c:v>24.387</c:v>
                </c:pt>
                <c:pt idx="13">
                  <c:v>24.387</c:v>
                </c:pt>
                <c:pt idx="14">
                  <c:v>0</c:v>
                </c:pt>
                <c:pt idx="15">
                  <c:v>10.325959999999998</c:v>
                </c:pt>
                <c:pt idx="16">
                  <c:v>41.861999999999995</c:v>
                </c:pt>
                <c:pt idx="17">
                  <c:v>41.861999999999995</c:v>
                </c:pt>
                <c:pt idx="18">
                  <c:v>41.861999999999995</c:v>
                </c:pt>
                <c:pt idx="19">
                  <c:v>0</c:v>
                </c:pt>
                <c:pt idx="20">
                  <c:v>12.42238</c:v>
                </c:pt>
                <c:pt idx="21">
                  <c:v>50.360999999999997</c:v>
                </c:pt>
                <c:pt idx="22">
                  <c:v>50.360999999999997</c:v>
                </c:pt>
                <c:pt idx="23">
                  <c:v>50.360999999999997</c:v>
                </c:pt>
                <c:pt idx="24">
                  <c:v>0</c:v>
                </c:pt>
                <c:pt idx="25">
                  <c:v>12.283999999999999</c:v>
                </c:pt>
                <c:pt idx="26">
                  <c:v>49.8</c:v>
                </c:pt>
                <c:pt idx="27">
                  <c:v>49.8</c:v>
                </c:pt>
                <c:pt idx="28">
                  <c:v>49.8</c:v>
                </c:pt>
                <c:pt idx="29">
                  <c:v>0</c:v>
                </c:pt>
                <c:pt idx="30">
                  <c:v>23.329239999999999</c:v>
                </c:pt>
                <c:pt idx="31">
                  <c:v>94.577999999999989</c:v>
                </c:pt>
                <c:pt idx="32">
                  <c:v>94.577999999999989</c:v>
                </c:pt>
                <c:pt idx="33">
                  <c:v>94.577999999999989</c:v>
                </c:pt>
                <c:pt idx="34">
                  <c:v>0</c:v>
                </c:pt>
                <c:pt idx="35">
                  <c:v>34.731900000000003</c:v>
                </c:pt>
                <c:pt idx="36">
                  <c:v>140.80500000000001</c:v>
                </c:pt>
                <c:pt idx="37">
                  <c:v>140.80500000000001</c:v>
                </c:pt>
                <c:pt idx="38">
                  <c:v>140.80500000000001</c:v>
                </c:pt>
                <c:pt idx="39">
                  <c:v>0</c:v>
                </c:pt>
                <c:pt idx="40">
                  <c:v>26.653320000000001</c:v>
                </c:pt>
                <c:pt idx="41">
                  <c:v>108.054</c:v>
                </c:pt>
                <c:pt idx="42">
                  <c:v>108.054</c:v>
                </c:pt>
                <c:pt idx="43">
                  <c:v>108.054</c:v>
                </c:pt>
                <c:pt idx="44">
                  <c:v>0</c:v>
                </c:pt>
                <c:pt idx="45">
                  <c:v>12.983299999999998</c:v>
                </c:pt>
                <c:pt idx="46">
                  <c:v>52.634999999999998</c:v>
                </c:pt>
                <c:pt idx="47">
                  <c:v>52.634999999999998</c:v>
                </c:pt>
                <c:pt idx="48">
                  <c:v>52.634999999999998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0D-409F-8D89-B5A3F06A8636}"/>
            </c:ext>
          </c:extLst>
        </c:ser>
        <c:ser>
          <c:idx val="5"/>
          <c:order val="5"/>
          <c:tx>
            <c:strRef>
              <c:f>'Summary SI'!$G$1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SI'!$G$2:$G$50</c:f>
              <c:numCache>
                <c:formatCode>0.00</c:formatCode>
                <c:ptCount val="49"/>
                <c:pt idx="0">
                  <c:v>25.530711206896552</c:v>
                </c:pt>
                <c:pt idx="1">
                  <c:v>22.584859913793107</c:v>
                </c:pt>
                <c:pt idx="2">
                  <c:v>22.584859913793107</c:v>
                </c:pt>
                <c:pt idx="3">
                  <c:v>22.584859913793107</c:v>
                </c:pt>
                <c:pt idx="4">
                  <c:v>0</c:v>
                </c:pt>
                <c:pt idx="5">
                  <c:v>25.055818965517243</c:v>
                </c:pt>
                <c:pt idx="6">
                  <c:v>22.164762931034488</c:v>
                </c:pt>
                <c:pt idx="7">
                  <c:v>22.164762931034488</c:v>
                </c:pt>
                <c:pt idx="8">
                  <c:v>22.164762931034488</c:v>
                </c:pt>
                <c:pt idx="9">
                  <c:v>0</c:v>
                </c:pt>
                <c:pt idx="10">
                  <c:v>29.754310344827591</c:v>
                </c:pt>
                <c:pt idx="11">
                  <c:v>26.321120689655174</c:v>
                </c:pt>
                <c:pt idx="12">
                  <c:v>26.321120689655174</c:v>
                </c:pt>
                <c:pt idx="13">
                  <c:v>26.321120689655174</c:v>
                </c:pt>
                <c:pt idx="14">
                  <c:v>0</c:v>
                </c:pt>
                <c:pt idx="15">
                  <c:v>29.754310344827591</c:v>
                </c:pt>
                <c:pt idx="16">
                  <c:v>26.321120689655174</c:v>
                </c:pt>
                <c:pt idx="17">
                  <c:v>26.321120689655174</c:v>
                </c:pt>
                <c:pt idx="18">
                  <c:v>26.321120689655174</c:v>
                </c:pt>
                <c:pt idx="19">
                  <c:v>0</c:v>
                </c:pt>
                <c:pt idx="20">
                  <c:v>34.35614224137931</c:v>
                </c:pt>
                <c:pt idx="21">
                  <c:v>30.391971982758623</c:v>
                </c:pt>
                <c:pt idx="22">
                  <c:v>30.391971982758623</c:v>
                </c:pt>
                <c:pt idx="23">
                  <c:v>30.391971982758623</c:v>
                </c:pt>
                <c:pt idx="24">
                  <c:v>0</c:v>
                </c:pt>
                <c:pt idx="25">
                  <c:v>34.35614224137931</c:v>
                </c:pt>
                <c:pt idx="26">
                  <c:v>30.391971982758623</c:v>
                </c:pt>
                <c:pt idx="27">
                  <c:v>30.391971982758623</c:v>
                </c:pt>
                <c:pt idx="28">
                  <c:v>30.391971982758623</c:v>
                </c:pt>
                <c:pt idx="29">
                  <c:v>0</c:v>
                </c:pt>
                <c:pt idx="30">
                  <c:v>34.35614224137931</c:v>
                </c:pt>
                <c:pt idx="31">
                  <c:v>30.391971982758623</c:v>
                </c:pt>
                <c:pt idx="32">
                  <c:v>30.391971982758623</c:v>
                </c:pt>
                <c:pt idx="33">
                  <c:v>30.391971982758623</c:v>
                </c:pt>
                <c:pt idx="34">
                  <c:v>0</c:v>
                </c:pt>
                <c:pt idx="35">
                  <c:v>34.35614224137931</c:v>
                </c:pt>
                <c:pt idx="36">
                  <c:v>30.391971982758623</c:v>
                </c:pt>
                <c:pt idx="37">
                  <c:v>30.391971982758623</c:v>
                </c:pt>
                <c:pt idx="38">
                  <c:v>30.391971982758623</c:v>
                </c:pt>
                <c:pt idx="39">
                  <c:v>0</c:v>
                </c:pt>
                <c:pt idx="40">
                  <c:v>34.35614224137931</c:v>
                </c:pt>
                <c:pt idx="41">
                  <c:v>30.391971982758623</c:v>
                </c:pt>
                <c:pt idx="42">
                  <c:v>30.391971982758623</c:v>
                </c:pt>
                <c:pt idx="43">
                  <c:v>30.391971982758623</c:v>
                </c:pt>
                <c:pt idx="44">
                  <c:v>0</c:v>
                </c:pt>
                <c:pt idx="45">
                  <c:v>34.35614224137931</c:v>
                </c:pt>
                <c:pt idx="46">
                  <c:v>30.391971982758623</c:v>
                </c:pt>
                <c:pt idx="47">
                  <c:v>30.391971982758623</c:v>
                </c:pt>
                <c:pt idx="48">
                  <c:v>30.391971982758623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0D-409F-8D89-B5A3F06A8636}"/>
            </c:ext>
          </c:extLst>
        </c:ser>
        <c:ser>
          <c:idx val="6"/>
          <c:order val="6"/>
          <c:tx>
            <c:strRef>
              <c:f>'Summary SI'!$H$1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SI'!$H$2:$H$50</c:f>
              <c:numCache>
                <c:formatCode>0.00</c:formatCode>
                <c:ptCount val="49"/>
                <c:pt idx="0">
                  <c:v>55.862068965517246</c:v>
                </c:pt>
                <c:pt idx="1">
                  <c:v>92.194234913793125</c:v>
                </c:pt>
                <c:pt idx="2">
                  <c:v>92.194234913793125</c:v>
                </c:pt>
                <c:pt idx="3">
                  <c:v>92.194234913793125</c:v>
                </c:pt>
                <c:pt idx="4">
                  <c:v>0</c:v>
                </c:pt>
                <c:pt idx="5">
                  <c:v>54.822988505747155</c:v>
                </c:pt>
                <c:pt idx="6">
                  <c:v>90.479346264367805</c:v>
                </c:pt>
                <c:pt idx="7">
                  <c:v>90.479346264367805</c:v>
                </c:pt>
                <c:pt idx="8">
                  <c:v>90.479346264367805</c:v>
                </c:pt>
                <c:pt idx="9">
                  <c:v>0</c:v>
                </c:pt>
                <c:pt idx="10">
                  <c:v>65.103448275862078</c:v>
                </c:pt>
                <c:pt idx="11">
                  <c:v>107.44612068965519</c:v>
                </c:pt>
                <c:pt idx="12">
                  <c:v>107.44612068965519</c:v>
                </c:pt>
                <c:pt idx="13">
                  <c:v>107.44612068965519</c:v>
                </c:pt>
                <c:pt idx="14">
                  <c:v>0</c:v>
                </c:pt>
                <c:pt idx="15">
                  <c:v>65.103448275862078</c:v>
                </c:pt>
                <c:pt idx="16">
                  <c:v>107.44612068965519</c:v>
                </c:pt>
                <c:pt idx="17">
                  <c:v>107.44612068965519</c:v>
                </c:pt>
                <c:pt idx="18">
                  <c:v>107.44612068965519</c:v>
                </c:pt>
                <c:pt idx="19">
                  <c:v>0</c:v>
                </c:pt>
                <c:pt idx="20">
                  <c:v>75.172413793103445</c:v>
                </c:pt>
                <c:pt idx="21">
                  <c:v>124.06384698275863</c:v>
                </c:pt>
                <c:pt idx="22">
                  <c:v>124.06384698275863</c:v>
                </c:pt>
                <c:pt idx="23">
                  <c:v>124.06384698275863</c:v>
                </c:pt>
                <c:pt idx="24">
                  <c:v>0</c:v>
                </c:pt>
                <c:pt idx="25">
                  <c:v>75.172413793103445</c:v>
                </c:pt>
                <c:pt idx="26">
                  <c:v>124.06384698275863</c:v>
                </c:pt>
                <c:pt idx="27">
                  <c:v>124.06384698275863</c:v>
                </c:pt>
                <c:pt idx="28">
                  <c:v>124.06384698275863</c:v>
                </c:pt>
                <c:pt idx="29">
                  <c:v>0</c:v>
                </c:pt>
                <c:pt idx="30">
                  <c:v>75.172413793103445</c:v>
                </c:pt>
                <c:pt idx="31">
                  <c:v>124.06384698275863</c:v>
                </c:pt>
                <c:pt idx="32">
                  <c:v>124.06384698275863</c:v>
                </c:pt>
                <c:pt idx="33">
                  <c:v>124.06384698275863</c:v>
                </c:pt>
                <c:pt idx="34">
                  <c:v>0</c:v>
                </c:pt>
                <c:pt idx="35">
                  <c:v>75.172413793103445</c:v>
                </c:pt>
                <c:pt idx="36">
                  <c:v>124.06384698275863</c:v>
                </c:pt>
                <c:pt idx="37">
                  <c:v>124.06384698275863</c:v>
                </c:pt>
                <c:pt idx="38">
                  <c:v>124.06384698275863</c:v>
                </c:pt>
                <c:pt idx="39">
                  <c:v>0</c:v>
                </c:pt>
                <c:pt idx="40">
                  <c:v>75.172413793103445</c:v>
                </c:pt>
                <c:pt idx="41">
                  <c:v>124.06384698275863</c:v>
                </c:pt>
                <c:pt idx="42">
                  <c:v>124.06384698275863</c:v>
                </c:pt>
                <c:pt idx="43">
                  <c:v>124.06384698275863</c:v>
                </c:pt>
                <c:pt idx="44">
                  <c:v>0</c:v>
                </c:pt>
                <c:pt idx="45">
                  <c:v>75.172413793103445</c:v>
                </c:pt>
                <c:pt idx="46">
                  <c:v>124.06384698275863</c:v>
                </c:pt>
                <c:pt idx="47">
                  <c:v>124.06384698275863</c:v>
                </c:pt>
                <c:pt idx="48">
                  <c:v>124.06384698275863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0D-409F-8D89-B5A3F06A8636}"/>
            </c:ext>
          </c:extLst>
        </c:ser>
        <c:ser>
          <c:idx val="7"/>
          <c:order val="7"/>
          <c:tx>
            <c:strRef>
              <c:f>'Summary SI'!$I$1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SI'!$I$2:$I$50</c:f>
              <c:numCache>
                <c:formatCode>0.00</c:formatCode>
                <c:ptCount val="49"/>
                <c:pt idx="0">
                  <c:v>11.128771551724141</c:v>
                </c:pt>
                <c:pt idx="1">
                  <c:v>17.238685344827591</c:v>
                </c:pt>
                <c:pt idx="2">
                  <c:v>17.238685344827591</c:v>
                </c:pt>
                <c:pt idx="3">
                  <c:v>17.238685344827591</c:v>
                </c:pt>
                <c:pt idx="4">
                  <c:v>0</c:v>
                </c:pt>
                <c:pt idx="5">
                  <c:v>10.921767241379314</c:v>
                </c:pt>
                <c:pt idx="6">
                  <c:v>16.918031609195403</c:v>
                </c:pt>
                <c:pt idx="7">
                  <c:v>16.918031609195403</c:v>
                </c:pt>
                <c:pt idx="8">
                  <c:v>16.918031609195403</c:v>
                </c:pt>
                <c:pt idx="9">
                  <c:v>0</c:v>
                </c:pt>
                <c:pt idx="10">
                  <c:v>12.969827586206899</c:v>
                </c:pt>
                <c:pt idx="11">
                  <c:v>20.090517241379313</c:v>
                </c:pt>
                <c:pt idx="12">
                  <c:v>20.090517241379313</c:v>
                </c:pt>
                <c:pt idx="13">
                  <c:v>20.090517241379313</c:v>
                </c:pt>
                <c:pt idx="14">
                  <c:v>0</c:v>
                </c:pt>
                <c:pt idx="15">
                  <c:v>12.969827586206899</c:v>
                </c:pt>
                <c:pt idx="16">
                  <c:v>20.090517241379313</c:v>
                </c:pt>
                <c:pt idx="17">
                  <c:v>20.090517241379313</c:v>
                </c:pt>
                <c:pt idx="18">
                  <c:v>20.090517241379313</c:v>
                </c:pt>
                <c:pt idx="19">
                  <c:v>0</c:v>
                </c:pt>
                <c:pt idx="20">
                  <c:v>14.975754310344829</c:v>
                </c:pt>
                <c:pt idx="21">
                  <c:v>23.19773706896552</c:v>
                </c:pt>
                <c:pt idx="22">
                  <c:v>23.19773706896552</c:v>
                </c:pt>
                <c:pt idx="23">
                  <c:v>23.19773706896552</c:v>
                </c:pt>
                <c:pt idx="24">
                  <c:v>0</c:v>
                </c:pt>
                <c:pt idx="25">
                  <c:v>14.975754310344829</c:v>
                </c:pt>
                <c:pt idx="26">
                  <c:v>23.19773706896552</c:v>
                </c:pt>
                <c:pt idx="27">
                  <c:v>23.19773706896552</c:v>
                </c:pt>
                <c:pt idx="28">
                  <c:v>23.19773706896552</c:v>
                </c:pt>
                <c:pt idx="29">
                  <c:v>0</c:v>
                </c:pt>
                <c:pt idx="30">
                  <c:v>14.975754310344829</c:v>
                </c:pt>
                <c:pt idx="31">
                  <c:v>23.19773706896552</c:v>
                </c:pt>
                <c:pt idx="32">
                  <c:v>23.19773706896552</c:v>
                </c:pt>
                <c:pt idx="33">
                  <c:v>23.19773706896552</c:v>
                </c:pt>
                <c:pt idx="34">
                  <c:v>0</c:v>
                </c:pt>
                <c:pt idx="35">
                  <c:v>14.975754310344829</c:v>
                </c:pt>
                <c:pt idx="36">
                  <c:v>23.19773706896552</c:v>
                </c:pt>
                <c:pt idx="37">
                  <c:v>23.19773706896552</c:v>
                </c:pt>
                <c:pt idx="38">
                  <c:v>23.19773706896552</c:v>
                </c:pt>
                <c:pt idx="39">
                  <c:v>0</c:v>
                </c:pt>
                <c:pt idx="40">
                  <c:v>14.975754310344829</c:v>
                </c:pt>
                <c:pt idx="41">
                  <c:v>23.19773706896552</c:v>
                </c:pt>
                <c:pt idx="42">
                  <c:v>23.19773706896552</c:v>
                </c:pt>
                <c:pt idx="43">
                  <c:v>23.19773706896552</c:v>
                </c:pt>
                <c:pt idx="44">
                  <c:v>0</c:v>
                </c:pt>
                <c:pt idx="45">
                  <c:v>14.975754310344829</c:v>
                </c:pt>
                <c:pt idx="46">
                  <c:v>23.19773706896552</c:v>
                </c:pt>
                <c:pt idx="47">
                  <c:v>23.19773706896552</c:v>
                </c:pt>
                <c:pt idx="48">
                  <c:v>23.19773706896552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0D-409F-8D89-B5A3F06A8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5065856"/>
        <c:axId val="1405065440"/>
      </c:barChart>
      <c:catAx>
        <c:axId val="14050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05065440"/>
        <c:crosses val="autoZero"/>
        <c:auto val="1"/>
        <c:lblAlgn val="ctr"/>
        <c:lblOffset val="100"/>
        <c:noMultiLvlLbl val="0"/>
      </c:catAx>
      <c:valAx>
        <c:axId val="14050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050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60960</xdr:colOff>
      <xdr:row>1</xdr:row>
      <xdr:rowOff>152400</xdr:rowOff>
    </xdr:from>
    <xdr:to>
      <xdr:col>27</xdr:col>
      <xdr:colOff>571500</xdr:colOff>
      <xdr:row>38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59441-390A-147C-193B-2B67F03A3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594360</xdr:colOff>
      <xdr:row>1</xdr:row>
      <xdr:rowOff>83820</xdr:rowOff>
    </xdr:from>
    <xdr:to>
      <xdr:col>28</xdr:col>
      <xdr:colOff>586740</xdr:colOff>
      <xdr:row>34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78D9E-E8B4-44A6-A477-F106A7BC6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434340</xdr:colOff>
      <xdr:row>0</xdr:row>
      <xdr:rowOff>38100</xdr:rowOff>
    </xdr:from>
    <xdr:to>
      <xdr:col>28</xdr:col>
      <xdr:colOff>76200</xdr:colOff>
      <xdr:row>40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CC8A3-FD63-4561-9E39-CE81F1BF5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</xdr:colOff>
      <xdr:row>2</xdr:row>
      <xdr:rowOff>22860</xdr:rowOff>
    </xdr:from>
    <xdr:to>
      <xdr:col>25</xdr:col>
      <xdr:colOff>15240</xdr:colOff>
      <xdr:row>36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0D19C-0803-DD8E-0B6D-FC1C89DAB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workbookViewId="0">
      <selection activeCell="J16" sqref="J16"/>
    </sheetView>
  </sheetViews>
  <sheetFormatPr defaultRowHeight="14.4"/>
  <cols>
    <col min="2" max="2" width="7.6640625" bestFit="1" customWidth="1"/>
    <col min="3" max="5" width="4.6640625" bestFit="1" customWidth="1"/>
    <col min="6" max="9" width="5.6640625" bestFit="1" customWidth="1"/>
    <col min="10" max="10" width="7.6640625" bestFit="1" customWidth="1"/>
    <col min="11" max="12" width="4.5546875" bestFit="1" customWidth="1"/>
  </cols>
  <sheetData>
    <row r="1" spans="1:16">
      <c r="A1" s="1"/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6">
      <c r="A2" s="1" t="s">
        <v>0</v>
      </c>
      <c r="B2" s="3">
        <v>213.18946545454546</v>
      </c>
      <c r="C2" s="3">
        <v>0</v>
      </c>
      <c r="D2" s="3">
        <v>0</v>
      </c>
      <c r="E2" s="3">
        <v>0</v>
      </c>
      <c r="F2" s="3">
        <v>3.6563399999999997</v>
      </c>
      <c r="G2" s="3">
        <v>25.530711206896552</v>
      </c>
      <c r="H2" s="3">
        <v>55.862068965517253</v>
      </c>
      <c r="I2" s="3">
        <v>11.128771551724139</v>
      </c>
      <c r="J2" s="3">
        <v>309.36735717868339</v>
      </c>
      <c r="K2" s="3">
        <v>0</v>
      </c>
      <c r="L2" s="3">
        <v>0</v>
      </c>
      <c r="M2">
        <f>B2/J2*100</f>
        <v>68.91142860021013</v>
      </c>
      <c r="N2">
        <f>F2/J2*100</f>
        <v>1.1818764698850186</v>
      </c>
    </row>
    <row r="3" spans="1:16">
      <c r="A3" s="1" t="s">
        <v>1</v>
      </c>
      <c r="B3" s="3">
        <v>175.51625854545455</v>
      </c>
      <c r="C3" s="3">
        <v>0</v>
      </c>
      <c r="D3" s="3">
        <v>0</v>
      </c>
      <c r="E3" s="3">
        <v>0</v>
      </c>
      <c r="F3" s="3">
        <v>3.1679400000000002</v>
      </c>
      <c r="G3" s="3">
        <v>25.530711206896552</v>
      </c>
      <c r="H3" s="3">
        <v>55.862068965517253</v>
      </c>
      <c r="I3" s="3">
        <v>11.128771551724139</v>
      </c>
      <c r="J3" s="3">
        <v>271.20575026959244</v>
      </c>
      <c r="K3" s="3">
        <v>0</v>
      </c>
      <c r="L3" s="3">
        <v>0</v>
      </c>
      <c r="M3">
        <f t="shared" ref="M3:M48" si="0">B3/J3*100</f>
        <v>64.717012220788973</v>
      </c>
      <c r="N3">
        <f t="shared" ref="N3:N48" si="1">F3/J3*100</f>
        <v>1.1680947018457037</v>
      </c>
      <c r="P3" s="2"/>
    </row>
    <row r="4" spans="1:16">
      <c r="A4" s="1" t="s">
        <v>2</v>
      </c>
      <c r="B4" s="3">
        <v>151.27690836363635</v>
      </c>
      <c r="C4" s="3">
        <v>0</v>
      </c>
      <c r="D4" s="3">
        <v>0</v>
      </c>
      <c r="E4" s="3">
        <v>0</v>
      </c>
      <c r="F4" s="3">
        <v>2.2651399999999997</v>
      </c>
      <c r="G4" s="3">
        <v>25.530711206896552</v>
      </c>
      <c r="H4" s="3">
        <v>55.862068965517253</v>
      </c>
      <c r="I4" s="3">
        <v>11.128771551724139</v>
      </c>
      <c r="J4" s="3">
        <v>246.06360008777426</v>
      </c>
      <c r="K4" s="3">
        <v>0</v>
      </c>
      <c r="L4" s="3">
        <v>0</v>
      </c>
      <c r="M4">
        <f t="shared" si="0"/>
        <v>61.478783659864277</v>
      </c>
      <c r="N4">
        <f t="shared" si="1"/>
        <v>0.92055062154337064</v>
      </c>
      <c r="P4" s="2"/>
    </row>
    <row r="5" spans="1:16">
      <c r="A5" s="1" t="s">
        <v>3</v>
      </c>
      <c r="B5" s="3">
        <v>143.6838589090909</v>
      </c>
      <c r="C5" s="3">
        <v>0</v>
      </c>
      <c r="D5" s="3">
        <v>0</v>
      </c>
      <c r="E5" s="3">
        <v>0</v>
      </c>
      <c r="F5" s="3">
        <v>2.7357799999999997</v>
      </c>
      <c r="G5" s="3">
        <v>25.530711206896552</v>
      </c>
      <c r="H5" s="3">
        <v>55.862068965517253</v>
      </c>
      <c r="I5" s="3">
        <v>11.128771551724139</v>
      </c>
      <c r="J5" s="3">
        <v>238.94119063322881</v>
      </c>
      <c r="K5" s="3">
        <v>0</v>
      </c>
      <c r="L5" s="3">
        <v>0</v>
      </c>
      <c r="M5">
        <f t="shared" si="0"/>
        <v>60.133566141655123</v>
      </c>
      <c r="N5">
        <f t="shared" si="1"/>
        <v>1.1449595579354843</v>
      </c>
      <c r="P5" s="2"/>
    </row>
    <row r="6" spans="1:16">
      <c r="A6" s="1" t="s">
        <v>4</v>
      </c>
      <c r="B6" s="3">
        <v>126.7455178181818</v>
      </c>
      <c r="C6" s="3">
        <v>0</v>
      </c>
      <c r="D6" s="3">
        <v>0</v>
      </c>
      <c r="E6" s="3">
        <v>0</v>
      </c>
      <c r="F6" s="3">
        <v>2.7994199999999996</v>
      </c>
      <c r="G6" s="3">
        <v>25.530711206896552</v>
      </c>
      <c r="H6" s="3">
        <v>55.862068965517253</v>
      </c>
      <c r="I6" s="3">
        <v>11.128771551724139</v>
      </c>
      <c r="J6" s="3">
        <v>222.06648954231974</v>
      </c>
      <c r="K6" s="3">
        <v>0</v>
      </c>
      <c r="L6" s="3">
        <v>0</v>
      </c>
      <c r="M6">
        <f t="shared" si="0"/>
        <v>57.075481347683301</v>
      </c>
      <c r="N6">
        <f t="shared" si="1"/>
        <v>1.2606224404995188</v>
      </c>
      <c r="P6" s="2"/>
    </row>
    <row r="7" spans="1:16">
      <c r="A7" s="1" t="s">
        <v>5</v>
      </c>
      <c r="B7" s="3">
        <v>104.84249054545454</v>
      </c>
      <c r="C7" s="3">
        <v>0</v>
      </c>
      <c r="D7" s="3">
        <v>0</v>
      </c>
      <c r="E7" s="3">
        <v>0</v>
      </c>
      <c r="F7" s="3">
        <v>2.4049999999999998</v>
      </c>
      <c r="G7" s="3">
        <v>25.530711206896552</v>
      </c>
      <c r="H7" s="3">
        <v>55.862068965517253</v>
      </c>
      <c r="I7" s="3">
        <v>11.128771551724139</v>
      </c>
      <c r="J7" s="3">
        <v>199.76904226959249</v>
      </c>
      <c r="K7" s="3">
        <v>0</v>
      </c>
      <c r="L7" s="3">
        <v>0</v>
      </c>
      <c r="M7">
        <f t="shared" si="0"/>
        <v>52.48185071837478</v>
      </c>
      <c r="N7">
        <f t="shared" si="1"/>
        <v>1.2038902387860488</v>
      </c>
      <c r="P7" s="2"/>
    </row>
    <row r="8" spans="1:16">
      <c r="A8" s="1" t="s">
        <v>6</v>
      </c>
      <c r="B8" s="3">
        <v>105.71861163636363</v>
      </c>
      <c r="C8" s="3">
        <v>0</v>
      </c>
      <c r="D8" s="3">
        <v>0</v>
      </c>
      <c r="E8" s="3">
        <v>0</v>
      </c>
      <c r="F8" s="3">
        <v>2.9385399999999997</v>
      </c>
      <c r="G8" s="3">
        <v>25.530711206896552</v>
      </c>
      <c r="H8" s="3">
        <v>55.862068965517253</v>
      </c>
      <c r="I8" s="3">
        <v>11.128771551724139</v>
      </c>
      <c r="J8" s="3">
        <v>201.17870336050157</v>
      </c>
      <c r="K8" s="3">
        <v>0</v>
      </c>
      <c r="L8" s="3">
        <v>0</v>
      </c>
      <c r="M8">
        <f t="shared" si="0"/>
        <v>52.549603844956437</v>
      </c>
      <c r="N8">
        <f t="shared" si="1"/>
        <v>1.4606615665149665</v>
      </c>
      <c r="P8" s="2"/>
    </row>
    <row r="9" spans="1:16">
      <c r="A9" s="1" t="s">
        <v>7</v>
      </c>
      <c r="B9" s="3">
        <v>107.47085381818182</v>
      </c>
      <c r="C9" s="3">
        <v>0</v>
      </c>
      <c r="D9" s="3">
        <v>0</v>
      </c>
      <c r="E9" s="3">
        <v>0</v>
      </c>
      <c r="F9" s="3">
        <v>2.7246799999999998</v>
      </c>
      <c r="G9" s="3">
        <v>25.530711206896552</v>
      </c>
      <c r="H9" s="3">
        <v>55.862068965517253</v>
      </c>
      <c r="I9" s="3">
        <v>11.128771551724139</v>
      </c>
      <c r="J9" s="3">
        <v>202.71708554231975</v>
      </c>
      <c r="K9" s="3">
        <v>0</v>
      </c>
      <c r="L9" s="3">
        <v>0</v>
      </c>
      <c r="M9">
        <f t="shared" si="0"/>
        <v>53.015192839158068</v>
      </c>
      <c r="N9">
        <f t="shared" si="1"/>
        <v>1.3440800970035593</v>
      </c>
      <c r="P9" s="2"/>
    </row>
    <row r="10" spans="1:16">
      <c r="A10" s="1" t="s">
        <v>8</v>
      </c>
      <c r="B10" s="3">
        <v>122.9489930909091</v>
      </c>
      <c r="C10" s="3">
        <v>0</v>
      </c>
      <c r="D10" s="3">
        <v>0</v>
      </c>
      <c r="E10" s="3">
        <v>0</v>
      </c>
      <c r="F10" s="3">
        <v>2.6469800000000001</v>
      </c>
      <c r="G10" s="3">
        <v>25.530711206896552</v>
      </c>
      <c r="H10" s="3">
        <v>55.862068965517253</v>
      </c>
      <c r="I10" s="3">
        <v>11.128771551724139</v>
      </c>
      <c r="J10" s="3">
        <v>218.11752481504703</v>
      </c>
      <c r="K10" s="3">
        <v>0</v>
      </c>
      <c r="L10" s="3">
        <v>0</v>
      </c>
      <c r="M10">
        <f t="shared" si="0"/>
        <v>56.368232307405755</v>
      </c>
      <c r="N10">
        <f t="shared" si="1"/>
        <v>1.2135567750663361</v>
      </c>
      <c r="P10" s="2"/>
    </row>
    <row r="11" spans="1:16">
      <c r="A11" s="1" t="s">
        <v>9</v>
      </c>
      <c r="B11" s="3">
        <v>147.77242399999997</v>
      </c>
      <c r="C11" s="3">
        <v>0</v>
      </c>
      <c r="D11" s="3">
        <v>0</v>
      </c>
      <c r="E11" s="3">
        <v>0</v>
      </c>
      <c r="F11" s="3">
        <v>2.7343000000000002</v>
      </c>
      <c r="G11" s="3">
        <v>25.530711206896552</v>
      </c>
      <c r="H11" s="3">
        <v>55.862068965517253</v>
      </c>
      <c r="I11" s="3">
        <v>11.128771551724139</v>
      </c>
      <c r="J11" s="3">
        <v>243.02827572413787</v>
      </c>
      <c r="K11" s="3">
        <v>0</v>
      </c>
      <c r="L11" s="3">
        <v>0</v>
      </c>
      <c r="M11">
        <f t="shared" si="0"/>
        <v>60.804621832455787</v>
      </c>
      <c r="N11">
        <f t="shared" si="1"/>
        <v>1.1250954202150998</v>
      </c>
      <c r="P11" s="2"/>
    </row>
    <row r="12" spans="1:16">
      <c r="A12" s="1" t="s">
        <v>10</v>
      </c>
      <c r="B12" s="3">
        <v>150.40078727272729</v>
      </c>
      <c r="C12" s="3">
        <v>0</v>
      </c>
      <c r="D12" s="3">
        <v>0</v>
      </c>
      <c r="E12" s="3">
        <v>0</v>
      </c>
      <c r="F12" s="3">
        <v>3.0339999999999998</v>
      </c>
      <c r="G12" s="3">
        <v>25.530711206896552</v>
      </c>
      <c r="H12" s="3">
        <v>55.862068965517253</v>
      </c>
      <c r="I12" s="3">
        <v>11.128771551724139</v>
      </c>
      <c r="J12" s="3">
        <v>245.95633899686521</v>
      </c>
      <c r="K12" s="3">
        <v>0</v>
      </c>
      <c r="L12" s="3">
        <v>0</v>
      </c>
      <c r="M12">
        <f t="shared" si="0"/>
        <v>61.149384433895072</v>
      </c>
      <c r="N12">
        <f t="shared" si="1"/>
        <v>1.2335522688190075</v>
      </c>
      <c r="P12" s="2"/>
    </row>
    <row r="13" spans="1:16">
      <c r="A13" s="1" t="s">
        <v>11</v>
      </c>
      <c r="B13" s="3">
        <v>134.92264800000001</v>
      </c>
      <c r="C13" s="3">
        <v>0</v>
      </c>
      <c r="D13" s="3">
        <v>0</v>
      </c>
      <c r="E13" s="3">
        <v>0</v>
      </c>
      <c r="F13" s="3">
        <v>2.36578</v>
      </c>
      <c r="G13" s="3">
        <v>25.530711206896552</v>
      </c>
      <c r="H13" s="3">
        <v>55.862068965517253</v>
      </c>
      <c r="I13" s="3">
        <v>11.128771551724139</v>
      </c>
      <c r="J13" s="3">
        <v>229.80997972413792</v>
      </c>
      <c r="K13" s="3">
        <v>0</v>
      </c>
      <c r="L13" s="3">
        <v>0</v>
      </c>
      <c r="M13">
        <f t="shared" si="0"/>
        <v>58.710526045022107</v>
      </c>
      <c r="N13">
        <f t="shared" si="1"/>
        <v>1.0294505063878703</v>
      </c>
      <c r="P13" s="2"/>
    </row>
    <row r="14" spans="1:16">
      <c r="A14" s="1" t="s">
        <v>12</v>
      </c>
      <c r="B14" s="3">
        <v>106.01065199999999</v>
      </c>
      <c r="C14" s="3">
        <v>0</v>
      </c>
      <c r="D14" s="3">
        <v>0</v>
      </c>
      <c r="E14" s="3">
        <v>0</v>
      </c>
      <c r="F14" s="3">
        <v>2.5885199999999995</v>
      </c>
      <c r="G14" s="3">
        <v>25.055818965517247</v>
      </c>
      <c r="H14" s="3">
        <v>54.822988505747134</v>
      </c>
      <c r="I14" s="3">
        <v>10.921767241379314</v>
      </c>
      <c r="J14" s="3">
        <v>199.39974671264369</v>
      </c>
      <c r="K14" s="3">
        <v>0</v>
      </c>
      <c r="L14" s="3">
        <v>0</v>
      </c>
      <c r="M14">
        <f t="shared" si="0"/>
        <v>53.164887993951496</v>
      </c>
      <c r="N14">
        <f t="shared" si="1"/>
        <v>1.2981561123697578</v>
      </c>
      <c r="P14" s="2"/>
    </row>
    <row r="15" spans="1:16">
      <c r="A15" s="1" t="s">
        <v>13</v>
      </c>
      <c r="B15" s="3">
        <v>84.983745818181816</v>
      </c>
      <c r="C15" s="3">
        <v>0</v>
      </c>
      <c r="D15" s="3">
        <v>0</v>
      </c>
      <c r="E15" s="3">
        <v>0</v>
      </c>
      <c r="F15" s="3">
        <v>1.62134</v>
      </c>
      <c r="G15" s="3">
        <v>25.055818965517247</v>
      </c>
      <c r="H15" s="3">
        <v>54.822988505747134</v>
      </c>
      <c r="I15" s="3">
        <v>10.921767241379314</v>
      </c>
      <c r="J15" s="3">
        <v>177.40566053082551</v>
      </c>
      <c r="K15" s="3">
        <v>0</v>
      </c>
      <c r="L15" s="3">
        <v>0</v>
      </c>
      <c r="M15">
        <f t="shared" si="0"/>
        <v>47.903626955248853</v>
      </c>
      <c r="N15">
        <f t="shared" si="1"/>
        <v>0.91391672348486341</v>
      </c>
      <c r="P15" s="2"/>
    </row>
    <row r="16" spans="1:16">
      <c r="A16" s="1" t="s">
        <v>14</v>
      </c>
      <c r="B16" s="3">
        <v>79.434978909090916</v>
      </c>
      <c r="C16" s="3">
        <v>0</v>
      </c>
      <c r="D16" s="3">
        <v>0</v>
      </c>
      <c r="E16" s="3">
        <v>0</v>
      </c>
      <c r="F16" s="3">
        <v>1.66648</v>
      </c>
      <c r="G16" s="3">
        <v>25.055818965517247</v>
      </c>
      <c r="H16" s="3">
        <v>54.822988505747134</v>
      </c>
      <c r="I16" s="3">
        <v>10.921767241379314</v>
      </c>
      <c r="J16" s="3">
        <v>171.90203362173463</v>
      </c>
      <c r="K16" s="3">
        <v>0</v>
      </c>
      <c r="L16" s="3">
        <v>0</v>
      </c>
      <c r="M16">
        <f t="shared" si="0"/>
        <v>46.209446878263961</v>
      </c>
      <c r="N16">
        <f t="shared" si="1"/>
        <v>0.96943588443347928</v>
      </c>
      <c r="P16" s="2"/>
    </row>
    <row r="17" spans="1:16">
      <c r="A17" s="1" t="s">
        <v>15</v>
      </c>
      <c r="B17" s="3">
        <v>61.91255709090909</v>
      </c>
      <c r="C17" s="3">
        <v>0</v>
      </c>
      <c r="D17" s="3">
        <v>0</v>
      </c>
      <c r="E17" s="3">
        <v>0</v>
      </c>
      <c r="F17" s="3">
        <v>1.2617</v>
      </c>
      <c r="G17" s="3">
        <v>25.055818965517247</v>
      </c>
      <c r="H17" s="3">
        <v>54.822988505747134</v>
      </c>
      <c r="I17" s="3">
        <v>10.921767241379314</v>
      </c>
      <c r="J17" s="3">
        <v>153.97483180355277</v>
      </c>
      <c r="K17" s="3">
        <v>0</v>
      </c>
      <c r="L17" s="3">
        <v>0</v>
      </c>
      <c r="M17">
        <f t="shared" si="0"/>
        <v>40.209530587375212</v>
      </c>
      <c r="N17">
        <f t="shared" si="1"/>
        <v>0.81941963191083533</v>
      </c>
      <c r="P17" s="2"/>
    </row>
    <row r="18" spans="1:16">
      <c r="A18" s="1" t="s">
        <v>16</v>
      </c>
      <c r="B18" s="3">
        <v>46.142377454545446</v>
      </c>
      <c r="C18" s="3">
        <v>0</v>
      </c>
      <c r="D18" s="3">
        <v>0</v>
      </c>
      <c r="E18" s="3">
        <v>0</v>
      </c>
      <c r="F18" s="3">
        <v>1.3024</v>
      </c>
      <c r="G18" s="3">
        <v>25.055818965517247</v>
      </c>
      <c r="H18" s="3">
        <v>54.822988505747134</v>
      </c>
      <c r="I18" s="3">
        <v>10.921767241379314</v>
      </c>
      <c r="J18" s="3">
        <v>138.24535216718914</v>
      </c>
      <c r="K18" s="3">
        <v>0</v>
      </c>
      <c r="L18" s="3">
        <v>0</v>
      </c>
      <c r="M18">
        <f t="shared" si="0"/>
        <v>33.377163666770116</v>
      </c>
      <c r="N18">
        <f t="shared" si="1"/>
        <v>0.94209315509205871</v>
      </c>
    </row>
    <row r="19" spans="1:16">
      <c r="A19" s="1" t="s">
        <v>17</v>
      </c>
      <c r="B19" s="3">
        <v>51.107063636363641</v>
      </c>
      <c r="C19" s="3">
        <v>0</v>
      </c>
      <c r="D19" s="3">
        <v>0</v>
      </c>
      <c r="E19" s="3">
        <v>0</v>
      </c>
      <c r="F19" s="3">
        <v>1.94102</v>
      </c>
      <c r="G19" s="3">
        <v>25.055818965517247</v>
      </c>
      <c r="H19" s="3">
        <v>54.822988505747134</v>
      </c>
      <c r="I19" s="3">
        <v>10.921767241379314</v>
      </c>
      <c r="J19" s="3">
        <v>143.84865834900734</v>
      </c>
      <c r="K19" s="3">
        <v>0</v>
      </c>
      <c r="L19" s="3">
        <v>0</v>
      </c>
      <c r="M19">
        <f t="shared" si="0"/>
        <v>35.528356136883161</v>
      </c>
      <c r="N19">
        <f t="shared" si="1"/>
        <v>1.3493486990269135</v>
      </c>
    </row>
    <row r="20" spans="1:16">
      <c r="A20" s="1" t="s">
        <v>18</v>
      </c>
      <c r="B20" s="3">
        <v>52.567265454545456</v>
      </c>
      <c r="C20" s="3">
        <v>0</v>
      </c>
      <c r="D20" s="3">
        <v>0</v>
      </c>
      <c r="E20" s="3">
        <v>0</v>
      </c>
      <c r="F20" s="3">
        <v>2.2251799999999999</v>
      </c>
      <c r="G20" s="3">
        <v>25.055818965517247</v>
      </c>
      <c r="H20" s="3">
        <v>54.822988505747134</v>
      </c>
      <c r="I20" s="3">
        <v>10.921767241379314</v>
      </c>
      <c r="J20" s="3">
        <v>145.59302016718914</v>
      </c>
      <c r="K20" s="3">
        <v>0</v>
      </c>
      <c r="L20" s="3">
        <v>0</v>
      </c>
      <c r="M20">
        <f t="shared" si="0"/>
        <v>36.10562195507778</v>
      </c>
      <c r="N20">
        <f t="shared" si="1"/>
        <v>1.528356234004044</v>
      </c>
    </row>
    <row r="21" spans="1:16">
      <c r="A21" s="1" t="s">
        <v>19</v>
      </c>
      <c r="B21" s="3">
        <v>83.523543999999987</v>
      </c>
      <c r="C21" s="3">
        <v>0</v>
      </c>
      <c r="D21" s="3">
        <v>0</v>
      </c>
      <c r="E21" s="3">
        <v>0</v>
      </c>
      <c r="F21" s="3">
        <v>2.5818599999999998</v>
      </c>
      <c r="G21" s="3">
        <v>25.055818965517247</v>
      </c>
      <c r="H21" s="3">
        <v>54.822988505747134</v>
      </c>
      <c r="I21" s="3">
        <v>10.921767241379314</v>
      </c>
      <c r="J21" s="3">
        <v>176.90597871264367</v>
      </c>
      <c r="K21" s="3">
        <v>0</v>
      </c>
      <c r="L21" s="3">
        <v>0</v>
      </c>
      <c r="M21">
        <f t="shared" si="0"/>
        <v>47.213522464196096</v>
      </c>
      <c r="N21">
        <f t="shared" si="1"/>
        <v>1.4594532184770481</v>
      </c>
    </row>
    <row r="22" spans="1:16">
      <c r="A22" s="1" t="s">
        <v>20</v>
      </c>
      <c r="B22" s="3">
        <v>115.35594363636363</v>
      </c>
      <c r="C22" s="3">
        <v>0</v>
      </c>
      <c r="D22" s="3">
        <v>0</v>
      </c>
      <c r="E22" s="3">
        <v>0</v>
      </c>
      <c r="F22" s="3">
        <v>3.2323199999999996</v>
      </c>
      <c r="G22" s="3">
        <v>25.055818965517247</v>
      </c>
      <c r="H22" s="3">
        <v>54.822988505747134</v>
      </c>
      <c r="I22" s="3">
        <v>10.921767241379314</v>
      </c>
      <c r="J22" s="3">
        <v>209.38883834900733</v>
      </c>
      <c r="K22" s="3">
        <v>0</v>
      </c>
      <c r="L22" s="3">
        <v>0</v>
      </c>
      <c r="M22">
        <f t="shared" si="0"/>
        <v>55.091734853645555</v>
      </c>
      <c r="N22">
        <f t="shared" si="1"/>
        <v>1.5436925986534198</v>
      </c>
    </row>
    <row r="23" spans="1:16">
      <c r="A23" s="1" t="s">
        <v>21</v>
      </c>
      <c r="B23" s="3">
        <v>142.80773781818181</v>
      </c>
      <c r="C23" s="3">
        <v>0</v>
      </c>
      <c r="D23" s="3">
        <v>0</v>
      </c>
      <c r="E23" s="3">
        <v>0</v>
      </c>
      <c r="F23" s="3">
        <v>2.5130399999999997</v>
      </c>
      <c r="G23" s="3">
        <v>25.055818965517247</v>
      </c>
      <c r="H23" s="3">
        <v>54.822988505747134</v>
      </c>
      <c r="I23" s="3">
        <v>10.921767241379314</v>
      </c>
      <c r="J23" s="3">
        <v>236.12135253082548</v>
      </c>
      <c r="K23" s="3">
        <v>0</v>
      </c>
      <c r="L23" s="3">
        <v>0</v>
      </c>
      <c r="M23">
        <f t="shared" si="0"/>
        <v>60.480653819538986</v>
      </c>
      <c r="N23">
        <f t="shared" si="1"/>
        <v>1.0643001884685224</v>
      </c>
    </row>
    <row r="24" spans="1:16">
      <c r="A24" s="1" t="s">
        <v>22</v>
      </c>
      <c r="B24" s="3">
        <v>141.34753599999999</v>
      </c>
      <c r="C24" s="3">
        <v>0</v>
      </c>
      <c r="D24" s="3">
        <v>0</v>
      </c>
      <c r="E24" s="3">
        <v>0</v>
      </c>
      <c r="F24" s="3">
        <v>2.8711999999999995</v>
      </c>
      <c r="G24" s="3">
        <v>25.055818965517247</v>
      </c>
      <c r="H24" s="3">
        <v>54.822988505747134</v>
      </c>
      <c r="I24" s="3">
        <v>10.921767241379314</v>
      </c>
      <c r="J24" s="3">
        <v>235.01931071264366</v>
      </c>
      <c r="K24" s="3">
        <v>0</v>
      </c>
      <c r="L24" s="3">
        <v>0</v>
      </c>
      <c r="M24">
        <f t="shared" si="0"/>
        <v>60.142945518559777</v>
      </c>
      <c r="N24">
        <f t="shared" si="1"/>
        <v>1.221686844069845</v>
      </c>
    </row>
    <row r="25" spans="1:16">
      <c r="A25" s="1" t="s">
        <v>23</v>
      </c>
      <c r="B25" s="3">
        <v>171.1356530909091</v>
      </c>
      <c r="C25" s="3">
        <v>0</v>
      </c>
      <c r="D25" s="3">
        <v>0</v>
      </c>
      <c r="E25" s="3">
        <v>0</v>
      </c>
      <c r="F25" s="3">
        <v>3.2226999999999997</v>
      </c>
      <c r="G25" s="3">
        <v>25.055818965517247</v>
      </c>
      <c r="H25" s="3">
        <v>54.822988505747134</v>
      </c>
      <c r="I25" s="3">
        <v>10.921767241379314</v>
      </c>
      <c r="J25" s="3">
        <v>265.15892780355284</v>
      </c>
      <c r="K25" s="3">
        <v>0</v>
      </c>
      <c r="L25" s="3">
        <v>0</v>
      </c>
      <c r="M25">
        <f t="shared" si="0"/>
        <v>64.540784844965742</v>
      </c>
      <c r="N25">
        <f t="shared" si="1"/>
        <v>1.215384308080921</v>
      </c>
    </row>
    <row r="26" spans="1:16">
      <c r="A26" s="1" t="s">
        <v>24</v>
      </c>
      <c r="B26" s="3">
        <v>212.31334436363636</v>
      </c>
      <c r="C26" s="3">
        <v>0</v>
      </c>
      <c r="D26" s="3">
        <v>0</v>
      </c>
      <c r="E26" s="3">
        <v>0</v>
      </c>
      <c r="F26" s="3">
        <v>3.9064599999999996</v>
      </c>
      <c r="G26" s="3">
        <v>29.754310344827591</v>
      </c>
      <c r="H26" s="3">
        <v>65.103448275862078</v>
      </c>
      <c r="I26" s="3">
        <v>12.969827586206899</v>
      </c>
      <c r="J26" s="3">
        <v>324.04739057053297</v>
      </c>
      <c r="K26" s="3">
        <v>0</v>
      </c>
      <c r="L26" s="3">
        <v>0</v>
      </c>
      <c r="M26">
        <f t="shared" si="0"/>
        <v>65.519226675403118</v>
      </c>
      <c r="N26">
        <f t="shared" si="1"/>
        <v>1.2055212026617785</v>
      </c>
    </row>
    <row r="27" spans="1:16">
      <c r="A27" s="1" t="s">
        <v>25</v>
      </c>
      <c r="B27" s="3">
        <v>179.89686400000002</v>
      </c>
      <c r="C27" s="3">
        <v>0</v>
      </c>
      <c r="D27" s="3">
        <v>0</v>
      </c>
      <c r="E27" s="3">
        <v>0</v>
      </c>
      <c r="F27" s="3">
        <v>3.6045400000000001</v>
      </c>
      <c r="G27" s="3">
        <v>29.754310344827591</v>
      </c>
      <c r="H27" s="3">
        <v>65.103448275862078</v>
      </c>
      <c r="I27" s="3">
        <v>12.969827586206899</v>
      </c>
      <c r="J27" s="3">
        <v>291.32899020689661</v>
      </c>
      <c r="K27" s="3">
        <v>0</v>
      </c>
      <c r="L27" s="3">
        <v>0</v>
      </c>
      <c r="M27">
        <f t="shared" si="0"/>
        <v>61.750416212351709</v>
      </c>
      <c r="N27">
        <f t="shared" si="1"/>
        <v>1.2372747378968776</v>
      </c>
    </row>
    <row r="28" spans="1:16">
      <c r="A28" s="1" t="s">
        <v>26</v>
      </c>
      <c r="B28" s="3">
        <v>179.02074290909093</v>
      </c>
      <c r="C28" s="3">
        <v>0</v>
      </c>
      <c r="D28" s="3">
        <v>0</v>
      </c>
      <c r="E28" s="3">
        <v>0</v>
      </c>
      <c r="F28" s="3">
        <v>3.49132</v>
      </c>
      <c r="G28" s="3">
        <v>29.754310344827591</v>
      </c>
      <c r="H28" s="3">
        <v>65.103448275862078</v>
      </c>
      <c r="I28" s="3">
        <v>12.969827586206899</v>
      </c>
      <c r="J28" s="3">
        <v>290.33964911598753</v>
      </c>
      <c r="K28" s="3">
        <v>0</v>
      </c>
      <c r="L28" s="3">
        <v>0</v>
      </c>
      <c r="M28">
        <f t="shared" si="0"/>
        <v>61.65907531202329</v>
      </c>
      <c r="N28">
        <f t="shared" si="1"/>
        <v>1.2024950814090347</v>
      </c>
    </row>
    <row r="29" spans="1:16">
      <c r="A29" s="1" t="s">
        <v>27</v>
      </c>
      <c r="B29" s="3">
        <v>208.80886000000001</v>
      </c>
      <c r="C29" s="3">
        <v>0</v>
      </c>
      <c r="D29" s="3">
        <v>0</v>
      </c>
      <c r="E29" s="3">
        <v>0</v>
      </c>
      <c r="F29" s="3">
        <v>3.9708399999999999</v>
      </c>
      <c r="G29" s="3">
        <v>29.754310344827591</v>
      </c>
      <c r="H29" s="3">
        <v>65.103448275862078</v>
      </c>
      <c r="I29" s="3">
        <v>12.969827586206899</v>
      </c>
      <c r="J29" s="3">
        <v>320.60728620689662</v>
      </c>
      <c r="K29" s="3">
        <v>0</v>
      </c>
      <c r="L29" s="3">
        <v>0</v>
      </c>
      <c r="M29">
        <f t="shared" si="0"/>
        <v>65.129168606994781</v>
      </c>
      <c r="N29">
        <f t="shared" si="1"/>
        <v>1.2385370423046183</v>
      </c>
    </row>
    <row r="30" spans="1:16">
      <c r="A30" s="1" t="s">
        <v>28</v>
      </c>
      <c r="B30" s="3">
        <v>260.207964</v>
      </c>
      <c r="C30" s="3">
        <v>0</v>
      </c>
      <c r="D30" s="3">
        <v>0</v>
      </c>
      <c r="E30" s="3">
        <v>0</v>
      </c>
      <c r="F30" s="3">
        <v>3.9464199999999998</v>
      </c>
      <c r="G30" s="3">
        <v>29.754310344827591</v>
      </c>
      <c r="H30" s="3">
        <v>65.103448275862078</v>
      </c>
      <c r="I30" s="3">
        <v>12.969827586206899</v>
      </c>
      <c r="J30" s="3">
        <v>371.98197020689662</v>
      </c>
      <c r="K30" s="3">
        <v>0</v>
      </c>
      <c r="L30" s="3">
        <v>0</v>
      </c>
      <c r="M30">
        <f t="shared" si="0"/>
        <v>69.951767784678424</v>
      </c>
      <c r="N30">
        <f t="shared" si="1"/>
        <v>1.0609170110597022</v>
      </c>
    </row>
    <row r="31" spans="1:16">
      <c r="A31" s="1" t="s">
        <v>29</v>
      </c>
      <c r="B31" s="3">
        <v>300.80157454545457</v>
      </c>
      <c r="C31" s="3">
        <v>0</v>
      </c>
      <c r="D31" s="3">
        <v>0</v>
      </c>
      <c r="E31" s="3">
        <v>0</v>
      </c>
      <c r="F31" s="3">
        <v>5.4856199999999991</v>
      </c>
      <c r="G31" s="3">
        <v>29.754310344827591</v>
      </c>
      <c r="H31" s="3">
        <v>65.103448275862078</v>
      </c>
      <c r="I31" s="3">
        <v>12.969827586206899</v>
      </c>
      <c r="J31" s="3">
        <v>414.11478075235118</v>
      </c>
      <c r="K31" s="3">
        <v>0</v>
      </c>
      <c r="L31" s="3">
        <v>0</v>
      </c>
      <c r="M31">
        <f t="shared" si="0"/>
        <v>72.637246610460849</v>
      </c>
      <c r="N31">
        <f t="shared" si="1"/>
        <v>1.3246617254360955</v>
      </c>
    </row>
    <row r="32" spans="1:16">
      <c r="A32" s="1" t="s">
        <v>30</v>
      </c>
      <c r="B32" s="3">
        <v>365.34249490909093</v>
      </c>
      <c r="C32" s="3">
        <v>0</v>
      </c>
      <c r="D32" s="3">
        <v>0</v>
      </c>
      <c r="E32" s="3">
        <v>0</v>
      </c>
      <c r="F32" s="3">
        <v>6.01546</v>
      </c>
      <c r="G32" s="3">
        <v>29.754310344827591</v>
      </c>
      <c r="H32" s="3">
        <v>65.103448275862078</v>
      </c>
      <c r="I32" s="3">
        <v>12.969827586206899</v>
      </c>
      <c r="J32" s="3">
        <v>479.18554111598758</v>
      </c>
      <c r="K32" s="3">
        <v>0</v>
      </c>
      <c r="L32" s="3">
        <v>0</v>
      </c>
      <c r="M32">
        <f t="shared" si="0"/>
        <v>76.242387042446097</v>
      </c>
      <c r="N32">
        <f t="shared" si="1"/>
        <v>1.2553508993594507</v>
      </c>
    </row>
    <row r="33" spans="1:14">
      <c r="A33" s="1" t="s">
        <v>31</v>
      </c>
      <c r="B33" s="3">
        <v>450.61828109090908</v>
      </c>
      <c r="C33" s="3">
        <v>0</v>
      </c>
      <c r="D33" s="3">
        <v>0</v>
      </c>
      <c r="E33" s="3">
        <v>0</v>
      </c>
      <c r="F33" s="3">
        <v>6.1279399999999997</v>
      </c>
      <c r="G33" s="3">
        <v>29.754310344827591</v>
      </c>
      <c r="H33" s="3">
        <v>65.103448275862078</v>
      </c>
      <c r="I33" s="3">
        <v>12.969827586206899</v>
      </c>
      <c r="J33" s="3">
        <v>564.57380729780562</v>
      </c>
      <c r="K33" s="3">
        <v>0</v>
      </c>
      <c r="L33" s="3">
        <v>0</v>
      </c>
      <c r="M33">
        <f t="shared" si="0"/>
        <v>79.815654794132811</v>
      </c>
      <c r="N33">
        <f t="shared" si="1"/>
        <v>1.0854099004928843</v>
      </c>
    </row>
    <row r="34" spans="1:14">
      <c r="A34" s="1" t="s">
        <v>32</v>
      </c>
      <c r="B34" s="3">
        <v>667.02019054545451</v>
      </c>
      <c r="C34" s="3">
        <v>0</v>
      </c>
      <c r="D34" s="3">
        <v>0</v>
      </c>
      <c r="E34" s="3">
        <v>0</v>
      </c>
      <c r="F34" s="3">
        <v>9.4971599999999992</v>
      </c>
      <c r="G34" s="3">
        <v>29.754310344827591</v>
      </c>
      <c r="H34" s="3">
        <v>65.103448275862078</v>
      </c>
      <c r="I34" s="3">
        <v>12.969827586206899</v>
      </c>
      <c r="J34" s="3">
        <v>784.34493675235103</v>
      </c>
      <c r="K34" s="3">
        <v>0</v>
      </c>
      <c r="L34" s="3">
        <v>0</v>
      </c>
      <c r="M34">
        <f t="shared" si="0"/>
        <v>85.041690114977996</v>
      </c>
      <c r="N34">
        <f t="shared" si="1"/>
        <v>1.2108397154093735</v>
      </c>
    </row>
    <row r="35" spans="1:14">
      <c r="A35" s="1" t="s">
        <v>33</v>
      </c>
      <c r="B35" s="3">
        <v>906.78532909090904</v>
      </c>
      <c r="C35" s="3">
        <v>0</v>
      </c>
      <c r="D35" s="3">
        <v>0</v>
      </c>
      <c r="E35" s="3">
        <v>0</v>
      </c>
      <c r="F35" s="3">
        <v>10.325959999999998</v>
      </c>
      <c r="G35" s="3">
        <v>29.754310344827591</v>
      </c>
      <c r="H35" s="3">
        <v>65.103448275862078</v>
      </c>
      <c r="I35" s="3">
        <v>12.969827586206899</v>
      </c>
      <c r="J35" s="3">
        <v>1024.9388752978057</v>
      </c>
      <c r="K35" s="3">
        <v>0</v>
      </c>
      <c r="L35" s="3">
        <v>0</v>
      </c>
      <c r="M35">
        <f t="shared" si="0"/>
        <v>88.472137309401404</v>
      </c>
      <c r="N35">
        <f t="shared" si="1"/>
        <v>1.0074708110763866</v>
      </c>
    </row>
    <row r="36" spans="1:14">
      <c r="A36" s="1" t="s">
        <v>34</v>
      </c>
      <c r="B36" s="3">
        <v>806.61548436363637</v>
      </c>
      <c r="C36" s="3">
        <v>0</v>
      </c>
      <c r="D36" s="3">
        <v>0</v>
      </c>
      <c r="E36" s="3">
        <v>0</v>
      </c>
      <c r="F36" s="3">
        <v>13.042499999999999</v>
      </c>
      <c r="G36" s="3">
        <v>29.754310344827591</v>
      </c>
      <c r="H36" s="3">
        <v>65.103448275862078</v>
      </c>
      <c r="I36" s="3">
        <v>12.969827586206899</v>
      </c>
      <c r="J36" s="3">
        <v>927.4855705705329</v>
      </c>
      <c r="K36" s="3">
        <v>0</v>
      </c>
      <c r="L36" s="3">
        <v>0</v>
      </c>
      <c r="M36">
        <f t="shared" si="0"/>
        <v>86.967982032049889</v>
      </c>
      <c r="N36">
        <f t="shared" si="1"/>
        <v>1.406221337974783</v>
      </c>
    </row>
    <row r="37" spans="1:14">
      <c r="A37" s="1" t="s">
        <v>35</v>
      </c>
      <c r="B37" s="3">
        <v>1110.6295029090909</v>
      </c>
      <c r="C37" s="3">
        <v>0</v>
      </c>
      <c r="D37" s="3">
        <v>0</v>
      </c>
      <c r="E37" s="3">
        <v>0</v>
      </c>
      <c r="F37" s="3">
        <v>16.351040000000001</v>
      </c>
      <c r="G37" s="3">
        <v>29.754310344827591</v>
      </c>
      <c r="H37" s="3">
        <v>65.103448275862078</v>
      </c>
      <c r="I37" s="3">
        <v>12.969827586206899</v>
      </c>
      <c r="J37" s="3">
        <v>1234.8081291159876</v>
      </c>
      <c r="K37" s="3">
        <v>0</v>
      </c>
      <c r="L37" s="3">
        <v>0</v>
      </c>
      <c r="M37">
        <f t="shared" si="0"/>
        <v>89.94348811942163</v>
      </c>
      <c r="N37">
        <f t="shared" si="1"/>
        <v>1.3241765756519506</v>
      </c>
    </row>
    <row r="38" spans="1:14">
      <c r="A38" s="1" t="s">
        <v>36</v>
      </c>
      <c r="B38" s="3">
        <v>825.30606763636376</v>
      </c>
      <c r="C38" s="3">
        <v>0</v>
      </c>
      <c r="D38" s="3">
        <v>0</v>
      </c>
      <c r="E38" s="3">
        <v>0</v>
      </c>
      <c r="F38" s="3">
        <v>12.42238</v>
      </c>
      <c r="G38" s="3">
        <v>34.35614224137931</v>
      </c>
      <c r="H38" s="3">
        <v>75.172413793103445</v>
      </c>
      <c r="I38" s="3">
        <v>14.975754310344829</v>
      </c>
      <c r="J38" s="3">
        <v>962.23275798119141</v>
      </c>
      <c r="K38" s="3">
        <v>0</v>
      </c>
      <c r="L38" s="3">
        <v>0</v>
      </c>
      <c r="M38">
        <f t="shared" si="0"/>
        <v>85.769899308759122</v>
      </c>
      <c r="N38">
        <f t="shared" si="1"/>
        <v>1.2909953331938859</v>
      </c>
    </row>
    <row r="39" spans="1:14">
      <c r="A39" s="1" t="s">
        <v>37</v>
      </c>
      <c r="B39" s="3">
        <v>795.22591018181822</v>
      </c>
      <c r="C39" s="3">
        <v>0</v>
      </c>
      <c r="D39" s="3">
        <v>0</v>
      </c>
      <c r="E39" s="3">
        <v>0</v>
      </c>
      <c r="F39" s="3">
        <v>9.5297199999999993</v>
      </c>
      <c r="G39" s="3">
        <v>34.35614224137931</v>
      </c>
      <c r="H39" s="3">
        <v>75.172413793103445</v>
      </c>
      <c r="I39" s="3">
        <v>14.975754310344829</v>
      </c>
      <c r="J39" s="3">
        <v>929.25994052664589</v>
      </c>
      <c r="K39" s="3">
        <v>0</v>
      </c>
      <c r="L39" s="3">
        <v>0</v>
      </c>
      <c r="M39">
        <f t="shared" si="0"/>
        <v>85.576260796428429</v>
      </c>
      <c r="N39">
        <f t="shared" si="1"/>
        <v>1.0255171437390442</v>
      </c>
    </row>
    <row r="40" spans="1:14">
      <c r="A40" s="1" t="s">
        <v>38</v>
      </c>
      <c r="B40" s="3">
        <v>1237.9591014545456</v>
      </c>
      <c r="C40" s="3">
        <v>0</v>
      </c>
      <c r="D40" s="3">
        <v>0</v>
      </c>
      <c r="E40" s="3">
        <v>0</v>
      </c>
      <c r="F40" s="3">
        <v>18.630239999999997</v>
      </c>
      <c r="G40" s="3">
        <v>34.35614224137931</v>
      </c>
      <c r="H40" s="3">
        <v>75.172413793103445</v>
      </c>
      <c r="I40" s="3">
        <v>14.975754310344829</v>
      </c>
      <c r="J40" s="3">
        <v>1381.0936517993732</v>
      </c>
      <c r="K40" s="3">
        <v>0</v>
      </c>
      <c r="L40" s="3">
        <v>0</v>
      </c>
      <c r="M40">
        <f t="shared" si="0"/>
        <v>89.63614450342719</v>
      </c>
      <c r="N40">
        <f t="shared" si="1"/>
        <v>1.3489483479796884</v>
      </c>
    </row>
    <row r="41" spans="1:14">
      <c r="A41" s="1" t="s">
        <v>39</v>
      </c>
      <c r="B41" s="3">
        <v>940.36997090909097</v>
      </c>
      <c r="C41" s="3">
        <v>0</v>
      </c>
      <c r="D41" s="3">
        <v>0</v>
      </c>
      <c r="E41" s="3">
        <v>0</v>
      </c>
      <c r="F41" s="3">
        <v>12.283999999999999</v>
      </c>
      <c r="G41" s="3">
        <v>34.35614224137931</v>
      </c>
      <c r="H41" s="3">
        <v>75.172413793103445</v>
      </c>
      <c r="I41" s="3">
        <v>14.975754310344829</v>
      </c>
      <c r="J41" s="3">
        <v>1077.1582812539186</v>
      </c>
      <c r="K41" s="3">
        <v>0</v>
      </c>
      <c r="L41" s="3">
        <v>0</v>
      </c>
      <c r="M41">
        <f t="shared" si="0"/>
        <v>87.301001837390828</v>
      </c>
      <c r="N41">
        <f t="shared" si="1"/>
        <v>1.1404080731478208</v>
      </c>
    </row>
    <row r="42" spans="1:14">
      <c r="A42" s="1" t="s">
        <v>40</v>
      </c>
      <c r="B42" s="3">
        <v>851.88174072727281</v>
      </c>
      <c r="C42" s="3">
        <v>0</v>
      </c>
      <c r="D42" s="3">
        <v>0</v>
      </c>
      <c r="E42" s="3">
        <v>0</v>
      </c>
      <c r="F42" s="3">
        <v>13.135739999999998</v>
      </c>
      <c r="G42" s="3">
        <v>34.35614224137931</v>
      </c>
      <c r="H42" s="3">
        <v>75.172413793103445</v>
      </c>
      <c r="I42" s="3">
        <v>14.975754310344829</v>
      </c>
      <c r="J42" s="3">
        <v>989.52179107210054</v>
      </c>
      <c r="K42" s="3">
        <v>0</v>
      </c>
      <c r="L42" s="3">
        <v>0</v>
      </c>
      <c r="M42">
        <f t="shared" si="0"/>
        <v>86.090245653337135</v>
      </c>
      <c r="N42">
        <f t="shared" si="1"/>
        <v>1.3274836510440098</v>
      </c>
    </row>
    <row r="43" spans="1:14">
      <c r="A43" s="1" t="s">
        <v>41</v>
      </c>
      <c r="B43" s="3">
        <v>980.08746036363641</v>
      </c>
      <c r="C43" s="3">
        <v>0</v>
      </c>
      <c r="D43" s="3">
        <v>0</v>
      </c>
      <c r="E43" s="3">
        <v>0</v>
      </c>
      <c r="F43" s="3">
        <v>16.145319999999998</v>
      </c>
      <c r="G43" s="3">
        <v>34.35614224137931</v>
      </c>
      <c r="H43" s="3">
        <v>75.172413793103445</v>
      </c>
      <c r="I43" s="3">
        <v>14.975754310344829</v>
      </c>
      <c r="J43" s="3">
        <v>1120.7370907084642</v>
      </c>
      <c r="K43" s="3">
        <v>0</v>
      </c>
      <c r="L43" s="3">
        <v>0</v>
      </c>
      <c r="M43">
        <f t="shared" si="0"/>
        <v>87.450256486477357</v>
      </c>
      <c r="N43">
        <f t="shared" si="1"/>
        <v>1.4405983467357073</v>
      </c>
    </row>
    <row r="44" spans="1:14">
      <c r="A44" s="1" t="s">
        <v>42</v>
      </c>
      <c r="B44" s="3">
        <v>1499.0431865454545</v>
      </c>
      <c r="C44" s="3">
        <v>0</v>
      </c>
      <c r="D44" s="3">
        <v>0</v>
      </c>
      <c r="E44" s="3">
        <v>0</v>
      </c>
      <c r="F44" s="3">
        <v>23.329239999999999</v>
      </c>
      <c r="G44" s="3">
        <v>34.35614224137931</v>
      </c>
      <c r="H44" s="3">
        <v>75.172413793103445</v>
      </c>
      <c r="I44" s="3">
        <v>14.975754310344829</v>
      </c>
      <c r="J44" s="3">
        <v>1646.8767368902822</v>
      </c>
      <c r="K44" s="3">
        <v>0</v>
      </c>
      <c r="L44" s="3">
        <v>0</v>
      </c>
      <c r="M44">
        <f t="shared" si="0"/>
        <v>91.023399199628344</v>
      </c>
      <c r="N44">
        <f t="shared" si="1"/>
        <v>1.4165747488820248</v>
      </c>
    </row>
    <row r="45" spans="1:14">
      <c r="A45" s="1" t="s">
        <v>43</v>
      </c>
      <c r="B45" s="3">
        <v>2045.450706909091</v>
      </c>
      <c r="C45" s="3">
        <v>0</v>
      </c>
      <c r="D45" s="3">
        <v>0</v>
      </c>
      <c r="E45" s="3">
        <v>0</v>
      </c>
      <c r="F45" s="3">
        <v>34.731900000000003</v>
      </c>
      <c r="G45" s="3">
        <v>34.35614224137931</v>
      </c>
      <c r="H45" s="3">
        <v>75.172413793103445</v>
      </c>
      <c r="I45" s="3">
        <v>14.975754310344829</v>
      </c>
      <c r="J45" s="3">
        <v>2204.6869172539186</v>
      </c>
      <c r="K45" s="3">
        <v>0</v>
      </c>
      <c r="L45" s="3">
        <v>0</v>
      </c>
      <c r="M45">
        <f t="shared" si="0"/>
        <v>92.777377635861029</v>
      </c>
      <c r="N45">
        <f t="shared" si="1"/>
        <v>1.5753665397198822</v>
      </c>
    </row>
    <row r="46" spans="1:14">
      <c r="A46" s="1" t="s">
        <v>44</v>
      </c>
      <c r="B46" s="3">
        <v>1725.9585490909089</v>
      </c>
      <c r="C46" s="3">
        <v>0</v>
      </c>
      <c r="D46" s="3">
        <v>0</v>
      </c>
      <c r="E46" s="3">
        <v>0</v>
      </c>
      <c r="F46" s="3">
        <v>26.653320000000001</v>
      </c>
      <c r="G46" s="3">
        <v>34.35614224137931</v>
      </c>
      <c r="H46" s="3">
        <v>75.172413793103445</v>
      </c>
      <c r="I46" s="3">
        <v>14.975754310344829</v>
      </c>
      <c r="J46" s="3">
        <v>1877.1161794357365</v>
      </c>
      <c r="K46" s="3">
        <v>0</v>
      </c>
      <c r="L46" s="3">
        <v>0</v>
      </c>
      <c r="M46">
        <f t="shared" si="0"/>
        <v>91.947348171583826</v>
      </c>
      <c r="N46">
        <f t="shared" si="1"/>
        <v>1.4199078507762914</v>
      </c>
    </row>
    <row r="47" spans="1:14">
      <c r="A47" s="1" t="s">
        <v>59</v>
      </c>
      <c r="B47" s="3">
        <v>1139.5414989090909</v>
      </c>
      <c r="C47" s="3">
        <v>0</v>
      </c>
      <c r="D47" s="3">
        <v>0</v>
      </c>
      <c r="E47" s="3">
        <v>0</v>
      </c>
      <c r="F47" s="3">
        <v>11.67572</v>
      </c>
      <c r="G47" s="3">
        <v>34.35614224137931</v>
      </c>
      <c r="H47" s="3">
        <v>75.172413793103445</v>
      </c>
      <c r="I47" s="3">
        <v>14.975754310344829</v>
      </c>
      <c r="J47" s="3">
        <v>1275.7215292539186</v>
      </c>
      <c r="K47" s="3">
        <v>0</v>
      </c>
      <c r="L47" s="3">
        <v>0</v>
      </c>
      <c r="M47">
        <f t="shared" si="0"/>
        <v>89.32525420148157</v>
      </c>
      <c r="N47">
        <f t="shared" si="1"/>
        <v>0.91522481452737758</v>
      </c>
    </row>
    <row r="48" spans="1:14">
      <c r="A48" s="1" t="s">
        <v>60</v>
      </c>
      <c r="B48" s="3">
        <v>1043.168178909091</v>
      </c>
      <c r="C48" s="3">
        <v>0</v>
      </c>
      <c r="D48" s="3">
        <v>0</v>
      </c>
      <c r="E48" s="3">
        <v>0</v>
      </c>
      <c r="F48" s="3">
        <v>12.983299999999998</v>
      </c>
      <c r="G48" s="3">
        <v>34.35614224137931</v>
      </c>
      <c r="H48" s="3">
        <v>75.172413793103445</v>
      </c>
      <c r="I48" s="3">
        <v>14.975754310344829</v>
      </c>
      <c r="J48" s="3">
        <v>1180.6557892539188</v>
      </c>
      <c r="K48" s="3">
        <v>0</v>
      </c>
      <c r="L48" s="3">
        <v>0</v>
      </c>
      <c r="M48">
        <f t="shared" si="0"/>
        <v>88.354979360097062</v>
      </c>
      <c r="N48">
        <f t="shared" si="1"/>
        <v>1.0996685162747069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87D5-F946-4848-B605-ED0575521E22}">
  <dimension ref="A1:O48"/>
  <sheetViews>
    <sheetView workbookViewId="0">
      <selection activeCell="I44" sqref="I44"/>
    </sheetView>
  </sheetViews>
  <sheetFormatPr defaultRowHeight="14.4"/>
  <cols>
    <col min="2" max="3" width="4.6640625" bestFit="1" customWidth="1"/>
    <col min="4" max="4" width="6.6640625" bestFit="1" customWidth="1"/>
    <col min="5" max="5" width="7.6640625" bestFit="1" customWidth="1"/>
    <col min="6" max="6" width="6.6640625" bestFit="1" customWidth="1"/>
    <col min="7" max="7" width="5.6640625" bestFit="1" customWidth="1"/>
    <col min="8" max="8" width="6.6640625" bestFit="1" customWidth="1"/>
    <col min="9" max="9" width="5.6640625" bestFit="1" customWidth="1"/>
    <col min="10" max="10" width="7.6640625" bestFit="1" customWidth="1"/>
    <col min="11" max="12" width="6.6640625" bestFit="1" customWidth="1"/>
  </cols>
  <sheetData>
    <row r="1" spans="1:15">
      <c r="A1" s="1"/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5">
      <c r="A2" s="1" t="s">
        <v>0</v>
      </c>
      <c r="B2" s="3">
        <v>0</v>
      </c>
      <c r="C2" s="3">
        <v>0</v>
      </c>
      <c r="D2" s="3">
        <v>263.11674051000131</v>
      </c>
      <c r="E2" s="3">
        <v>1307.5419999999999</v>
      </c>
      <c r="F2" s="3">
        <v>14.822999999999999</v>
      </c>
      <c r="G2" s="3">
        <v>22.584859913793107</v>
      </c>
      <c r="H2" s="3">
        <v>92.19423491379311</v>
      </c>
      <c r="I2" s="3">
        <v>17.238685344827591</v>
      </c>
      <c r="J2" s="3">
        <v>1717.4995206824151</v>
      </c>
      <c r="K2" s="3">
        <v>414.27499999999964</v>
      </c>
      <c r="L2" s="3">
        <v>403.82500000000027</v>
      </c>
      <c r="M2" s="8">
        <f>E2/J2*100</f>
        <v>76.130559819922013</v>
      </c>
      <c r="N2" s="8">
        <f>F2/K2*100</f>
        <v>3.5780580532255168</v>
      </c>
      <c r="O2">
        <f>D2/J2*100</f>
        <v>15.319756270176832</v>
      </c>
    </row>
    <row r="3" spans="1:15">
      <c r="A3" s="1" t="s">
        <v>1</v>
      </c>
      <c r="B3" s="3">
        <v>0</v>
      </c>
      <c r="C3" s="3">
        <v>0</v>
      </c>
      <c r="D3" s="3">
        <v>254.10794318671026</v>
      </c>
      <c r="E3" s="3">
        <v>1307.5419999999999</v>
      </c>
      <c r="F3" s="3">
        <v>12.843</v>
      </c>
      <c r="G3" s="3">
        <v>22.584859913793107</v>
      </c>
      <c r="H3" s="3">
        <v>92.19423491379311</v>
      </c>
      <c r="I3" s="3">
        <v>17.238685344827591</v>
      </c>
      <c r="J3" s="3">
        <v>1706.5107233591239</v>
      </c>
      <c r="K3" s="3">
        <v>414.27499999999986</v>
      </c>
      <c r="L3" s="3">
        <v>403.82500000000027</v>
      </c>
      <c r="M3" s="8">
        <f t="shared" ref="M3:M48" si="0">E3/J3*100</f>
        <v>76.620790136390866</v>
      </c>
      <c r="N3" s="8">
        <f t="shared" ref="N3:N48" si="1">F3/K3*100</f>
        <v>3.1001146581377115</v>
      </c>
      <c r="O3">
        <f t="shared" ref="O3:O48" si="2">D3/J3*100</f>
        <v>14.890497886032616</v>
      </c>
    </row>
    <row r="4" spans="1:15">
      <c r="A4" s="1" t="s">
        <v>2</v>
      </c>
      <c r="B4" s="3">
        <v>0</v>
      </c>
      <c r="C4" s="3">
        <v>0</v>
      </c>
      <c r="D4" s="3">
        <v>248.31158521901131</v>
      </c>
      <c r="E4" s="3">
        <v>1307.5419999999999</v>
      </c>
      <c r="F4" s="3">
        <v>9.1829999999999998</v>
      </c>
      <c r="G4" s="3">
        <v>22.584859913793107</v>
      </c>
      <c r="H4" s="3">
        <v>92.19423491379311</v>
      </c>
      <c r="I4" s="3">
        <v>17.238685344827591</v>
      </c>
      <c r="J4" s="3">
        <v>1697.0543653914249</v>
      </c>
      <c r="K4" s="3">
        <v>414.27499999999986</v>
      </c>
      <c r="L4" s="3">
        <v>403.8250000000005</v>
      </c>
      <c r="M4" s="8">
        <f t="shared" si="0"/>
        <v>77.047737931390074</v>
      </c>
      <c r="N4" s="8">
        <f t="shared" si="1"/>
        <v>2.2166435338844979</v>
      </c>
      <c r="O4">
        <f t="shared" si="2"/>
        <v>14.631916942845749</v>
      </c>
    </row>
    <row r="5" spans="1:15">
      <c r="A5" s="1" t="s">
        <v>3</v>
      </c>
      <c r="B5" s="3">
        <v>0</v>
      </c>
      <c r="C5" s="3">
        <v>0</v>
      </c>
      <c r="D5" s="3">
        <v>246.49585862672006</v>
      </c>
      <c r="E5" s="3">
        <v>1307.5419999999999</v>
      </c>
      <c r="F5" s="3">
        <v>11.090999999999999</v>
      </c>
      <c r="G5" s="3">
        <v>22.584859913793107</v>
      </c>
      <c r="H5" s="3">
        <v>92.19423491379311</v>
      </c>
      <c r="I5" s="3">
        <v>17.238685344827591</v>
      </c>
      <c r="J5" s="3">
        <v>1697.1466387991336</v>
      </c>
      <c r="K5" s="3">
        <v>414.27499999999964</v>
      </c>
      <c r="L5" s="3">
        <v>403.82500000000027</v>
      </c>
      <c r="M5" s="8">
        <f t="shared" si="0"/>
        <v>77.043548866536966</v>
      </c>
      <c r="N5" s="8">
        <f t="shared" si="1"/>
        <v>2.6772071691509285</v>
      </c>
      <c r="O5">
        <f t="shared" si="2"/>
        <v>14.524134390716851</v>
      </c>
    </row>
    <row r="6" spans="1:15">
      <c r="A6" s="1" t="s">
        <v>4</v>
      </c>
      <c r="B6" s="3">
        <v>0</v>
      </c>
      <c r="C6" s="3">
        <v>0</v>
      </c>
      <c r="D6" s="3">
        <v>242.44539161314728</v>
      </c>
      <c r="E6" s="3">
        <v>1307.5419999999999</v>
      </c>
      <c r="F6" s="3">
        <v>11.348999999999998</v>
      </c>
      <c r="G6" s="3">
        <v>22.584859913793107</v>
      </c>
      <c r="H6" s="3">
        <v>92.19423491379311</v>
      </c>
      <c r="I6" s="3">
        <v>17.238685344827591</v>
      </c>
      <c r="J6" s="3">
        <v>1693.3541717855608</v>
      </c>
      <c r="K6" s="3">
        <v>414.27499999999986</v>
      </c>
      <c r="L6" s="3">
        <v>403.8250000000005</v>
      </c>
      <c r="M6" s="8">
        <f t="shared" si="0"/>
        <v>77.2160970094791</v>
      </c>
      <c r="N6" s="8">
        <f t="shared" si="1"/>
        <v>2.7394846418441863</v>
      </c>
      <c r="O6">
        <f t="shared" si="2"/>
        <v>14.317465043801217</v>
      </c>
    </row>
    <row r="7" spans="1:15">
      <c r="A7" s="1" t="s">
        <v>5</v>
      </c>
      <c r="B7" s="3">
        <v>0</v>
      </c>
      <c r="C7" s="3">
        <v>0</v>
      </c>
      <c r="D7" s="3">
        <v>237.20771875076878</v>
      </c>
      <c r="E7" s="3">
        <v>1307.5419999999999</v>
      </c>
      <c r="F7" s="3">
        <v>9.75</v>
      </c>
      <c r="G7" s="3">
        <v>22.584859913793107</v>
      </c>
      <c r="H7" s="3">
        <v>92.19423491379311</v>
      </c>
      <c r="I7" s="3">
        <v>17.238685344827591</v>
      </c>
      <c r="J7" s="3">
        <v>1686.5174989231825</v>
      </c>
      <c r="K7" s="3">
        <v>414.27499999999986</v>
      </c>
      <c r="L7" s="3">
        <v>403.82500000000005</v>
      </c>
      <c r="M7" s="8">
        <f t="shared" si="0"/>
        <v>77.529109590315358</v>
      </c>
      <c r="N7" s="8">
        <f t="shared" si="1"/>
        <v>2.3535091424778236</v>
      </c>
      <c r="O7">
        <f t="shared" si="2"/>
        <v>14.064942634880605</v>
      </c>
    </row>
    <row r="8" spans="1:15">
      <c r="A8" s="1" t="s">
        <v>6</v>
      </c>
      <c r="B8" s="3">
        <v>0</v>
      </c>
      <c r="C8" s="3">
        <v>0</v>
      </c>
      <c r="D8" s="3">
        <v>237.41722566526391</v>
      </c>
      <c r="E8" s="3">
        <v>1307.5419999999999</v>
      </c>
      <c r="F8" s="3">
        <v>11.913</v>
      </c>
      <c r="G8" s="3">
        <v>22.584859913793107</v>
      </c>
      <c r="H8" s="3">
        <v>92.19423491379311</v>
      </c>
      <c r="I8" s="3">
        <v>17.238685344827591</v>
      </c>
      <c r="J8" s="3">
        <v>1688.8900058376776</v>
      </c>
      <c r="K8" s="3">
        <v>414.27499999999964</v>
      </c>
      <c r="L8" s="3">
        <v>403.82500000000027</v>
      </c>
      <c r="M8" s="8">
        <f t="shared" si="0"/>
        <v>77.420198798054244</v>
      </c>
      <c r="N8" s="8">
        <f t="shared" si="1"/>
        <v>2.87562609377829</v>
      </c>
      <c r="O8">
        <f t="shared" si="2"/>
        <v>14.057589591070299</v>
      </c>
    </row>
    <row r="9" spans="1:15">
      <c r="A9" s="1" t="s">
        <v>7</v>
      </c>
      <c r="B9" s="3">
        <v>0</v>
      </c>
      <c r="C9" s="3">
        <v>0</v>
      </c>
      <c r="D9" s="3">
        <v>237.83623949425419</v>
      </c>
      <c r="E9" s="3">
        <v>1307.5419999999999</v>
      </c>
      <c r="F9" s="3">
        <v>11.045999999999999</v>
      </c>
      <c r="G9" s="3">
        <v>22.584859913793107</v>
      </c>
      <c r="H9" s="3">
        <v>92.19423491379311</v>
      </c>
      <c r="I9" s="3">
        <v>17.238685344827591</v>
      </c>
      <c r="J9" s="3">
        <v>1688.4420196666679</v>
      </c>
      <c r="K9" s="3">
        <v>414.27499999999986</v>
      </c>
      <c r="L9" s="3">
        <v>403.82500000000027</v>
      </c>
      <c r="M9" s="8">
        <f t="shared" si="0"/>
        <v>77.440740325695927</v>
      </c>
      <c r="N9" s="8">
        <f t="shared" si="1"/>
        <v>2.6663448192625681</v>
      </c>
      <c r="O9">
        <f t="shared" si="2"/>
        <v>14.086136019121806</v>
      </c>
    </row>
    <row r="10" spans="1:15">
      <c r="A10" s="1" t="s">
        <v>8</v>
      </c>
      <c r="B10" s="3">
        <v>0</v>
      </c>
      <c r="C10" s="3">
        <v>0</v>
      </c>
      <c r="D10" s="3">
        <v>241.53752831700172</v>
      </c>
      <c r="E10" s="3">
        <v>1307.5419999999999</v>
      </c>
      <c r="F10" s="3">
        <v>10.731</v>
      </c>
      <c r="G10" s="3">
        <v>22.584859913793107</v>
      </c>
      <c r="H10" s="3">
        <v>92.19423491379311</v>
      </c>
      <c r="I10" s="3">
        <v>17.238685344827591</v>
      </c>
      <c r="J10" s="3">
        <v>1691.8283084894153</v>
      </c>
      <c r="K10" s="3">
        <v>414.27499999999986</v>
      </c>
      <c r="L10" s="3">
        <v>403.8250000000005</v>
      </c>
      <c r="M10" s="8">
        <f t="shared" si="0"/>
        <v>77.285738360026983</v>
      </c>
      <c r="N10" s="8">
        <f t="shared" si="1"/>
        <v>2.5903083700440535</v>
      </c>
      <c r="O10">
        <f t="shared" si="2"/>
        <v>14.27671632546825</v>
      </c>
    </row>
    <row r="11" spans="1:15">
      <c r="A11" s="1" t="s">
        <v>9</v>
      </c>
      <c r="B11" s="3">
        <v>0</v>
      </c>
      <c r="C11" s="3">
        <v>0</v>
      </c>
      <c r="D11" s="3">
        <v>247.47355756103073</v>
      </c>
      <c r="E11" s="3">
        <v>1307.5419999999999</v>
      </c>
      <c r="F11" s="3">
        <v>11.085000000000001</v>
      </c>
      <c r="G11" s="3">
        <v>22.584859913793107</v>
      </c>
      <c r="H11" s="3">
        <v>92.19423491379311</v>
      </c>
      <c r="I11" s="3">
        <v>17.238685344827591</v>
      </c>
      <c r="J11" s="3">
        <v>1698.1183377334444</v>
      </c>
      <c r="K11" s="3">
        <v>414.27499999999986</v>
      </c>
      <c r="L11" s="3">
        <v>403.8250000000005</v>
      </c>
      <c r="M11" s="8">
        <f t="shared" si="0"/>
        <v>76.999462931731571</v>
      </c>
      <c r="N11" s="8">
        <f t="shared" si="1"/>
        <v>2.6757588558324796</v>
      </c>
      <c r="O11">
        <f t="shared" si="2"/>
        <v>14.573398806313165</v>
      </c>
    </row>
    <row r="12" spans="1:15">
      <c r="A12" s="1" t="s">
        <v>10</v>
      </c>
      <c r="B12" s="3">
        <v>0</v>
      </c>
      <c r="C12" s="3">
        <v>0</v>
      </c>
      <c r="D12" s="3">
        <v>248.10207830451617</v>
      </c>
      <c r="E12" s="3">
        <v>1307.5419999999999</v>
      </c>
      <c r="F12" s="3">
        <v>12.299999999999999</v>
      </c>
      <c r="G12" s="3">
        <v>22.584859913793107</v>
      </c>
      <c r="H12" s="3">
        <v>92.19423491379311</v>
      </c>
      <c r="I12" s="3">
        <v>17.238685344827591</v>
      </c>
      <c r="J12" s="3">
        <v>1699.9618584769298</v>
      </c>
      <c r="K12" s="3">
        <v>414.27499999999986</v>
      </c>
      <c r="L12" s="3">
        <v>403.8250000000005</v>
      </c>
      <c r="M12" s="8">
        <f t="shared" si="0"/>
        <v>76.91596099523575</v>
      </c>
      <c r="N12" s="8">
        <f t="shared" si="1"/>
        <v>2.9690423028181772</v>
      </c>
      <c r="O12">
        <f t="shared" si="2"/>
        <v>14.594567346752218</v>
      </c>
    </row>
    <row r="13" spans="1:15">
      <c r="A13" s="1" t="s">
        <v>11</v>
      </c>
      <c r="B13" s="3">
        <v>0</v>
      </c>
      <c r="C13" s="3">
        <v>0</v>
      </c>
      <c r="D13" s="3">
        <v>244.40078948176864</v>
      </c>
      <c r="E13" s="3">
        <v>1307.5419999999999</v>
      </c>
      <c r="F13" s="3">
        <v>9.5909999999999993</v>
      </c>
      <c r="G13" s="3">
        <v>22.584859913793107</v>
      </c>
      <c r="H13" s="3">
        <v>92.19423491379311</v>
      </c>
      <c r="I13" s="3">
        <v>17.238685344827591</v>
      </c>
      <c r="J13" s="3">
        <v>1693.5515696541822</v>
      </c>
      <c r="K13" s="3">
        <v>414.27499999999986</v>
      </c>
      <c r="L13" s="3">
        <v>403.8250000000005</v>
      </c>
      <c r="M13" s="8">
        <f t="shared" si="0"/>
        <v>77.2070968153037</v>
      </c>
      <c r="N13" s="8">
        <f t="shared" si="1"/>
        <v>2.3151288395389544</v>
      </c>
      <c r="O13">
        <f t="shared" si="2"/>
        <v>14.431257592685794</v>
      </c>
    </row>
    <row r="14" spans="1:15">
      <c r="A14" s="1" t="s">
        <v>12</v>
      </c>
      <c r="B14" s="3">
        <v>0</v>
      </c>
      <c r="C14" s="3">
        <v>0</v>
      </c>
      <c r="D14" s="3">
        <v>233.54114362682066</v>
      </c>
      <c r="E14" s="3">
        <v>1070.8779999999999</v>
      </c>
      <c r="F14" s="3">
        <v>10.493999999999998</v>
      </c>
      <c r="G14" s="3">
        <v>22.164762931034488</v>
      </c>
      <c r="H14" s="3">
        <v>90.479346264367834</v>
      </c>
      <c r="I14" s="3">
        <v>16.918031609195406</v>
      </c>
      <c r="J14" s="3">
        <v>1444.4752844314182</v>
      </c>
      <c r="K14" s="3">
        <v>203.40050205761304</v>
      </c>
      <c r="L14" s="3">
        <v>307.90050205761349</v>
      </c>
      <c r="M14" s="8">
        <f t="shared" si="0"/>
        <v>74.136124829683354</v>
      </c>
      <c r="N14" s="8">
        <f t="shared" si="1"/>
        <v>5.1592793006123356</v>
      </c>
      <c r="O14">
        <f t="shared" si="2"/>
        <v>16.167887823622287</v>
      </c>
    </row>
    <row r="15" spans="1:15">
      <c r="A15" s="1" t="s">
        <v>13</v>
      </c>
      <c r="B15" s="3">
        <v>0</v>
      </c>
      <c r="C15" s="3">
        <v>0</v>
      </c>
      <c r="D15" s="3">
        <v>228.51297767893726</v>
      </c>
      <c r="E15" s="3">
        <v>1070.8779999999999</v>
      </c>
      <c r="F15" s="3">
        <v>6.5729999999999995</v>
      </c>
      <c r="G15" s="3">
        <v>22.164762931034488</v>
      </c>
      <c r="H15" s="3">
        <v>90.479346264367834</v>
      </c>
      <c r="I15" s="3">
        <v>16.918031609195406</v>
      </c>
      <c r="J15" s="3">
        <v>1435.5261184835351</v>
      </c>
      <c r="K15" s="3">
        <v>203.40050205761304</v>
      </c>
      <c r="L15" s="3">
        <v>307.90050205761349</v>
      </c>
      <c r="M15" s="8">
        <f t="shared" si="0"/>
        <v>74.598294396151914</v>
      </c>
      <c r="N15" s="8">
        <f t="shared" si="1"/>
        <v>3.2315554452949193</v>
      </c>
      <c r="O15">
        <f t="shared" si="2"/>
        <v>15.918413098629959</v>
      </c>
    </row>
    <row r="16" spans="1:15">
      <c r="A16" s="1" t="s">
        <v>14</v>
      </c>
      <c r="B16" s="3">
        <v>0</v>
      </c>
      <c r="C16" s="3">
        <v>0</v>
      </c>
      <c r="D16" s="3">
        <v>227.18610055380134</v>
      </c>
      <c r="E16" s="3">
        <v>1070.8779999999999</v>
      </c>
      <c r="F16" s="3">
        <v>6.7559999999999993</v>
      </c>
      <c r="G16" s="3">
        <v>22.164762931034488</v>
      </c>
      <c r="H16" s="3">
        <v>90.479346264367834</v>
      </c>
      <c r="I16" s="3">
        <v>16.918031609195406</v>
      </c>
      <c r="J16" s="3">
        <v>1434.3822413583991</v>
      </c>
      <c r="K16" s="3">
        <v>203.40050205761327</v>
      </c>
      <c r="L16" s="3">
        <v>307.90050205761349</v>
      </c>
      <c r="M16" s="8">
        <f t="shared" si="0"/>
        <v>74.657784314580553</v>
      </c>
      <c r="N16" s="8">
        <f t="shared" si="1"/>
        <v>3.3215257246938164</v>
      </c>
      <c r="O16">
        <f t="shared" si="2"/>
        <v>15.838602431291251</v>
      </c>
    </row>
    <row r="17" spans="1:15">
      <c r="A17" s="1" t="s">
        <v>15</v>
      </c>
      <c r="B17" s="3">
        <v>0</v>
      </c>
      <c r="C17" s="3">
        <v>0</v>
      </c>
      <c r="D17" s="3">
        <v>222.99596226389855</v>
      </c>
      <c r="E17" s="3">
        <v>1070.8779999999999</v>
      </c>
      <c r="F17" s="3">
        <v>5.1150000000000002</v>
      </c>
      <c r="G17" s="3">
        <v>22.164762931034488</v>
      </c>
      <c r="H17" s="3">
        <v>90.479346264367834</v>
      </c>
      <c r="I17" s="3">
        <v>16.918031609195406</v>
      </c>
      <c r="J17" s="3">
        <v>1428.5511030684963</v>
      </c>
      <c r="K17" s="3">
        <v>203.40050205761304</v>
      </c>
      <c r="L17" s="3">
        <v>307.90050205761349</v>
      </c>
      <c r="M17" s="8">
        <f t="shared" si="0"/>
        <v>74.962526555737313</v>
      </c>
      <c r="N17" s="8">
        <f t="shared" si="1"/>
        <v>2.5147430553299128</v>
      </c>
      <c r="O17">
        <f t="shared" si="2"/>
        <v>15.609939454382005</v>
      </c>
    </row>
    <row r="18" spans="1:15">
      <c r="A18" s="1" t="s">
        <v>16</v>
      </c>
      <c r="B18" s="3">
        <v>0</v>
      </c>
      <c r="C18" s="3">
        <v>0</v>
      </c>
      <c r="D18" s="3">
        <v>219.22483780298597</v>
      </c>
      <c r="E18" s="3">
        <v>1070.8779999999999</v>
      </c>
      <c r="F18" s="3">
        <v>5.28</v>
      </c>
      <c r="G18" s="3">
        <v>22.164762931034488</v>
      </c>
      <c r="H18" s="3">
        <v>90.479346264367834</v>
      </c>
      <c r="I18" s="3">
        <v>16.918031609195406</v>
      </c>
      <c r="J18" s="3">
        <v>1424.9449786075836</v>
      </c>
      <c r="K18" s="3">
        <v>203.40050205761327</v>
      </c>
      <c r="L18" s="3">
        <v>307.90050205761327</v>
      </c>
      <c r="M18" s="8">
        <f t="shared" si="0"/>
        <v>75.152235074117186</v>
      </c>
      <c r="N18" s="8">
        <f t="shared" si="1"/>
        <v>2.59586379905023</v>
      </c>
      <c r="O18">
        <f t="shared" si="2"/>
        <v>15.38479317406391</v>
      </c>
    </row>
    <row r="19" spans="1:15">
      <c r="A19" s="1" t="s">
        <v>17</v>
      </c>
      <c r="B19" s="3">
        <v>0</v>
      </c>
      <c r="C19" s="3">
        <v>0</v>
      </c>
      <c r="D19" s="3">
        <v>220.41204365179178</v>
      </c>
      <c r="E19" s="3">
        <v>1070.8779999999999</v>
      </c>
      <c r="F19" s="3">
        <v>7.8689999999999989</v>
      </c>
      <c r="G19" s="3">
        <v>22.164762931034488</v>
      </c>
      <c r="H19" s="3">
        <v>90.479346264367834</v>
      </c>
      <c r="I19" s="3">
        <v>16.918031609195406</v>
      </c>
      <c r="J19" s="3">
        <v>1428.7211844563892</v>
      </c>
      <c r="K19" s="3">
        <v>203.40050205761304</v>
      </c>
      <c r="L19" s="3">
        <v>307.90050205761349</v>
      </c>
      <c r="M19" s="8">
        <f t="shared" si="0"/>
        <v>74.953602679829771</v>
      </c>
      <c r="N19" s="8">
        <f t="shared" si="1"/>
        <v>3.8687220141527034</v>
      </c>
      <c r="O19">
        <f t="shared" si="2"/>
        <v>15.427225833125435</v>
      </c>
    </row>
    <row r="20" spans="1:15">
      <c r="A20" s="1" t="s">
        <v>18</v>
      </c>
      <c r="B20" s="3">
        <v>0</v>
      </c>
      <c r="C20" s="3">
        <v>0</v>
      </c>
      <c r="D20" s="3">
        <v>220.761221842617</v>
      </c>
      <c r="E20" s="3">
        <v>1070.8779999999999</v>
      </c>
      <c r="F20" s="3">
        <v>9.020999999999999</v>
      </c>
      <c r="G20" s="3">
        <v>22.164762931034488</v>
      </c>
      <c r="H20" s="3">
        <v>90.479346264367834</v>
      </c>
      <c r="I20" s="3">
        <v>16.918031609195406</v>
      </c>
      <c r="J20" s="3">
        <v>1430.2223626472148</v>
      </c>
      <c r="K20" s="3">
        <v>203.40050205761304</v>
      </c>
      <c r="L20" s="3">
        <v>307.90050205761349</v>
      </c>
      <c r="M20" s="8">
        <f t="shared" si="0"/>
        <v>74.874930498073027</v>
      </c>
      <c r="N20" s="8">
        <f t="shared" si="1"/>
        <v>4.4350922975818454</v>
      </c>
      <c r="O20">
        <f t="shared" si="2"/>
        <v>15.435447494612484</v>
      </c>
    </row>
    <row r="21" spans="1:15">
      <c r="A21" s="1" t="s">
        <v>19</v>
      </c>
      <c r="B21" s="3">
        <v>0</v>
      </c>
      <c r="C21" s="3">
        <v>0</v>
      </c>
      <c r="D21" s="3">
        <v>228.16379948811206</v>
      </c>
      <c r="E21" s="3">
        <v>1070.8779999999999</v>
      </c>
      <c r="F21" s="3">
        <v>10.467000000000001</v>
      </c>
      <c r="G21" s="3">
        <v>22.164762931034488</v>
      </c>
      <c r="H21" s="3">
        <v>90.479346264367834</v>
      </c>
      <c r="I21" s="3">
        <v>16.918031609195406</v>
      </c>
      <c r="J21" s="3">
        <v>1439.0709402927098</v>
      </c>
      <c r="K21" s="3">
        <v>203.40050205761327</v>
      </c>
      <c r="L21" s="3">
        <v>307.90050205761327</v>
      </c>
      <c r="M21" s="8">
        <f t="shared" si="0"/>
        <v>74.414538575991358</v>
      </c>
      <c r="N21" s="8">
        <f t="shared" si="1"/>
        <v>5.1460049970944608</v>
      </c>
      <c r="O21">
        <f t="shared" si="2"/>
        <v>15.854937592006626</v>
      </c>
    </row>
    <row r="22" spans="1:15">
      <c r="A22" s="1" t="s">
        <v>20</v>
      </c>
      <c r="B22" s="3">
        <v>0</v>
      </c>
      <c r="C22" s="3">
        <v>0</v>
      </c>
      <c r="D22" s="3">
        <v>235.7758840481022</v>
      </c>
      <c r="E22" s="3">
        <v>1070.8779999999999</v>
      </c>
      <c r="F22" s="3">
        <v>13.103999999999999</v>
      </c>
      <c r="G22" s="3">
        <v>22.164762931034488</v>
      </c>
      <c r="H22" s="3">
        <v>90.479346264367834</v>
      </c>
      <c r="I22" s="3">
        <v>16.918031609195406</v>
      </c>
      <c r="J22" s="3">
        <v>1449.3200248526998</v>
      </c>
      <c r="K22" s="3">
        <v>203.40050205761304</v>
      </c>
      <c r="L22" s="3">
        <v>307.90050205761349</v>
      </c>
      <c r="M22" s="8">
        <f t="shared" si="0"/>
        <v>73.888304973143363</v>
      </c>
      <c r="N22" s="8">
        <f t="shared" si="1"/>
        <v>6.4424619740064859</v>
      </c>
      <c r="O22">
        <f t="shared" si="2"/>
        <v>16.268034664881213</v>
      </c>
    </row>
    <row r="23" spans="1:15">
      <c r="A23" s="1" t="s">
        <v>21</v>
      </c>
      <c r="B23" s="3">
        <v>0</v>
      </c>
      <c r="C23" s="3">
        <v>0</v>
      </c>
      <c r="D23" s="3">
        <v>242.34043403561668</v>
      </c>
      <c r="E23" s="3">
        <v>1070.8779999999999</v>
      </c>
      <c r="F23" s="3">
        <v>10.188000000000001</v>
      </c>
      <c r="G23" s="3">
        <v>22.164762931034488</v>
      </c>
      <c r="H23" s="3">
        <v>90.479346264367834</v>
      </c>
      <c r="I23" s="3">
        <v>16.918031609195406</v>
      </c>
      <c r="J23" s="3">
        <v>1452.9685748402146</v>
      </c>
      <c r="K23" s="3">
        <v>203.40050205761304</v>
      </c>
      <c r="L23" s="3">
        <v>307.90050205761349</v>
      </c>
      <c r="M23" s="8">
        <f t="shared" si="0"/>
        <v>73.702764020052271</v>
      </c>
      <c r="N23" s="8">
        <f t="shared" si="1"/>
        <v>5.008837194076472</v>
      </c>
      <c r="O23">
        <f t="shared" si="2"/>
        <v>16.678986609346815</v>
      </c>
    </row>
    <row r="24" spans="1:15">
      <c r="A24" s="1" t="s">
        <v>22</v>
      </c>
      <c r="B24" s="3">
        <v>0</v>
      </c>
      <c r="C24" s="3">
        <v>0</v>
      </c>
      <c r="D24" s="3">
        <v>241.99125584479143</v>
      </c>
      <c r="E24" s="3">
        <v>1070.8779999999999</v>
      </c>
      <c r="F24" s="3">
        <v>11.639999999999999</v>
      </c>
      <c r="G24" s="3">
        <v>22.164762931034488</v>
      </c>
      <c r="H24" s="3">
        <v>90.479346264367834</v>
      </c>
      <c r="I24" s="3">
        <v>16.918031609195406</v>
      </c>
      <c r="J24" s="3">
        <v>1454.0713966493893</v>
      </c>
      <c r="K24" s="3">
        <v>203.40050205761304</v>
      </c>
      <c r="L24" s="3">
        <v>307.90050205761349</v>
      </c>
      <c r="M24" s="8">
        <f t="shared" si="0"/>
        <v>73.646865103571926</v>
      </c>
      <c r="N24" s="8">
        <f t="shared" si="1"/>
        <v>5.7226997388152849</v>
      </c>
      <c r="O24">
        <f t="shared" si="2"/>
        <v>16.642322818701398</v>
      </c>
    </row>
    <row r="25" spans="1:15">
      <c r="A25" s="1" t="s">
        <v>23</v>
      </c>
      <c r="B25" s="3">
        <v>0</v>
      </c>
      <c r="C25" s="3">
        <v>0</v>
      </c>
      <c r="D25" s="3">
        <v>249.11449093762627</v>
      </c>
      <c r="E25" s="3">
        <v>1070.8779999999999</v>
      </c>
      <c r="F25" s="3">
        <v>13.065</v>
      </c>
      <c r="G25" s="3">
        <v>22.164762931034488</v>
      </c>
      <c r="H25" s="3">
        <v>90.479346264367834</v>
      </c>
      <c r="I25" s="3">
        <v>16.918031609195406</v>
      </c>
      <c r="J25" s="3">
        <v>1462.6196317422239</v>
      </c>
      <c r="K25" s="3">
        <v>203.40050205761304</v>
      </c>
      <c r="L25" s="3">
        <v>307.90050205761349</v>
      </c>
      <c r="M25" s="8">
        <f t="shared" si="0"/>
        <v>73.216438283711923</v>
      </c>
      <c r="N25" s="8">
        <f t="shared" si="1"/>
        <v>6.4232879800362284</v>
      </c>
      <c r="O25">
        <f t="shared" si="2"/>
        <v>17.032076250808242</v>
      </c>
    </row>
    <row r="26" spans="1:15">
      <c r="A26" s="1" t="s">
        <v>24</v>
      </c>
      <c r="B26" s="3">
        <v>0</v>
      </c>
      <c r="C26" s="3">
        <v>0</v>
      </c>
      <c r="D26" s="3">
        <v>298.00145717950039</v>
      </c>
      <c r="E26" s="3">
        <v>1021.9720000000001</v>
      </c>
      <c r="F26" s="3">
        <v>15.837</v>
      </c>
      <c r="G26" s="3">
        <v>26.321120689655174</v>
      </c>
      <c r="H26" s="3">
        <v>107.44612068965519</v>
      </c>
      <c r="I26" s="3">
        <v>20.090517241379313</v>
      </c>
      <c r="J26" s="3">
        <v>1489.66821580019</v>
      </c>
      <c r="K26" s="3">
        <v>284.64641975308655</v>
      </c>
      <c r="L26" s="3">
        <v>295.09641975308637</v>
      </c>
      <c r="M26" s="8">
        <f t="shared" si="0"/>
        <v>68.60400115679704</v>
      </c>
      <c r="N26" s="8">
        <f t="shared" si="1"/>
        <v>5.5637446674149746</v>
      </c>
      <c r="O26">
        <f t="shared" si="2"/>
        <v>20.00455229015046</v>
      </c>
    </row>
    <row r="27" spans="1:15">
      <c r="A27" s="1" t="s">
        <v>25</v>
      </c>
      <c r="B27" s="3">
        <v>0</v>
      </c>
      <c r="C27" s="3">
        <v>0</v>
      </c>
      <c r="D27" s="3">
        <v>290.24970134318011</v>
      </c>
      <c r="E27" s="3">
        <v>1021.9720000000001</v>
      </c>
      <c r="F27" s="3">
        <v>14.613</v>
      </c>
      <c r="G27" s="3">
        <v>26.321120689655174</v>
      </c>
      <c r="H27" s="3">
        <v>107.44612068965519</v>
      </c>
      <c r="I27" s="3">
        <v>20.090517241379313</v>
      </c>
      <c r="J27" s="3">
        <v>1480.6924599638699</v>
      </c>
      <c r="K27" s="3">
        <v>284.64641975308632</v>
      </c>
      <c r="L27" s="3">
        <v>295.09641975308637</v>
      </c>
      <c r="M27" s="8">
        <f t="shared" si="0"/>
        <v>69.019869259342144</v>
      </c>
      <c r="N27" s="8">
        <f t="shared" si="1"/>
        <v>5.1337375023637746</v>
      </c>
      <c r="O27">
        <f t="shared" si="2"/>
        <v>19.602294817538439</v>
      </c>
    </row>
    <row r="28" spans="1:15">
      <c r="A28" s="1" t="s">
        <v>26</v>
      </c>
      <c r="B28" s="3">
        <v>0</v>
      </c>
      <c r="C28" s="3">
        <v>0</v>
      </c>
      <c r="D28" s="3">
        <v>290.04019442868497</v>
      </c>
      <c r="E28" s="3">
        <v>1021.9720000000001</v>
      </c>
      <c r="F28" s="3">
        <v>14.154</v>
      </c>
      <c r="G28" s="3">
        <v>26.321120689655174</v>
      </c>
      <c r="H28" s="3">
        <v>107.44612068965519</v>
      </c>
      <c r="I28" s="3">
        <v>20.090517241379313</v>
      </c>
      <c r="J28" s="3">
        <v>1480.0239530493745</v>
      </c>
      <c r="K28" s="3">
        <v>284.64641975308655</v>
      </c>
      <c r="L28" s="3">
        <v>295.09641975308659</v>
      </c>
      <c r="M28" s="8">
        <f t="shared" si="0"/>
        <v>69.051044606026494</v>
      </c>
      <c r="N28" s="8">
        <f t="shared" si="1"/>
        <v>4.9724848154695689</v>
      </c>
      <c r="O28">
        <f t="shared" si="2"/>
        <v>19.596993266973769</v>
      </c>
    </row>
    <row r="29" spans="1:15">
      <c r="A29" s="1" t="s">
        <v>27</v>
      </c>
      <c r="B29" s="3">
        <v>0</v>
      </c>
      <c r="C29" s="3">
        <v>0</v>
      </c>
      <c r="D29" s="3">
        <v>297.16342952151979</v>
      </c>
      <c r="E29" s="3">
        <v>1021.9720000000001</v>
      </c>
      <c r="F29" s="3">
        <v>16.097999999999999</v>
      </c>
      <c r="G29" s="3">
        <v>26.321120689655174</v>
      </c>
      <c r="H29" s="3">
        <v>107.44612068965519</v>
      </c>
      <c r="I29" s="3">
        <v>20.090517241379313</v>
      </c>
      <c r="J29" s="3">
        <v>1489.0911881422094</v>
      </c>
      <c r="K29" s="3">
        <v>284.64641975308632</v>
      </c>
      <c r="L29" s="3">
        <v>295.09641975308637</v>
      </c>
      <c r="M29" s="8">
        <f t="shared" si="0"/>
        <v>68.630585429426432</v>
      </c>
      <c r="N29" s="8">
        <f t="shared" si="1"/>
        <v>5.6554373717273689</v>
      </c>
      <c r="O29">
        <f t="shared" si="2"/>
        <v>19.956026325846505</v>
      </c>
    </row>
    <row r="30" spans="1:15">
      <c r="A30" s="1" t="s">
        <v>28</v>
      </c>
      <c r="B30" s="3">
        <v>0</v>
      </c>
      <c r="C30" s="3">
        <v>0</v>
      </c>
      <c r="D30" s="3">
        <v>309.45450183856815</v>
      </c>
      <c r="E30" s="3">
        <v>1021.9720000000001</v>
      </c>
      <c r="F30" s="3">
        <v>15.998999999999999</v>
      </c>
      <c r="G30" s="3">
        <v>26.321120689655174</v>
      </c>
      <c r="H30" s="3">
        <v>107.44612068965519</v>
      </c>
      <c r="I30" s="3">
        <v>20.090517241379313</v>
      </c>
      <c r="J30" s="3">
        <v>1501.2832604592577</v>
      </c>
      <c r="K30" s="3">
        <v>284.64641975308632</v>
      </c>
      <c r="L30" s="3">
        <v>295.09641975308614</v>
      </c>
      <c r="M30" s="8">
        <f t="shared" si="0"/>
        <v>68.07322954412804</v>
      </c>
      <c r="N30" s="8">
        <f t="shared" si="1"/>
        <v>5.6206573804364623</v>
      </c>
      <c r="O30">
        <f t="shared" si="2"/>
        <v>20.612665843213552</v>
      </c>
    </row>
    <row r="31" spans="1:15">
      <c r="A31" s="1" t="s">
        <v>29</v>
      </c>
      <c r="B31" s="3">
        <v>0</v>
      </c>
      <c r="C31" s="3">
        <v>0</v>
      </c>
      <c r="D31" s="3">
        <v>319.16165554350971</v>
      </c>
      <c r="E31" s="3">
        <v>1021.9720000000001</v>
      </c>
      <c r="F31" s="3">
        <v>22.238999999999997</v>
      </c>
      <c r="G31" s="3">
        <v>26.321120689655174</v>
      </c>
      <c r="H31" s="3">
        <v>107.44612068965519</v>
      </c>
      <c r="I31" s="3">
        <v>20.090517241379313</v>
      </c>
      <c r="J31" s="3">
        <v>1517.2304141641994</v>
      </c>
      <c r="K31" s="3">
        <v>284.64641975308632</v>
      </c>
      <c r="L31" s="3">
        <v>295.09641975308637</v>
      </c>
      <c r="M31" s="8">
        <f t="shared" si="0"/>
        <v>67.357732250771974</v>
      </c>
      <c r="N31" s="8">
        <f t="shared" si="1"/>
        <v>7.8128507708935855</v>
      </c>
      <c r="O31">
        <f t="shared" si="2"/>
        <v>21.035806596279386</v>
      </c>
    </row>
    <row r="32" spans="1:15">
      <c r="A32" s="1" t="s">
        <v>30</v>
      </c>
      <c r="B32" s="3">
        <v>0</v>
      </c>
      <c r="C32" s="3">
        <v>0</v>
      </c>
      <c r="D32" s="3">
        <v>334.59533157798518</v>
      </c>
      <c r="E32" s="3">
        <v>1021.9720000000001</v>
      </c>
      <c r="F32" s="3">
        <v>24.387</v>
      </c>
      <c r="G32" s="3">
        <v>26.321120689655174</v>
      </c>
      <c r="H32" s="3">
        <v>107.44612068965519</v>
      </c>
      <c r="I32" s="3">
        <v>20.090517241379313</v>
      </c>
      <c r="J32" s="3">
        <v>1534.8120901986747</v>
      </c>
      <c r="K32" s="3">
        <v>284.64641975308655</v>
      </c>
      <c r="L32" s="3">
        <v>295.09641975308637</v>
      </c>
      <c r="M32" s="8">
        <f t="shared" si="0"/>
        <v>66.58613171777337</v>
      </c>
      <c r="N32" s="8">
        <f t="shared" si="1"/>
        <v>8.5674711879932453</v>
      </c>
      <c r="O32">
        <f t="shared" si="2"/>
        <v>21.800410207524052</v>
      </c>
    </row>
    <row r="33" spans="1:15">
      <c r="A33" s="1" t="s">
        <v>31</v>
      </c>
      <c r="B33" s="3">
        <v>0</v>
      </c>
      <c r="C33" s="3">
        <v>0</v>
      </c>
      <c r="D33" s="3">
        <v>354.98733792217905</v>
      </c>
      <c r="E33" s="3">
        <v>1021.9720000000001</v>
      </c>
      <c r="F33" s="3">
        <v>24.843</v>
      </c>
      <c r="G33" s="3">
        <v>26.321120689655174</v>
      </c>
      <c r="H33" s="3">
        <v>107.44612068965519</v>
      </c>
      <c r="I33" s="3">
        <v>20.090517241379313</v>
      </c>
      <c r="J33" s="3">
        <v>1555.6600965428688</v>
      </c>
      <c r="K33" s="3">
        <v>284.64641975308632</v>
      </c>
      <c r="L33" s="3">
        <v>295.09641975308637</v>
      </c>
      <c r="M33" s="8">
        <f t="shared" si="0"/>
        <v>65.693785054403619</v>
      </c>
      <c r="N33" s="8">
        <f t="shared" si="1"/>
        <v>8.7276699357574241</v>
      </c>
      <c r="O33">
        <f t="shared" si="2"/>
        <v>22.819081026187188</v>
      </c>
    </row>
    <row r="34" spans="1:15">
      <c r="A34" s="1" t="s">
        <v>32</v>
      </c>
      <c r="B34" s="3">
        <v>0</v>
      </c>
      <c r="C34" s="3">
        <v>0</v>
      </c>
      <c r="D34" s="3">
        <v>406.73554580247912</v>
      </c>
      <c r="E34" s="3">
        <v>1021.9720000000001</v>
      </c>
      <c r="F34" s="3">
        <v>38.502000000000002</v>
      </c>
      <c r="G34" s="3">
        <v>26.321120689655174</v>
      </c>
      <c r="H34" s="3">
        <v>107.44612068965519</v>
      </c>
      <c r="I34" s="3">
        <v>20.090517241379313</v>
      </c>
      <c r="J34" s="3">
        <v>1621.0673044231687</v>
      </c>
      <c r="K34" s="3">
        <v>284.64641975308632</v>
      </c>
      <c r="L34" s="3">
        <v>295.09641975308637</v>
      </c>
      <c r="M34" s="8">
        <f t="shared" si="0"/>
        <v>63.043156642015717</v>
      </c>
      <c r="N34" s="8">
        <f t="shared" si="1"/>
        <v>13.526254794772468</v>
      </c>
      <c r="O34">
        <f t="shared" si="2"/>
        <v>25.090602018354168</v>
      </c>
    </row>
    <row r="35" spans="1:15">
      <c r="A35" s="1" t="s">
        <v>33</v>
      </c>
      <c r="B35" s="3">
        <v>0</v>
      </c>
      <c r="C35" s="3">
        <v>0</v>
      </c>
      <c r="D35" s="3">
        <v>464.07060473598312</v>
      </c>
      <c r="E35" s="3">
        <v>1021.9720000000001</v>
      </c>
      <c r="F35" s="3">
        <v>41.861999999999995</v>
      </c>
      <c r="G35" s="3">
        <v>26.321120689655174</v>
      </c>
      <c r="H35" s="3">
        <v>107.44612068965519</v>
      </c>
      <c r="I35" s="3">
        <v>20.090517241379313</v>
      </c>
      <c r="J35" s="3">
        <v>1681.7623633566729</v>
      </c>
      <c r="K35" s="3">
        <v>284.64641975308655</v>
      </c>
      <c r="L35" s="3">
        <v>295.09641975308637</v>
      </c>
      <c r="M35" s="8">
        <f t="shared" si="0"/>
        <v>60.767919550787177</v>
      </c>
      <c r="N35" s="8">
        <f t="shared" si="1"/>
        <v>14.706666620403212</v>
      </c>
      <c r="O35">
        <f t="shared" si="2"/>
        <v>27.594303145762677</v>
      </c>
    </row>
    <row r="36" spans="1:15">
      <c r="A36" s="1" t="s">
        <v>34</v>
      </c>
      <c r="B36" s="3">
        <v>0</v>
      </c>
      <c r="C36" s="3">
        <v>0</v>
      </c>
      <c r="D36" s="3">
        <v>440.11698084537187</v>
      </c>
      <c r="E36" s="3">
        <v>1021.9720000000001</v>
      </c>
      <c r="F36" s="3">
        <v>52.875</v>
      </c>
      <c r="G36" s="3">
        <v>26.321120689655174</v>
      </c>
      <c r="H36" s="3">
        <v>107.44612068965519</v>
      </c>
      <c r="I36" s="3">
        <v>20.090517241379313</v>
      </c>
      <c r="J36" s="3">
        <v>1668.8217394660614</v>
      </c>
      <c r="K36" s="3">
        <v>284.64641975308655</v>
      </c>
      <c r="L36" s="3">
        <v>295.09641975308637</v>
      </c>
      <c r="M36" s="8">
        <f t="shared" si="0"/>
        <v>61.23913512338229</v>
      </c>
      <c r="N36" s="8">
        <f t="shared" si="1"/>
        <v>18.575677166734028</v>
      </c>
      <c r="O36">
        <f t="shared" si="2"/>
        <v>26.37291751641413</v>
      </c>
    </row>
    <row r="37" spans="1:15">
      <c r="A37" s="1" t="s">
        <v>35</v>
      </c>
      <c r="B37" s="3">
        <v>0</v>
      </c>
      <c r="C37" s="3">
        <v>0</v>
      </c>
      <c r="D37" s="3">
        <v>512.81588017518618</v>
      </c>
      <c r="E37" s="3">
        <v>1021.9720000000001</v>
      </c>
      <c r="F37" s="3">
        <v>66.287999999999997</v>
      </c>
      <c r="G37" s="3">
        <v>26.321120689655174</v>
      </c>
      <c r="H37" s="3">
        <v>107.44612068965519</v>
      </c>
      <c r="I37" s="3">
        <v>20.090517241379313</v>
      </c>
      <c r="J37" s="3">
        <v>1754.9336387958758</v>
      </c>
      <c r="K37" s="3">
        <v>284.64641975308632</v>
      </c>
      <c r="L37" s="3">
        <v>295.09641975308637</v>
      </c>
      <c r="M37" s="8">
        <f t="shared" si="0"/>
        <v>58.234224782494479</v>
      </c>
      <c r="N37" s="8">
        <f t="shared" si="1"/>
        <v>23.287839017086835</v>
      </c>
      <c r="O37">
        <f t="shared" si="2"/>
        <v>29.221383010644658</v>
      </c>
    </row>
    <row r="38" spans="1:15">
      <c r="A38" s="1" t="s">
        <v>36</v>
      </c>
      <c r="B38" s="3">
        <v>0</v>
      </c>
      <c r="C38" s="3">
        <v>0</v>
      </c>
      <c r="D38" s="3">
        <v>482.82345156303302</v>
      </c>
      <c r="E38" s="3">
        <v>1180.0312288135592</v>
      </c>
      <c r="F38" s="3">
        <v>50.360999999999997</v>
      </c>
      <c r="G38" s="3">
        <v>30.391971982758623</v>
      </c>
      <c r="H38" s="3">
        <v>124.06384698275863</v>
      </c>
      <c r="I38" s="3">
        <v>23.19773706896552</v>
      </c>
      <c r="J38" s="3">
        <v>1890.869236411075</v>
      </c>
      <c r="K38" s="3">
        <v>328.670124503034</v>
      </c>
      <c r="L38" s="3">
        <v>340.73633213015296</v>
      </c>
      <c r="M38" s="8">
        <f t="shared" si="0"/>
        <v>62.406813019671993</v>
      </c>
      <c r="N38" s="8">
        <f t="shared" si="1"/>
        <v>15.322658265988853</v>
      </c>
      <c r="O38">
        <f t="shared" si="2"/>
        <v>25.534470722018092</v>
      </c>
    </row>
    <row r="39" spans="1:15">
      <c r="A39" s="1" t="s">
        <v>37</v>
      </c>
      <c r="B39" s="3">
        <v>0</v>
      </c>
      <c r="C39" s="3">
        <v>0</v>
      </c>
      <c r="D39" s="3">
        <v>475.6303808320331</v>
      </c>
      <c r="E39" s="3">
        <v>1180.0312288135592</v>
      </c>
      <c r="F39" s="3">
        <v>38.634</v>
      </c>
      <c r="G39" s="3">
        <v>30.391971982758623</v>
      </c>
      <c r="H39" s="3">
        <v>124.06384698275863</v>
      </c>
      <c r="I39" s="3">
        <v>23.19773706896552</v>
      </c>
      <c r="J39" s="3">
        <v>1871.9491656800751</v>
      </c>
      <c r="K39" s="3">
        <v>328.670124503034</v>
      </c>
      <c r="L39" s="3">
        <v>340.73633213015273</v>
      </c>
      <c r="M39" s="8">
        <f t="shared" si="0"/>
        <v>63.037568030585724</v>
      </c>
      <c r="N39" s="8">
        <f t="shared" si="1"/>
        <v>11.754643066027549</v>
      </c>
      <c r="O39">
        <f t="shared" si="2"/>
        <v>25.408295778119466</v>
      </c>
    </row>
    <row r="40" spans="1:15">
      <c r="A40" s="1" t="s">
        <v>38</v>
      </c>
      <c r="B40" s="3">
        <v>0</v>
      </c>
      <c r="C40" s="3">
        <v>0</v>
      </c>
      <c r="D40" s="3">
        <v>581.50120829024502</v>
      </c>
      <c r="E40" s="3">
        <v>1180.0312288135592</v>
      </c>
      <c r="F40" s="3">
        <v>75.527999999999992</v>
      </c>
      <c r="G40" s="3">
        <v>30.391971982758623</v>
      </c>
      <c r="H40" s="3">
        <v>124.06384698275863</v>
      </c>
      <c r="I40" s="3">
        <v>23.19773706896552</v>
      </c>
      <c r="J40" s="3">
        <v>2014.7139931382869</v>
      </c>
      <c r="K40" s="3">
        <v>328.670124503034</v>
      </c>
      <c r="L40" s="3">
        <v>340.73633213015296</v>
      </c>
      <c r="M40" s="8">
        <f t="shared" si="0"/>
        <v>58.570657315753479</v>
      </c>
      <c r="N40" s="8">
        <f t="shared" si="1"/>
        <v>22.979879937126071</v>
      </c>
      <c r="O40">
        <f t="shared" si="2"/>
        <v>28.862717500882106</v>
      </c>
    </row>
    <row r="41" spans="1:15">
      <c r="A41" s="1" t="s">
        <v>39</v>
      </c>
      <c r="B41" s="3">
        <v>0</v>
      </c>
      <c r="C41" s="3">
        <v>0</v>
      </c>
      <c r="D41" s="3">
        <v>510.33869300006177</v>
      </c>
      <c r="E41" s="3">
        <v>1180.0312288135592</v>
      </c>
      <c r="F41" s="3">
        <v>49.8</v>
      </c>
      <c r="G41" s="3">
        <v>30.391971982758623</v>
      </c>
      <c r="H41" s="3">
        <v>124.06384698275863</v>
      </c>
      <c r="I41" s="3">
        <v>23.19773706896552</v>
      </c>
      <c r="J41" s="3">
        <v>1917.8234778481037</v>
      </c>
      <c r="K41" s="3">
        <v>328.670124503034</v>
      </c>
      <c r="L41" s="3">
        <v>340.73633213015273</v>
      </c>
      <c r="M41" s="8">
        <f t="shared" si="0"/>
        <v>61.52971023890138</v>
      </c>
      <c r="N41" s="8">
        <f t="shared" si="1"/>
        <v>15.151970406589324</v>
      </c>
      <c r="O41">
        <f t="shared" si="2"/>
        <v>26.610305843825</v>
      </c>
    </row>
    <row r="42" spans="1:15">
      <c r="A42" s="1" t="s">
        <v>40</v>
      </c>
      <c r="B42" s="3">
        <v>0</v>
      </c>
      <c r="C42" s="3">
        <v>0</v>
      </c>
      <c r="D42" s="3">
        <v>489.17849463605228</v>
      </c>
      <c r="E42" s="3">
        <v>1180.0312288135592</v>
      </c>
      <c r="F42" s="3">
        <v>53.252999999999993</v>
      </c>
      <c r="G42" s="3">
        <v>30.391971982758623</v>
      </c>
      <c r="H42" s="3">
        <v>124.06384698275863</v>
      </c>
      <c r="I42" s="3">
        <v>23.19773706896552</v>
      </c>
      <c r="J42" s="3">
        <v>1900.1162794840941</v>
      </c>
      <c r="K42" s="3">
        <v>328.670124503034</v>
      </c>
      <c r="L42" s="3">
        <v>340.73633213015296</v>
      </c>
      <c r="M42" s="8">
        <f t="shared" si="0"/>
        <v>62.103106086431339</v>
      </c>
      <c r="N42" s="8">
        <f t="shared" si="1"/>
        <v>16.202567872732956</v>
      </c>
      <c r="O42">
        <f t="shared" si="2"/>
        <v>25.744660993529855</v>
      </c>
    </row>
    <row r="43" spans="1:15">
      <c r="A43" s="1" t="s">
        <v>41</v>
      </c>
      <c r="B43" s="3">
        <v>0</v>
      </c>
      <c r="C43" s="3">
        <v>0</v>
      </c>
      <c r="D43" s="3">
        <v>519.83633979050819</v>
      </c>
      <c r="E43" s="3">
        <v>1180.0312288135592</v>
      </c>
      <c r="F43" s="3">
        <v>65.453999999999994</v>
      </c>
      <c r="G43" s="3">
        <v>30.391971982758623</v>
      </c>
      <c r="H43" s="3">
        <v>124.06384698275863</v>
      </c>
      <c r="I43" s="3">
        <v>23.19773706896552</v>
      </c>
      <c r="J43" s="3">
        <v>1942.9751246385501</v>
      </c>
      <c r="K43" s="3">
        <v>328.670124503034</v>
      </c>
      <c r="L43" s="3">
        <v>340.73633213015296</v>
      </c>
      <c r="M43" s="8">
        <f t="shared" si="0"/>
        <v>60.73321340298061</v>
      </c>
      <c r="N43" s="8">
        <f t="shared" si="1"/>
        <v>19.914800622347339</v>
      </c>
      <c r="O43">
        <f t="shared" si="2"/>
        <v>26.754657493991996</v>
      </c>
    </row>
    <row r="44" spans="1:15">
      <c r="A44" s="1" t="s">
        <v>42</v>
      </c>
      <c r="B44" s="3">
        <v>0</v>
      </c>
      <c r="C44" s="3">
        <v>0</v>
      </c>
      <c r="D44" s="3">
        <v>643.93426880979735</v>
      </c>
      <c r="E44" s="3">
        <v>1180.0312288135592</v>
      </c>
      <c r="F44" s="3">
        <v>94.577999999999989</v>
      </c>
      <c r="G44" s="3">
        <v>30.391971982758623</v>
      </c>
      <c r="H44" s="3">
        <v>124.06384698275863</v>
      </c>
      <c r="I44" s="3">
        <v>23.19773706896552</v>
      </c>
      <c r="J44" s="3">
        <v>2096.1970536578392</v>
      </c>
      <c r="K44" s="3">
        <v>328.670124503034</v>
      </c>
      <c r="L44" s="3">
        <v>340.73633213015273</v>
      </c>
      <c r="M44" s="8">
        <f t="shared" si="0"/>
        <v>56.293907424133558</v>
      </c>
      <c r="N44" s="8">
        <f t="shared" si="1"/>
        <v>28.775965002297287</v>
      </c>
      <c r="O44">
        <f t="shared" si="2"/>
        <v>30.719166773283057</v>
      </c>
    </row>
    <row r="45" spans="1:15">
      <c r="A45" s="1" t="s">
        <v>43</v>
      </c>
      <c r="B45" s="3">
        <v>0</v>
      </c>
      <c r="C45" s="3">
        <v>0</v>
      </c>
      <c r="D45" s="3">
        <v>774.59674781660101</v>
      </c>
      <c r="E45" s="3">
        <v>1180.0312288135592</v>
      </c>
      <c r="F45" s="3">
        <v>140.80500000000001</v>
      </c>
      <c r="G45" s="3">
        <v>30.391971982758623</v>
      </c>
      <c r="H45" s="3">
        <v>124.06384698275863</v>
      </c>
      <c r="I45" s="3">
        <v>23.19773706896552</v>
      </c>
      <c r="J45" s="3">
        <v>2273.0865326646431</v>
      </c>
      <c r="K45" s="3">
        <v>328.67012450303378</v>
      </c>
      <c r="L45" s="3">
        <v>340.73633213015319</v>
      </c>
      <c r="M45" s="8">
        <f t="shared" si="0"/>
        <v>51.913167926355122</v>
      </c>
      <c r="N45" s="8">
        <f t="shared" si="1"/>
        <v>42.840827170678942</v>
      </c>
      <c r="O45">
        <f t="shared" si="2"/>
        <v>34.076870224054957</v>
      </c>
    </row>
    <row r="46" spans="1:15">
      <c r="A46" s="1" t="s">
        <v>44</v>
      </c>
      <c r="B46" s="3">
        <v>0</v>
      </c>
      <c r="C46" s="3">
        <v>0</v>
      </c>
      <c r="D46" s="3">
        <v>698.19655966403911</v>
      </c>
      <c r="E46" s="3">
        <v>1180.0312288135592</v>
      </c>
      <c r="F46" s="3">
        <v>108.054</v>
      </c>
      <c r="G46" s="3">
        <v>30.391971982758623</v>
      </c>
      <c r="H46" s="3">
        <v>124.06384698275863</v>
      </c>
      <c r="I46" s="3">
        <v>23.19773706896552</v>
      </c>
      <c r="J46" s="3">
        <v>2163.9353445120814</v>
      </c>
      <c r="K46" s="3">
        <v>328.67012450303378</v>
      </c>
      <c r="L46" s="3">
        <v>340.73633213015273</v>
      </c>
      <c r="M46" s="8">
        <f t="shared" si="0"/>
        <v>54.531723039055478</v>
      </c>
      <c r="N46" s="8">
        <f t="shared" si="1"/>
        <v>32.876124705092451</v>
      </c>
      <c r="O46">
        <f t="shared" si="2"/>
        <v>32.265130353119062</v>
      </c>
    </row>
    <row r="47" spans="1:15">
      <c r="A47" s="1" t="s">
        <v>59</v>
      </c>
      <c r="B47" s="3">
        <v>0</v>
      </c>
      <c r="C47" s="3">
        <v>0</v>
      </c>
      <c r="D47" s="3">
        <v>557.96659822862398</v>
      </c>
      <c r="E47" s="3">
        <v>1180.0312288135592</v>
      </c>
      <c r="F47" s="3">
        <v>47.333999999999996</v>
      </c>
      <c r="G47" s="3">
        <v>30.391971982758623</v>
      </c>
      <c r="H47" s="3">
        <v>124.06384698275863</v>
      </c>
      <c r="I47" s="3">
        <v>23.19773706896552</v>
      </c>
      <c r="J47" s="3">
        <v>1962.985383076666</v>
      </c>
      <c r="K47" s="3">
        <v>328.670124503034</v>
      </c>
      <c r="L47" s="3">
        <v>340.73633213015273</v>
      </c>
      <c r="M47" s="8">
        <f t="shared" si="0"/>
        <v>60.11411185161495</v>
      </c>
      <c r="N47" s="8">
        <f t="shared" si="1"/>
        <v>14.40167404067267</v>
      </c>
      <c r="O47">
        <f t="shared" si="2"/>
        <v>28.424388843593956</v>
      </c>
    </row>
    <row r="48" spans="1:15">
      <c r="A48" s="1" t="s">
        <v>60</v>
      </c>
      <c r="B48" s="3">
        <v>0</v>
      </c>
      <c r="C48" s="3">
        <v>0</v>
      </c>
      <c r="D48" s="3">
        <v>534.92083763415837</v>
      </c>
      <c r="E48" s="3">
        <v>1180.0312288135592</v>
      </c>
      <c r="F48" s="3">
        <v>52.634999999999998</v>
      </c>
      <c r="G48" s="3">
        <v>30.391971982758623</v>
      </c>
      <c r="H48" s="3">
        <v>124.06384698275863</v>
      </c>
      <c r="I48" s="3">
        <v>23.19773706896552</v>
      </c>
      <c r="J48" s="3">
        <v>1945.2406224822005</v>
      </c>
      <c r="K48" s="3">
        <v>328.670124503034</v>
      </c>
      <c r="L48" s="3">
        <v>340.73633213015296</v>
      </c>
      <c r="M48" s="8">
        <f t="shared" si="0"/>
        <v>60.662481297958649</v>
      </c>
      <c r="N48" s="8">
        <f t="shared" si="1"/>
        <v>16.014537396602993</v>
      </c>
      <c r="O48">
        <f t="shared" si="2"/>
        <v>27.498954702661884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workbookViewId="0">
      <selection activeCell="M2" sqref="M2"/>
    </sheetView>
  </sheetViews>
  <sheetFormatPr defaultRowHeight="14.4"/>
  <cols>
    <col min="2" max="3" width="2.109375" bestFit="1" customWidth="1"/>
    <col min="4" max="4" width="11.6640625" customWidth="1"/>
    <col min="5" max="5" width="10.6640625" customWidth="1"/>
    <col min="6" max="6" width="7.6640625" customWidth="1"/>
    <col min="7" max="12" width="11.6640625" customWidth="1"/>
  </cols>
  <sheetData>
    <row r="1" spans="1:12">
      <c r="A1" s="1"/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s="1" t="s">
        <v>0</v>
      </c>
      <c r="B2">
        <v>0</v>
      </c>
      <c r="C2">
        <v>0</v>
      </c>
      <c r="D2">
        <v>263.11674051000131</v>
      </c>
      <c r="E2">
        <v>1751.1350000000002</v>
      </c>
      <c r="F2">
        <v>14.822999999999999</v>
      </c>
      <c r="G2">
        <v>22.584859913793107</v>
      </c>
      <c r="H2">
        <v>92.19423491379311</v>
      </c>
      <c r="I2">
        <v>17.238685344827591</v>
      </c>
      <c r="J2">
        <v>2161.0925206824154</v>
      </c>
      <c r="K2">
        <v>267.97500000000036</v>
      </c>
      <c r="L2">
        <v>1375.6750000000002</v>
      </c>
    </row>
    <row r="3" spans="1:12">
      <c r="A3" s="1" t="s">
        <v>1</v>
      </c>
      <c r="B3">
        <v>0</v>
      </c>
      <c r="C3">
        <v>0</v>
      </c>
      <c r="D3">
        <v>254.10794318671026</v>
      </c>
      <c r="E3">
        <v>1751.1350000000002</v>
      </c>
      <c r="F3">
        <v>12.843</v>
      </c>
      <c r="G3">
        <v>22.584859913793107</v>
      </c>
      <c r="H3">
        <v>92.19423491379311</v>
      </c>
      <c r="I3">
        <v>17.238685344827591</v>
      </c>
      <c r="J3">
        <v>2150.1037233591242</v>
      </c>
      <c r="K3">
        <v>267.97500000000014</v>
      </c>
      <c r="L3">
        <v>1375.6750000000002</v>
      </c>
    </row>
    <row r="4" spans="1:12">
      <c r="A4" s="1" t="s">
        <v>2</v>
      </c>
      <c r="B4">
        <v>0</v>
      </c>
      <c r="C4">
        <v>0</v>
      </c>
      <c r="D4">
        <v>248.31158521901131</v>
      </c>
      <c r="E4">
        <v>1751.1350000000002</v>
      </c>
      <c r="F4">
        <v>9.1829999999999998</v>
      </c>
      <c r="G4">
        <v>22.584859913793107</v>
      </c>
      <c r="H4">
        <v>92.19423491379311</v>
      </c>
      <c r="I4">
        <v>17.238685344827591</v>
      </c>
      <c r="J4">
        <v>2140.647365391425</v>
      </c>
      <c r="K4">
        <v>267.97500000000014</v>
      </c>
      <c r="L4">
        <v>1375.6750000000002</v>
      </c>
    </row>
    <row r="5" spans="1:12">
      <c r="A5" s="1" t="s">
        <v>3</v>
      </c>
      <c r="B5">
        <v>0</v>
      </c>
      <c r="C5">
        <v>0</v>
      </c>
      <c r="D5">
        <v>246.49585862672006</v>
      </c>
      <c r="E5">
        <v>1751.1350000000002</v>
      </c>
      <c r="F5">
        <v>11.090999999999999</v>
      </c>
      <c r="G5">
        <v>22.584859913793107</v>
      </c>
      <c r="H5">
        <v>92.19423491379311</v>
      </c>
      <c r="I5">
        <v>17.238685344827591</v>
      </c>
      <c r="J5">
        <v>2140.7396387991339</v>
      </c>
      <c r="K5">
        <v>267.97500000000036</v>
      </c>
      <c r="L5">
        <v>1375.6750000000002</v>
      </c>
    </row>
    <row r="6" spans="1:12">
      <c r="A6" s="1" t="s">
        <v>4</v>
      </c>
      <c r="B6">
        <v>0</v>
      </c>
      <c r="C6">
        <v>0</v>
      </c>
      <c r="D6">
        <v>242.44539161314728</v>
      </c>
      <c r="E6">
        <v>1751.1350000000002</v>
      </c>
      <c r="F6">
        <v>11.348999999999998</v>
      </c>
      <c r="G6">
        <v>22.584859913793107</v>
      </c>
      <c r="H6">
        <v>92.19423491379311</v>
      </c>
      <c r="I6">
        <v>17.238685344827591</v>
      </c>
      <c r="J6">
        <v>2136.9471717855608</v>
      </c>
      <c r="K6">
        <v>267.97500000000014</v>
      </c>
      <c r="L6">
        <v>1375.6750000000002</v>
      </c>
    </row>
    <row r="7" spans="1:12">
      <c r="A7" s="1" t="s">
        <v>5</v>
      </c>
      <c r="B7">
        <v>0</v>
      </c>
      <c r="C7">
        <v>0</v>
      </c>
      <c r="D7">
        <v>237.20771875076878</v>
      </c>
      <c r="E7">
        <v>1751.1350000000002</v>
      </c>
      <c r="F7">
        <v>9.75</v>
      </c>
      <c r="G7">
        <v>22.584859913793107</v>
      </c>
      <c r="H7">
        <v>92.19423491379311</v>
      </c>
      <c r="I7">
        <v>17.238685344827591</v>
      </c>
      <c r="J7">
        <v>2130.1104989231826</v>
      </c>
      <c r="K7">
        <v>267.97500000000036</v>
      </c>
      <c r="L7">
        <v>1375.6750000000002</v>
      </c>
    </row>
    <row r="8" spans="1:12">
      <c r="A8" s="1" t="s">
        <v>6</v>
      </c>
      <c r="B8">
        <v>0</v>
      </c>
      <c r="C8">
        <v>0</v>
      </c>
      <c r="D8">
        <v>237.41722566526391</v>
      </c>
      <c r="E8">
        <v>1751.1350000000002</v>
      </c>
      <c r="F8">
        <v>11.913</v>
      </c>
      <c r="G8">
        <v>22.584859913793107</v>
      </c>
      <c r="H8">
        <v>92.19423491379311</v>
      </c>
      <c r="I8">
        <v>17.238685344827591</v>
      </c>
      <c r="J8">
        <v>2132.4830058376779</v>
      </c>
      <c r="K8">
        <v>267.97500000000014</v>
      </c>
      <c r="L8">
        <v>1375.6750000000002</v>
      </c>
    </row>
    <row r="9" spans="1:12">
      <c r="A9" s="1" t="s">
        <v>7</v>
      </c>
      <c r="B9">
        <v>0</v>
      </c>
      <c r="C9">
        <v>0</v>
      </c>
      <c r="D9">
        <v>237.83623949425419</v>
      </c>
      <c r="E9">
        <v>1751.1350000000002</v>
      </c>
      <c r="F9">
        <v>11.045999999999999</v>
      </c>
      <c r="G9">
        <v>22.584859913793107</v>
      </c>
      <c r="H9">
        <v>92.19423491379311</v>
      </c>
      <c r="I9">
        <v>17.238685344827591</v>
      </c>
      <c r="J9">
        <v>2132.0350196666682</v>
      </c>
      <c r="K9">
        <v>267.97500000000014</v>
      </c>
      <c r="L9">
        <v>1375.6750000000002</v>
      </c>
    </row>
    <row r="10" spans="1:12">
      <c r="A10" s="1" t="s">
        <v>8</v>
      </c>
      <c r="B10">
        <v>0</v>
      </c>
      <c r="C10">
        <v>0</v>
      </c>
      <c r="D10">
        <v>241.53752831700172</v>
      </c>
      <c r="E10">
        <v>1751.1350000000002</v>
      </c>
      <c r="F10">
        <v>10.731</v>
      </c>
      <c r="G10">
        <v>22.584859913793107</v>
      </c>
      <c r="H10">
        <v>92.19423491379311</v>
      </c>
      <c r="I10">
        <v>17.238685344827591</v>
      </c>
      <c r="J10">
        <v>2135.4213084894154</v>
      </c>
      <c r="K10">
        <v>267.97500000000014</v>
      </c>
      <c r="L10">
        <v>1375.6749999999997</v>
      </c>
    </row>
    <row r="11" spans="1:12">
      <c r="A11" s="1" t="s">
        <v>9</v>
      </c>
      <c r="B11">
        <v>0</v>
      </c>
      <c r="C11">
        <v>0</v>
      </c>
      <c r="D11">
        <v>247.47355756103073</v>
      </c>
      <c r="E11">
        <v>1751.1350000000002</v>
      </c>
      <c r="F11">
        <v>11.085000000000001</v>
      </c>
      <c r="G11">
        <v>22.584859913793107</v>
      </c>
      <c r="H11">
        <v>92.19423491379311</v>
      </c>
      <c r="I11">
        <v>17.238685344827591</v>
      </c>
      <c r="J11">
        <v>2141.7113377334445</v>
      </c>
      <c r="K11">
        <v>267.97500000000014</v>
      </c>
      <c r="L11">
        <v>1375.6750000000002</v>
      </c>
    </row>
    <row r="12" spans="1:12">
      <c r="A12" s="1" t="s">
        <v>10</v>
      </c>
      <c r="B12">
        <v>0</v>
      </c>
      <c r="C12">
        <v>0</v>
      </c>
      <c r="D12">
        <v>248.10207830451617</v>
      </c>
      <c r="E12">
        <v>1751.1350000000002</v>
      </c>
      <c r="F12">
        <v>12.299999999999999</v>
      </c>
      <c r="G12">
        <v>22.584859913793107</v>
      </c>
      <c r="H12">
        <v>92.19423491379311</v>
      </c>
      <c r="I12">
        <v>17.238685344827591</v>
      </c>
      <c r="J12">
        <v>2143.5548584769299</v>
      </c>
      <c r="K12">
        <v>267.97500000000036</v>
      </c>
      <c r="L12">
        <v>1375.6750000000002</v>
      </c>
    </row>
    <row r="13" spans="1:12">
      <c r="A13" s="1" t="s">
        <v>11</v>
      </c>
      <c r="B13">
        <v>0</v>
      </c>
      <c r="C13">
        <v>0</v>
      </c>
      <c r="D13">
        <v>244.40078948176864</v>
      </c>
      <c r="E13">
        <v>1751.1350000000002</v>
      </c>
      <c r="F13">
        <v>9.5909999999999993</v>
      </c>
      <c r="G13">
        <v>22.584859913793107</v>
      </c>
      <c r="H13">
        <v>92.19423491379311</v>
      </c>
      <c r="I13">
        <v>17.238685344827591</v>
      </c>
      <c r="J13">
        <v>2137.1445696541823</v>
      </c>
      <c r="K13">
        <v>267.97500000000036</v>
      </c>
      <c r="L13">
        <v>1375.6750000000002</v>
      </c>
    </row>
    <row r="14" spans="1:12">
      <c r="A14" s="1" t="s">
        <v>12</v>
      </c>
      <c r="B14">
        <v>0</v>
      </c>
      <c r="C14">
        <v>0</v>
      </c>
      <c r="D14">
        <v>233.54114362682066</v>
      </c>
      <c r="E14">
        <v>1719.0060000000001</v>
      </c>
      <c r="F14">
        <v>10.493999999999998</v>
      </c>
      <c r="G14">
        <v>22.164762931034488</v>
      </c>
      <c r="H14">
        <v>90.479346264367834</v>
      </c>
      <c r="I14">
        <v>16.918031609195406</v>
      </c>
      <c r="J14">
        <v>2092.6032844314186</v>
      </c>
      <c r="K14">
        <v>287.00050205761318</v>
      </c>
      <c r="L14">
        <v>1206.6005020576131</v>
      </c>
    </row>
    <row r="15" spans="1:12">
      <c r="A15" s="1" t="s">
        <v>13</v>
      </c>
      <c r="B15">
        <v>0</v>
      </c>
      <c r="C15">
        <v>0</v>
      </c>
      <c r="D15">
        <v>228.51297767893726</v>
      </c>
      <c r="E15">
        <v>1719.0060000000001</v>
      </c>
      <c r="F15">
        <v>6.5729999999999995</v>
      </c>
      <c r="G15">
        <v>22.164762931034488</v>
      </c>
      <c r="H15">
        <v>90.479346264367834</v>
      </c>
      <c r="I15">
        <v>16.918031609195406</v>
      </c>
      <c r="J15">
        <v>2083.6541184835355</v>
      </c>
      <c r="K15">
        <v>287.00050205761318</v>
      </c>
      <c r="L15">
        <v>1206.6005020576131</v>
      </c>
    </row>
    <row r="16" spans="1:12">
      <c r="A16" s="1" t="s">
        <v>14</v>
      </c>
      <c r="B16">
        <v>0</v>
      </c>
      <c r="C16">
        <v>0</v>
      </c>
      <c r="D16">
        <v>227.18610055380134</v>
      </c>
      <c r="E16">
        <v>1719.0060000000001</v>
      </c>
      <c r="F16">
        <v>6.7559999999999993</v>
      </c>
      <c r="G16">
        <v>22.164762931034488</v>
      </c>
      <c r="H16">
        <v>90.479346264367834</v>
      </c>
      <c r="I16">
        <v>16.918031609195406</v>
      </c>
      <c r="J16">
        <v>2082.5102413583995</v>
      </c>
      <c r="K16">
        <v>287.0005020576134</v>
      </c>
      <c r="L16">
        <v>1206.6005020576131</v>
      </c>
    </row>
    <row r="17" spans="1:12">
      <c r="A17" s="1" t="s">
        <v>15</v>
      </c>
      <c r="B17">
        <v>0</v>
      </c>
      <c r="C17">
        <v>0</v>
      </c>
      <c r="D17">
        <v>222.99596226389855</v>
      </c>
      <c r="E17">
        <v>1719.0060000000001</v>
      </c>
      <c r="F17">
        <v>5.1150000000000002</v>
      </c>
      <c r="G17">
        <v>22.164762931034488</v>
      </c>
      <c r="H17">
        <v>90.479346264367834</v>
      </c>
      <c r="I17">
        <v>16.918031609195406</v>
      </c>
      <c r="J17">
        <v>2076.6791030684967</v>
      </c>
      <c r="K17">
        <v>287.00050205761318</v>
      </c>
      <c r="L17">
        <v>1206.6005020576131</v>
      </c>
    </row>
    <row r="18" spans="1:12">
      <c r="A18" s="1" t="s">
        <v>16</v>
      </c>
      <c r="B18">
        <v>0</v>
      </c>
      <c r="C18">
        <v>0</v>
      </c>
      <c r="D18">
        <v>219.22483780298597</v>
      </c>
      <c r="E18">
        <v>1719.0060000000001</v>
      </c>
      <c r="F18">
        <v>5.28</v>
      </c>
      <c r="G18">
        <v>22.164762931034488</v>
      </c>
      <c r="H18">
        <v>90.479346264367834</v>
      </c>
      <c r="I18">
        <v>16.918031609195406</v>
      </c>
      <c r="J18">
        <v>2073.072978607584</v>
      </c>
      <c r="K18">
        <v>287.0005020576134</v>
      </c>
      <c r="L18">
        <v>1206.6005020576131</v>
      </c>
    </row>
    <row r="19" spans="1:12">
      <c r="A19" s="1" t="s">
        <v>17</v>
      </c>
      <c r="B19">
        <v>0</v>
      </c>
      <c r="C19">
        <v>0</v>
      </c>
      <c r="D19">
        <v>220.41204365179178</v>
      </c>
      <c r="E19">
        <v>1719.0060000000001</v>
      </c>
      <c r="F19">
        <v>7.8689999999999989</v>
      </c>
      <c r="G19">
        <v>22.164762931034488</v>
      </c>
      <c r="H19">
        <v>90.479346264367834</v>
      </c>
      <c r="I19">
        <v>16.918031609195406</v>
      </c>
      <c r="J19">
        <v>2076.8491844563896</v>
      </c>
      <c r="K19">
        <v>287.00050205761318</v>
      </c>
      <c r="L19">
        <v>1206.6005020576131</v>
      </c>
    </row>
    <row r="20" spans="1:12">
      <c r="A20" s="1" t="s">
        <v>18</v>
      </c>
      <c r="B20">
        <v>0</v>
      </c>
      <c r="C20">
        <v>0</v>
      </c>
      <c r="D20">
        <v>220.761221842617</v>
      </c>
      <c r="E20">
        <v>1719.0060000000001</v>
      </c>
      <c r="F20">
        <v>9.020999999999999</v>
      </c>
      <c r="G20">
        <v>22.164762931034488</v>
      </c>
      <c r="H20">
        <v>90.479346264367834</v>
      </c>
      <c r="I20">
        <v>16.918031609195406</v>
      </c>
      <c r="J20">
        <v>2078.3503626472152</v>
      </c>
      <c r="K20">
        <v>287.00050205761318</v>
      </c>
      <c r="L20">
        <v>1206.6005020576135</v>
      </c>
    </row>
    <row r="21" spans="1:12">
      <c r="A21" s="1" t="s">
        <v>19</v>
      </c>
      <c r="B21">
        <v>0</v>
      </c>
      <c r="C21">
        <v>0</v>
      </c>
      <c r="D21">
        <v>228.16379948811206</v>
      </c>
      <c r="E21">
        <v>1719.0060000000001</v>
      </c>
      <c r="F21">
        <v>10.467000000000001</v>
      </c>
      <c r="G21">
        <v>22.164762931034488</v>
      </c>
      <c r="H21">
        <v>90.479346264367834</v>
      </c>
      <c r="I21">
        <v>16.918031609195406</v>
      </c>
      <c r="J21">
        <v>2087.1989402927102</v>
      </c>
      <c r="K21">
        <v>287.0005020576134</v>
      </c>
      <c r="L21">
        <v>1206.6005020576135</v>
      </c>
    </row>
    <row r="22" spans="1:12">
      <c r="A22" s="1" t="s">
        <v>20</v>
      </c>
      <c r="B22">
        <v>0</v>
      </c>
      <c r="C22">
        <v>0</v>
      </c>
      <c r="D22">
        <v>235.7758840481022</v>
      </c>
      <c r="E22">
        <v>1719.0060000000001</v>
      </c>
      <c r="F22">
        <v>13.103999999999999</v>
      </c>
      <c r="G22">
        <v>22.164762931034488</v>
      </c>
      <c r="H22">
        <v>90.479346264367834</v>
      </c>
      <c r="I22">
        <v>16.918031609195406</v>
      </c>
      <c r="J22">
        <v>2097.4480248527002</v>
      </c>
      <c r="K22">
        <v>287.00050205761318</v>
      </c>
      <c r="L22">
        <v>1206.6005020576131</v>
      </c>
    </row>
    <row r="23" spans="1:12">
      <c r="A23" s="1" t="s">
        <v>21</v>
      </c>
      <c r="B23">
        <v>0</v>
      </c>
      <c r="C23">
        <v>0</v>
      </c>
      <c r="D23">
        <v>242.34043403561668</v>
      </c>
      <c r="E23">
        <v>1719.0060000000001</v>
      </c>
      <c r="F23">
        <v>10.188000000000001</v>
      </c>
      <c r="G23">
        <v>22.164762931034488</v>
      </c>
      <c r="H23">
        <v>90.479346264367834</v>
      </c>
      <c r="I23">
        <v>16.918031609195406</v>
      </c>
      <c r="J23">
        <v>2101.096574840215</v>
      </c>
      <c r="K23">
        <v>287.00050205761318</v>
      </c>
      <c r="L23">
        <v>1206.6005020576131</v>
      </c>
    </row>
    <row r="24" spans="1:12">
      <c r="A24" s="1" t="s">
        <v>22</v>
      </c>
      <c r="B24">
        <v>0</v>
      </c>
      <c r="C24">
        <v>0</v>
      </c>
      <c r="D24">
        <v>241.99125584479143</v>
      </c>
      <c r="E24">
        <v>1719.0060000000001</v>
      </c>
      <c r="F24">
        <v>11.639999999999999</v>
      </c>
      <c r="G24">
        <v>22.164762931034488</v>
      </c>
      <c r="H24">
        <v>90.479346264367834</v>
      </c>
      <c r="I24">
        <v>16.918031609195406</v>
      </c>
      <c r="J24">
        <v>2102.1993966493897</v>
      </c>
      <c r="K24">
        <v>287.00050205761318</v>
      </c>
      <c r="L24">
        <v>1206.6005020576131</v>
      </c>
    </row>
    <row r="25" spans="1:12">
      <c r="A25" s="1" t="s">
        <v>23</v>
      </c>
      <c r="B25">
        <v>0</v>
      </c>
      <c r="C25">
        <v>0</v>
      </c>
      <c r="D25">
        <v>249.11449093762627</v>
      </c>
      <c r="E25">
        <v>1719.0060000000001</v>
      </c>
      <c r="F25">
        <v>13.065</v>
      </c>
      <c r="G25">
        <v>22.164762931034488</v>
      </c>
      <c r="H25">
        <v>90.479346264367834</v>
      </c>
      <c r="I25">
        <v>16.918031609195406</v>
      </c>
      <c r="J25">
        <v>2110.7476317422243</v>
      </c>
      <c r="K25">
        <v>287.00050205761318</v>
      </c>
      <c r="L25">
        <v>1206.6005020576131</v>
      </c>
    </row>
    <row r="26" spans="1:12">
      <c r="A26" s="1" t="s">
        <v>24</v>
      </c>
      <c r="B26">
        <v>0</v>
      </c>
      <c r="C26">
        <v>0</v>
      </c>
      <c r="D26">
        <v>298.00145717950039</v>
      </c>
      <c r="E26">
        <v>1560.299</v>
      </c>
      <c r="F26">
        <v>15.837</v>
      </c>
      <c r="G26">
        <v>26.321120689655174</v>
      </c>
      <c r="H26">
        <v>107.44612068965519</v>
      </c>
      <c r="I26">
        <v>20.090517241379313</v>
      </c>
      <c r="J26">
        <v>2027.99521580019</v>
      </c>
      <c r="K26">
        <v>315.99641975308668</v>
      </c>
      <c r="L26">
        <v>869.84641975308637</v>
      </c>
    </row>
    <row r="27" spans="1:12">
      <c r="A27" s="1" t="s">
        <v>25</v>
      </c>
      <c r="B27">
        <v>0</v>
      </c>
      <c r="C27">
        <v>0</v>
      </c>
      <c r="D27">
        <v>290.24970134318011</v>
      </c>
      <c r="E27">
        <v>1560.299</v>
      </c>
      <c r="F27">
        <v>14.613</v>
      </c>
      <c r="G27">
        <v>26.321120689655174</v>
      </c>
      <c r="H27">
        <v>107.44612068965519</v>
      </c>
      <c r="I27">
        <v>20.090517241379313</v>
      </c>
      <c r="J27">
        <v>2019.0194599638696</v>
      </c>
      <c r="K27">
        <v>315.99641975308646</v>
      </c>
      <c r="L27">
        <v>869.84641975308637</v>
      </c>
    </row>
    <row r="28" spans="1:12">
      <c r="A28" s="1" t="s">
        <v>26</v>
      </c>
      <c r="B28">
        <v>0</v>
      </c>
      <c r="C28">
        <v>0</v>
      </c>
      <c r="D28">
        <v>290.04019442868497</v>
      </c>
      <c r="E28">
        <v>1560.299</v>
      </c>
      <c r="F28">
        <v>14.154</v>
      </c>
      <c r="G28">
        <v>26.321120689655174</v>
      </c>
      <c r="H28">
        <v>107.44612068965519</v>
      </c>
      <c r="I28">
        <v>20.090517241379313</v>
      </c>
      <c r="J28">
        <v>2018.3509530493745</v>
      </c>
      <c r="K28">
        <v>315.99641975308668</v>
      </c>
      <c r="L28">
        <v>869.84641975308682</v>
      </c>
    </row>
    <row r="29" spans="1:12">
      <c r="A29" s="1" t="s">
        <v>27</v>
      </c>
      <c r="B29">
        <v>0</v>
      </c>
      <c r="C29">
        <v>0</v>
      </c>
      <c r="D29">
        <v>297.16342952151979</v>
      </c>
      <c r="E29">
        <v>1560.299</v>
      </c>
      <c r="F29">
        <v>16.097999999999999</v>
      </c>
      <c r="G29">
        <v>26.321120689655174</v>
      </c>
      <c r="H29">
        <v>107.44612068965519</v>
      </c>
      <c r="I29">
        <v>20.090517241379313</v>
      </c>
      <c r="J29">
        <v>2027.4181881422094</v>
      </c>
      <c r="K29">
        <v>315.99641975308646</v>
      </c>
      <c r="L29">
        <v>869.84641975308637</v>
      </c>
    </row>
    <row r="30" spans="1:12">
      <c r="A30" s="1" t="s">
        <v>28</v>
      </c>
      <c r="B30">
        <v>0</v>
      </c>
      <c r="C30">
        <v>0</v>
      </c>
      <c r="D30">
        <v>309.45450183856815</v>
      </c>
      <c r="E30">
        <v>1560.299</v>
      </c>
      <c r="F30">
        <v>15.998999999999999</v>
      </c>
      <c r="G30">
        <v>26.321120689655174</v>
      </c>
      <c r="H30">
        <v>107.44612068965519</v>
      </c>
      <c r="I30">
        <v>20.090517241379313</v>
      </c>
      <c r="J30">
        <v>2039.6102604592577</v>
      </c>
      <c r="K30">
        <v>315.99641975308646</v>
      </c>
      <c r="L30">
        <v>869.84641975308637</v>
      </c>
    </row>
    <row r="31" spans="1:12">
      <c r="A31" s="1" t="s">
        <v>29</v>
      </c>
      <c r="B31">
        <v>0</v>
      </c>
      <c r="C31">
        <v>0</v>
      </c>
      <c r="D31">
        <v>319.16165554350971</v>
      </c>
      <c r="E31">
        <v>1560.299</v>
      </c>
      <c r="F31">
        <v>22.238999999999997</v>
      </c>
      <c r="G31">
        <v>26.321120689655174</v>
      </c>
      <c r="H31">
        <v>107.44612068965519</v>
      </c>
      <c r="I31">
        <v>20.090517241379313</v>
      </c>
      <c r="J31">
        <v>2055.5574141641996</v>
      </c>
      <c r="K31">
        <v>315.99641975308668</v>
      </c>
      <c r="L31">
        <v>869.84641975308614</v>
      </c>
    </row>
    <row r="32" spans="1:12">
      <c r="A32" s="1" t="s">
        <v>30</v>
      </c>
      <c r="B32">
        <v>0</v>
      </c>
      <c r="C32">
        <v>0</v>
      </c>
      <c r="D32">
        <v>334.59533157798518</v>
      </c>
      <c r="E32">
        <v>1560.299</v>
      </c>
      <c r="F32">
        <v>24.387</v>
      </c>
      <c r="G32">
        <v>26.321120689655174</v>
      </c>
      <c r="H32">
        <v>107.44612068965519</v>
      </c>
      <c r="I32">
        <v>20.090517241379313</v>
      </c>
      <c r="J32">
        <v>2073.1390901986751</v>
      </c>
      <c r="K32">
        <v>315.99641975308668</v>
      </c>
      <c r="L32">
        <v>869.84641975308659</v>
      </c>
    </row>
    <row r="33" spans="1:12">
      <c r="A33" s="1" t="s">
        <v>31</v>
      </c>
      <c r="B33">
        <v>0</v>
      </c>
      <c r="C33">
        <v>0</v>
      </c>
      <c r="D33">
        <v>354.98733792217905</v>
      </c>
      <c r="E33">
        <v>1560.299</v>
      </c>
      <c r="F33">
        <v>24.843</v>
      </c>
      <c r="G33">
        <v>26.321120689655174</v>
      </c>
      <c r="H33">
        <v>107.44612068965519</v>
      </c>
      <c r="I33">
        <v>20.090517241379313</v>
      </c>
      <c r="J33">
        <v>2093.987096542869</v>
      </c>
      <c r="K33">
        <v>315.99641975308646</v>
      </c>
      <c r="L33">
        <v>869.84641975308659</v>
      </c>
    </row>
    <row r="34" spans="1:12">
      <c r="A34" s="1" t="s">
        <v>32</v>
      </c>
      <c r="B34">
        <v>0</v>
      </c>
      <c r="C34">
        <v>0</v>
      </c>
      <c r="D34">
        <v>406.73554580247912</v>
      </c>
      <c r="E34">
        <v>1560.299</v>
      </c>
      <c r="F34">
        <v>38.502000000000002</v>
      </c>
      <c r="G34">
        <v>26.321120689655174</v>
      </c>
      <c r="H34">
        <v>107.44612068965519</v>
      </c>
      <c r="I34">
        <v>20.090517241379313</v>
      </c>
      <c r="J34">
        <v>2159.3943044231687</v>
      </c>
      <c r="K34">
        <v>315.99641975308646</v>
      </c>
      <c r="L34">
        <v>869.84641975308659</v>
      </c>
    </row>
    <row r="35" spans="1:12">
      <c r="A35" s="1" t="s">
        <v>33</v>
      </c>
      <c r="B35">
        <v>0</v>
      </c>
      <c r="C35">
        <v>0</v>
      </c>
      <c r="D35">
        <v>464.07060473598312</v>
      </c>
      <c r="E35">
        <v>1560.299</v>
      </c>
      <c r="F35">
        <v>41.861999999999995</v>
      </c>
      <c r="G35">
        <v>26.321120689655174</v>
      </c>
      <c r="H35">
        <v>107.44612068965519</v>
      </c>
      <c r="I35">
        <v>20.090517241379313</v>
      </c>
      <c r="J35">
        <v>2220.0893633566734</v>
      </c>
      <c r="K35">
        <v>315.99641975308668</v>
      </c>
      <c r="L35">
        <v>869.84641975308659</v>
      </c>
    </row>
    <row r="36" spans="1:12">
      <c r="A36" s="1" t="s">
        <v>34</v>
      </c>
      <c r="B36">
        <v>0</v>
      </c>
      <c r="C36">
        <v>0</v>
      </c>
      <c r="D36">
        <v>440.11698084537187</v>
      </c>
      <c r="E36">
        <v>1560.299</v>
      </c>
      <c r="F36">
        <v>52.875</v>
      </c>
      <c r="G36">
        <v>26.321120689655174</v>
      </c>
      <c r="H36">
        <v>107.44612068965519</v>
      </c>
      <c r="I36">
        <v>20.090517241379313</v>
      </c>
      <c r="J36">
        <v>2207.1487394660621</v>
      </c>
      <c r="K36">
        <v>315.99641975308668</v>
      </c>
      <c r="L36">
        <v>869.84641975308614</v>
      </c>
    </row>
    <row r="37" spans="1:12">
      <c r="A37" s="1" t="s">
        <v>35</v>
      </c>
      <c r="B37">
        <v>0</v>
      </c>
      <c r="C37">
        <v>0</v>
      </c>
      <c r="D37">
        <v>512.81588017518618</v>
      </c>
      <c r="E37">
        <v>1560.299</v>
      </c>
      <c r="F37">
        <v>66.287999999999997</v>
      </c>
      <c r="G37">
        <v>26.321120689655174</v>
      </c>
      <c r="H37">
        <v>107.44612068965519</v>
      </c>
      <c r="I37">
        <v>20.090517241379313</v>
      </c>
      <c r="J37">
        <v>2293.2606387958763</v>
      </c>
      <c r="K37">
        <v>315.99641975308646</v>
      </c>
      <c r="L37">
        <v>869.84641975308659</v>
      </c>
    </row>
    <row r="38" spans="1:12">
      <c r="A38" s="1" t="s">
        <v>36</v>
      </c>
      <c r="B38">
        <v>0</v>
      </c>
      <c r="C38">
        <v>0</v>
      </c>
      <c r="D38">
        <v>482.82345156303302</v>
      </c>
      <c r="E38">
        <v>1801.6164300847456</v>
      </c>
      <c r="F38">
        <v>50.360999999999997</v>
      </c>
      <c r="G38">
        <v>30.391971982758623</v>
      </c>
      <c r="H38">
        <v>124.06384698275863</v>
      </c>
      <c r="I38">
        <v>23.19773706896552</v>
      </c>
      <c r="J38">
        <v>2512.4544376822614</v>
      </c>
      <c r="K38">
        <v>364.86874738439019</v>
      </c>
      <c r="L38">
        <v>1004.3777516216787</v>
      </c>
    </row>
    <row r="39" spans="1:12">
      <c r="A39" s="1" t="s">
        <v>37</v>
      </c>
      <c r="B39">
        <v>0</v>
      </c>
      <c r="C39">
        <v>0</v>
      </c>
      <c r="D39">
        <v>475.6303808320331</v>
      </c>
      <c r="E39">
        <v>1801.6164300847456</v>
      </c>
      <c r="F39">
        <v>38.634</v>
      </c>
      <c r="G39">
        <v>30.391971982758623</v>
      </c>
      <c r="H39">
        <v>124.06384698275863</v>
      </c>
      <c r="I39">
        <v>23.19773706896552</v>
      </c>
      <c r="J39">
        <v>2493.5343669512613</v>
      </c>
      <c r="K39">
        <v>364.86874738439019</v>
      </c>
      <c r="L39">
        <v>1004.3777516216783</v>
      </c>
    </row>
    <row r="40" spans="1:12">
      <c r="A40" s="1" t="s">
        <v>38</v>
      </c>
      <c r="B40">
        <v>0</v>
      </c>
      <c r="C40">
        <v>0</v>
      </c>
      <c r="D40">
        <v>581.50120829024502</v>
      </c>
      <c r="E40">
        <v>1801.6164300847456</v>
      </c>
      <c r="F40">
        <v>75.527999999999992</v>
      </c>
      <c r="G40">
        <v>30.391971982758623</v>
      </c>
      <c r="H40">
        <v>124.06384698275863</v>
      </c>
      <c r="I40">
        <v>23.19773706896552</v>
      </c>
      <c r="J40">
        <v>2636.2991944094733</v>
      </c>
      <c r="K40">
        <v>364.86874738439019</v>
      </c>
      <c r="L40">
        <v>1004.3777516216783</v>
      </c>
    </row>
    <row r="41" spans="1:12">
      <c r="A41" s="1" t="s">
        <v>39</v>
      </c>
      <c r="B41">
        <v>0</v>
      </c>
      <c r="C41">
        <v>0</v>
      </c>
      <c r="D41">
        <v>510.33869300006177</v>
      </c>
      <c r="E41">
        <v>1801.6164300847456</v>
      </c>
      <c r="F41">
        <v>49.8</v>
      </c>
      <c r="G41">
        <v>30.391971982758623</v>
      </c>
      <c r="H41">
        <v>124.06384698275863</v>
      </c>
      <c r="I41">
        <v>23.19773706896552</v>
      </c>
      <c r="J41">
        <v>2539.4086791192904</v>
      </c>
      <c r="K41">
        <v>364.86874738439019</v>
      </c>
      <c r="L41">
        <v>1004.3777516216787</v>
      </c>
    </row>
    <row r="42" spans="1:12">
      <c r="A42" s="1" t="s">
        <v>40</v>
      </c>
      <c r="B42">
        <v>0</v>
      </c>
      <c r="C42">
        <v>0</v>
      </c>
      <c r="D42">
        <v>489.17849463605228</v>
      </c>
      <c r="E42">
        <v>1801.6164300847456</v>
      </c>
      <c r="F42">
        <v>53.252999999999993</v>
      </c>
      <c r="G42">
        <v>30.391971982758623</v>
      </c>
      <c r="H42">
        <v>124.06384698275863</v>
      </c>
      <c r="I42">
        <v>23.19773706896552</v>
      </c>
      <c r="J42">
        <v>2521.701480755281</v>
      </c>
      <c r="K42">
        <v>364.86874738439019</v>
      </c>
      <c r="L42">
        <v>1004.3777516216787</v>
      </c>
    </row>
    <row r="43" spans="1:12">
      <c r="A43" s="1" t="s">
        <v>41</v>
      </c>
      <c r="B43">
        <v>0</v>
      </c>
      <c r="C43">
        <v>0</v>
      </c>
      <c r="D43">
        <v>519.83633979050819</v>
      </c>
      <c r="E43">
        <v>1801.6164300847456</v>
      </c>
      <c r="F43">
        <v>65.453999999999994</v>
      </c>
      <c r="G43">
        <v>30.391971982758623</v>
      </c>
      <c r="H43">
        <v>124.06384698275863</v>
      </c>
      <c r="I43">
        <v>23.19773706896552</v>
      </c>
      <c r="J43">
        <v>2564.5603259097365</v>
      </c>
      <c r="K43">
        <v>364.86874738439019</v>
      </c>
      <c r="L43">
        <v>1004.3777516216787</v>
      </c>
    </row>
    <row r="44" spans="1:12">
      <c r="A44" s="1" t="s">
        <v>42</v>
      </c>
      <c r="B44">
        <v>0</v>
      </c>
      <c r="C44">
        <v>0</v>
      </c>
      <c r="D44">
        <v>643.93426880979735</v>
      </c>
      <c r="E44">
        <v>1801.6164300847456</v>
      </c>
      <c r="F44">
        <v>94.577999999999989</v>
      </c>
      <c r="G44">
        <v>30.391971982758623</v>
      </c>
      <c r="H44">
        <v>124.06384698275863</v>
      </c>
      <c r="I44">
        <v>23.19773706896552</v>
      </c>
      <c r="J44">
        <v>2717.7822549290258</v>
      </c>
      <c r="K44">
        <v>364.86874738439019</v>
      </c>
      <c r="L44">
        <v>1004.3777516216787</v>
      </c>
    </row>
    <row r="45" spans="1:12">
      <c r="A45" s="1" t="s">
        <v>43</v>
      </c>
      <c r="B45">
        <v>0</v>
      </c>
      <c r="C45">
        <v>0</v>
      </c>
      <c r="D45">
        <v>774.59674781660101</v>
      </c>
      <c r="E45">
        <v>1801.6164300847456</v>
      </c>
      <c r="F45">
        <v>140.80500000000001</v>
      </c>
      <c r="G45">
        <v>30.391971982758623</v>
      </c>
      <c r="H45">
        <v>124.06384698275863</v>
      </c>
      <c r="I45">
        <v>23.19773706896552</v>
      </c>
      <c r="J45">
        <v>2894.6717339358293</v>
      </c>
      <c r="K45">
        <v>364.86874738439019</v>
      </c>
      <c r="L45">
        <v>1004.3777516216787</v>
      </c>
    </row>
    <row r="46" spans="1:12">
      <c r="A46" s="1" t="s">
        <v>44</v>
      </c>
      <c r="B46">
        <v>0</v>
      </c>
      <c r="C46">
        <v>0</v>
      </c>
      <c r="D46">
        <v>698.19655966403911</v>
      </c>
      <c r="E46">
        <v>1801.6164300847456</v>
      </c>
      <c r="F46">
        <v>108.054</v>
      </c>
      <c r="G46">
        <v>30.391971982758623</v>
      </c>
      <c r="H46">
        <v>124.06384698275863</v>
      </c>
      <c r="I46">
        <v>23.19773706896552</v>
      </c>
      <c r="J46">
        <v>2785.5205457832676</v>
      </c>
      <c r="K46">
        <v>364.86874738438974</v>
      </c>
      <c r="L46">
        <v>1004.3777516216787</v>
      </c>
    </row>
    <row r="47" spans="1:12">
      <c r="A47" s="1" t="s">
        <v>59</v>
      </c>
      <c r="B47">
        <v>0</v>
      </c>
      <c r="C47">
        <v>0</v>
      </c>
      <c r="D47">
        <v>557.96659822862398</v>
      </c>
      <c r="E47">
        <v>1801.6164300847456</v>
      </c>
      <c r="F47">
        <v>47.333999999999996</v>
      </c>
      <c r="G47">
        <v>30.391971982758623</v>
      </c>
      <c r="H47">
        <v>124.06384698275863</v>
      </c>
      <c r="I47">
        <v>23.19773706896552</v>
      </c>
      <c r="J47">
        <v>2584.5705843478522</v>
      </c>
      <c r="K47">
        <v>364.86874738439019</v>
      </c>
      <c r="L47">
        <v>1004.3777516216787</v>
      </c>
    </row>
    <row r="48" spans="1:12">
      <c r="A48" s="1" t="s">
        <v>60</v>
      </c>
      <c r="B48">
        <v>0</v>
      </c>
      <c r="C48">
        <v>0</v>
      </c>
      <c r="D48">
        <v>534.92083763415837</v>
      </c>
      <c r="E48">
        <v>1801.6164300847456</v>
      </c>
      <c r="F48">
        <v>52.634999999999998</v>
      </c>
      <c r="G48">
        <v>30.391971982758623</v>
      </c>
      <c r="H48">
        <v>124.06384698275863</v>
      </c>
      <c r="I48">
        <v>23.19773706896552</v>
      </c>
      <c r="J48">
        <v>2566.8258237533869</v>
      </c>
      <c r="K48">
        <v>364.86874738438974</v>
      </c>
      <c r="L48">
        <v>1004.3777516216787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A373-B0C3-4767-A669-2EBC50E971D2}">
  <dimension ref="A1:L48"/>
  <sheetViews>
    <sheetView workbookViewId="0">
      <selection activeCell="J9" sqref="J9"/>
    </sheetView>
  </sheetViews>
  <sheetFormatPr defaultRowHeight="14.4"/>
  <cols>
    <col min="2" max="3" width="2.109375" bestFit="1" customWidth="1"/>
    <col min="4" max="5" width="11.6640625" customWidth="1"/>
    <col min="6" max="6" width="7.6640625" customWidth="1"/>
    <col min="7" max="10" width="11.6640625" customWidth="1"/>
    <col min="11" max="12" width="4.5546875" bestFit="1" customWidth="1"/>
  </cols>
  <sheetData>
    <row r="1" spans="1:12">
      <c r="A1" s="1"/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s="1" t="s">
        <v>0</v>
      </c>
      <c r="B2">
        <v>0</v>
      </c>
      <c r="C2">
        <v>0</v>
      </c>
      <c r="D2">
        <v>263.11674051000131</v>
      </c>
      <c r="E2">
        <v>441.07925510821087</v>
      </c>
      <c r="F2">
        <v>14.822999999999999</v>
      </c>
      <c r="G2">
        <v>22.584859913793107</v>
      </c>
      <c r="H2">
        <v>92.19423491379311</v>
      </c>
      <c r="I2">
        <v>17.238685344827591</v>
      </c>
      <c r="J2">
        <v>851.03677579062605</v>
      </c>
      <c r="K2" s="3">
        <v>0</v>
      </c>
      <c r="L2" s="3">
        <v>0</v>
      </c>
    </row>
    <row r="3" spans="1:12">
      <c r="A3" s="1" t="s">
        <v>1</v>
      </c>
      <c r="B3">
        <v>0</v>
      </c>
      <c r="C3">
        <v>0</v>
      </c>
      <c r="D3">
        <v>254.10794318671026</v>
      </c>
      <c r="E3">
        <v>397.73098778372918</v>
      </c>
      <c r="F3">
        <v>12.843</v>
      </c>
      <c r="G3">
        <v>22.584859913793107</v>
      </c>
      <c r="H3">
        <v>92.19423491379311</v>
      </c>
      <c r="I3">
        <v>17.238685344827591</v>
      </c>
      <c r="J3">
        <v>796.69971114285318</v>
      </c>
      <c r="K3" s="3">
        <v>0</v>
      </c>
      <c r="L3" s="3">
        <v>0</v>
      </c>
    </row>
    <row r="4" spans="1:12">
      <c r="A4" s="1" t="s">
        <v>2</v>
      </c>
      <c r="B4">
        <v>0</v>
      </c>
      <c r="C4">
        <v>0</v>
      </c>
      <c r="D4">
        <v>248.31158521901131</v>
      </c>
      <c r="E4">
        <v>369.84024214084553</v>
      </c>
      <c r="F4">
        <v>9.1829999999999998</v>
      </c>
      <c r="G4">
        <v>22.584859913793107</v>
      </c>
      <c r="H4">
        <v>92.19423491379311</v>
      </c>
      <c r="I4">
        <v>17.238685344827591</v>
      </c>
      <c r="J4">
        <v>759.35260753227067</v>
      </c>
      <c r="K4" s="3">
        <v>0</v>
      </c>
      <c r="L4" s="3">
        <v>0</v>
      </c>
    </row>
    <row r="5" spans="1:12">
      <c r="A5" s="1" t="s">
        <v>3</v>
      </c>
      <c r="B5">
        <v>0</v>
      </c>
      <c r="C5">
        <v>0</v>
      </c>
      <c r="D5">
        <v>246.49585862672006</v>
      </c>
      <c r="E5">
        <v>361.10338205994225</v>
      </c>
      <c r="F5">
        <v>11.090999999999999</v>
      </c>
      <c r="G5">
        <v>22.584859913793107</v>
      </c>
      <c r="H5">
        <v>92.19423491379311</v>
      </c>
      <c r="I5">
        <v>17.238685344827591</v>
      </c>
      <c r="J5">
        <v>750.70802085907621</v>
      </c>
      <c r="K5" s="3">
        <v>0</v>
      </c>
      <c r="L5" s="3">
        <v>0</v>
      </c>
    </row>
    <row r="6" spans="1:12">
      <c r="A6" s="1" t="s">
        <v>4</v>
      </c>
      <c r="B6">
        <v>0</v>
      </c>
      <c r="C6">
        <v>0</v>
      </c>
      <c r="D6">
        <v>242.44539161314728</v>
      </c>
      <c r="E6">
        <v>341.61346341792722</v>
      </c>
      <c r="F6">
        <v>11.348999999999998</v>
      </c>
      <c r="G6">
        <v>22.584859913793107</v>
      </c>
      <c r="H6">
        <v>92.19423491379311</v>
      </c>
      <c r="I6">
        <v>17.238685344827591</v>
      </c>
      <c r="J6">
        <v>727.42563520348835</v>
      </c>
      <c r="K6" s="3">
        <v>0</v>
      </c>
      <c r="L6" s="3">
        <v>0</v>
      </c>
    </row>
    <row r="7" spans="1:12">
      <c r="A7" s="1" t="s">
        <v>5</v>
      </c>
      <c r="B7">
        <v>0</v>
      </c>
      <c r="C7">
        <v>0</v>
      </c>
      <c r="D7">
        <v>237.20771875076878</v>
      </c>
      <c r="E7">
        <v>316.41098241532148</v>
      </c>
      <c r="F7">
        <v>9.75</v>
      </c>
      <c r="G7">
        <v>22.584859913793107</v>
      </c>
      <c r="H7">
        <v>92.19423491379311</v>
      </c>
      <c r="I7">
        <v>17.238685344827591</v>
      </c>
      <c r="J7">
        <v>695.38648133850404</v>
      </c>
      <c r="K7" s="3">
        <v>0</v>
      </c>
      <c r="L7" s="3">
        <v>0</v>
      </c>
    </row>
    <row r="8" spans="1:12">
      <c r="A8" s="1" t="s">
        <v>6</v>
      </c>
      <c r="B8">
        <v>0</v>
      </c>
      <c r="C8">
        <v>0</v>
      </c>
      <c r="D8">
        <v>237.41722566526391</v>
      </c>
      <c r="E8">
        <v>317.41908165542571</v>
      </c>
      <c r="F8">
        <v>11.913</v>
      </c>
      <c r="G8">
        <v>22.584859913793107</v>
      </c>
      <c r="H8">
        <v>92.19423491379311</v>
      </c>
      <c r="I8">
        <v>17.238685344827591</v>
      </c>
      <c r="J8">
        <v>698.76708749310353</v>
      </c>
      <c r="K8" s="3">
        <v>0</v>
      </c>
      <c r="L8" s="3">
        <v>0</v>
      </c>
    </row>
    <row r="9" spans="1:12">
      <c r="A9" s="1" t="s">
        <v>7</v>
      </c>
      <c r="B9">
        <v>0</v>
      </c>
      <c r="C9">
        <v>0</v>
      </c>
      <c r="D9">
        <v>237.83623949425419</v>
      </c>
      <c r="E9">
        <v>319.43528013563423</v>
      </c>
      <c r="F9">
        <v>11.045999999999999</v>
      </c>
      <c r="G9">
        <v>22.584859913793107</v>
      </c>
      <c r="H9">
        <v>92.19423491379311</v>
      </c>
      <c r="I9">
        <v>17.238685344827591</v>
      </c>
      <c r="J9">
        <v>700.3352998023023</v>
      </c>
      <c r="K9" s="3">
        <v>0</v>
      </c>
      <c r="L9" s="3">
        <v>0</v>
      </c>
    </row>
    <row r="10" spans="1:12">
      <c r="A10" s="1" t="s">
        <v>8</v>
      </c>
      <c r="B10">
        <v>0</v>
      </c>
      <c r="C10">
        <v>0</v>
      </c>
      <c r="D10">
        <v>241.53752831700172</v>
      </c>
      <c r="E10">
        <v>337.24503337747552</v>
      </c>
      <c r="F10">
        <v>10.731</v>
      </c>
      <c r="G10">
        <v>22.584859913793107</v>
      </c>
      <c r="H10">
        <v>92.19423491379311</v>
      </c>
      <c r="I10">
        <v>17.238685344827591</v>
      </c>
      <c r="J10">
        <v>721.53134186689101</v>
      </c>
      <c r="K10" s="3">
        <v>0</v>
      </c>
      <c r="L10" s="3">
        <v>0</v>
      </c>
    </row>
    <row r="11" spans="1:12">
      <c r="A11" s="1" t="s">
        <v>9</v>
      </c>
      <c r="B11">
        <v>0</v>
      </c>
      <c r="C11">
        <v>0</v>
      </c>
      <c r="D11">
        <v>247.47355756103073</v>
      </c>
      <c r="E11">
        <v>365.80784518042856</v>
      </c>
      <c r="F11">
        <v>11.085000000000001</v>
      </c>
      <c r="G11">
        <v>22.584859913793107</v>
      </c>
      <c r="H11">
        <v>92.19423491379311</v>
      </c>
      <c r="I11">
        <v>17.238685344827591</v>
      </c>
      <c r="J11">
        <v>756.38418291387313</v>
      </c>
      <c r="K11" s="3">
        <v>0</v>
      </c>
      <c r="L11" s="3">
        <v>0</v>
      </c>
    </row>
    <row r="12" spans="1:12">
      <c r="A12" s="1" t="s">
        <v>10</v>
      </c>
      <c r="B12">
        <v>0</v>
      </c>
      <c r="C12">
        <v>0</v>
      </c>
      <c r="D12">
        <v>248.10207830451617</v>
      </c>
      <c r="E12">
        <v>368.83214290074136</v>
      </c>
      <c r="F12">
        <v>12.299999999999999</v>
      </c>
      <c r="G12">
        <v>22.584859913793107</v>
      </c>
      <c r="H12">
        <v>92.19423491379311</v>
      </c>
      <c r="I12">
        <v>17.238685344827591</v>
      </c>
      <c r="J12">
        <v>761.25200137767126</v>
      </c>
      <c r="K12" s="3">
        <v>0</v>
      </c>
      <c r="L12" s="3">
        <v>0</v>
      </c>
    </row>
    <row r="13" spans="1:12">
      <c r="A13" s="1" t="s">
        <v>11</v>
      </c>
      <c r="B13">
        <v>0</v>
      </c>
      <c r="C13">
        <v>0</v>
      </c>
      <c r="D13">
        <v>244.40078948176864</v>
      </c>
      <c r="E13">
        <v>351.02238965890001</v>
      </c>
      <c r="F13">
        <v>9.5909999999999993</v>
      </c>
      <c r="G13">
        <v>22.584859913793107</v>
      </c>
      <c r="H13">
        <v>92.19423491379311</v>
      </c>
      <c r="I13">
        <v>17.238685344827591</v>
      </c>
      <c r="J13">
        <v>737.03195931308255</v>
      </c>
      <c r="K13" s="3">
        <v>0</v>
      </c>
      <c r="L13" s="3">
        <v>0</v>
      </c>
    </row>
    <row r="14" spans="1:12">
      <c r="A14" s="1" t="s">
        <v>12</v>
      </c>
      <c r="B14">
        <v>0</v>
      </c>
      <c r="C14">
        <v>0</v>
      </c>
      <c r="D14">
        <v>233.54114362682066</v>
      </c>
      <c r="E14">
        <v>314.11353661938443</v>
      </c>
      <c r="F14">
        <v>10.493999999999998</v>
      </c>
      <c r="G14">
        <v>22.164762931034488</v>
      </c>
      <c r="H14">
        <v>90.479346264367834</v>
      </c>
      <c r="I14">
        <v>16.918031609195406</v>
      </c>
      <c r="J14">
        <v>687.71082105080279</v>
      </c>
      <c r="K14" s="3">
        <v>0</v>
      </c>
      <c r="L14" s="3">
        <v>0</v>
      </c>
    </row>
    <row r="15" spans="1:12">
      <c r="A15" s="1" t="s">
        <v>13</v>
      </c>
      <c r="B15">
        <v>0</v>
      </c>
      <c r="C15">
        <v>0</v>
      </c>
      <c r="D15">
        <v>228.51297767893726</v>
      </c>
      <c r="E15">
        <v>289.91915485688298</v>
      </c>
      <c r="F15">
        <v>6.5729999999999995</v>
      </c>
      <c r="G15">
        <v>22.164762931034488</v>
      </c>
      <c r="H15">
        <v>90.479346264367834</v>
      </c>
      <c r="I15">
        <v>16.918031609195406</v>
      </c>
      <c r="J15">
        <v>654.56727334041796</v>
      </c>
      <c r="K15" s="3">
        <v>0</v>
      </c>
      <c r="L15" s="3">
        <v>0</v>
      </c>
    </row>
    <row r="16" spans="1:12">
      <c r="A16" s="1" t="s">
        <v>14</v>
      </c>
      <c r="B16">
        <v>0</v>
      </c>
      <c r="C16">
        <v>0</v>
      </c>
      <c r="D16">
        <v>227.18610055380134</v>
      </c>
      <c r="E16">
        <v>283.53452633622288</v>
      </c>
      <c r="F16">
        <v>6.7559999999999993</v>
      </c>
      <c r="G16">
        <v>22.164762931034488</v>
      </c>
      <c r="H16">
        <v>90.479346264367834</v>
      </c>
      <c r="I16">
        <v>16.918031609195406</v>
      </c>
      <c r="J16">
        <v>647.03876769462192</v>
      </c>
      <c r="K16" s="3">
        <v>0</v>
      </c>
      <c r="L16" s="3">
        <v>0</v>
      </c>
    </row>
    <row r="17" spans="1:12">
      <c r="A17" s="1" t="s">
        <v>15</v>
      </c>
      <c r="B17">
        <v>0</v>
      </c>
      <c r="C17">
        <v>0</v>
      </c>
      <c r="D17">
        <v>222.99596226389855</v>
      </c>
      <c r="E17">
        <v>263.37254153413829</v>
      </c>
      <c r="F17">
        <v>5.1150000000000002</v>
      </c>
      <c r="G17">
        <v>22.164762931034488</v>
      </c>
      <c r="H17">
        <v>90.479346264367834</v>
      </c>
      <c r="I17">
        <v>16.918031609195406</v>
      </c>
      <c r="J17">
        <v>621.04564460263452</v>
      </c>
      <c r="K17" s="3">
        <v>0</v>
      </c>
      <c r="L17" s="3">
        <v>0</v>
      </c>
    </row>
    <row r="18" spans="1:12">
      <c r="A18" s="1" t="s">
        <v>16</v>
      </c>
      <c r="B18">
        <v>0</v>
      </c>
      <c r="C18">
        <v>0</v>
      </c>
      <c r="D18">
        <v>219.22483780298597</v>
      </c>
      <c r="E18">
        <v>245.22675521226225</v>
      </c>
      <c r="F18">
        <v>5.28</v>
      </c>
      <c r="G18">
        <v>22.164762931034488</v>
      </c>
      <c r="H18">
        <v>90.479346264367834</v>
      </c>
      <c r="I18">
        <v>16.918031609195406</v>
      </c>
      <c r="J18">
        <v>599.2937338198459</v>
      </c>
      <c r="K18" s="3">
        <v>0</v>
      </c>
      <c r="L18" s="3">
        <v>0</v>
      </c>
    </row>
    <row r="19" spans="1:12">
      <c r="A19" s="1" t="s">
        <v>17</v>
      </c>
      <c r="B19">
        <v>0</v>
      </c>
      <c r="C19">
        <v>0</v>
      </c>
      <c r="D19">
        <v>220.41204365179178</v>
      </c>
      <c r="E19">
        <v>250.93931757285287</v>
      </c>
      <c r="F19">
        <v>7.8689999999999989</v>
      </c>
      <c r="G19">
        <v>22.164762931034488</v>
      </c>
      <c r="H19">
        <v>90.479346264367834</v>
      </c>
      <c r="I19">
        <v>16.918031609195406</v>
      </c>
      <c r="J19">
        <v>608.78250202924232</v>
      </c>
      <c r="K19" s="3">
        <v>0</v>
      </c>
      <c r="L19" s="3">
        <v>0</v>
      </c>
    </row>
    <row r="20" spans="1:12">
      <c r="A20" s="1" t="s">
        <v>18</v>
      </c>
      <c r="B20">
        <v>0</v>
      </c>
      <c r="C20">
        <v>0</v>
      </c>
      <c r="D20">
        <v>220.761221842617</v>
      </c>
      <c r="E20">
        <v>252.61948297302655</v>
      </c>
      <c r="F20">
        <v>9.020999999999999</v>
      </c>
      <c r="G20">
        <v>22.164762931034488</v>
      </c>
      <c r="H20">
        <v>90.479346264367834</v>
      </c>
      <c r="I20">
        <v>16.918031609195406</v>
      </c>
      <c r="J20">
        <v>611.96384562024127</v>
      </c>
      <c r="K20" s="3">
        <v>0</v>
      </c>
      <c r="L20" s="3">
        <v>0</v>
      </c>
    </row>
    <row r="21" spans="1:12">
      <c r="A21" s="1" t="s">
        <v>19</v>
      </c>
      <c r="B21">
        <v>0</v>
      </c>
      <c r="C21">
        <v>0</v>
      </c>
      <c r="D21">
        <v>228.16379948811206</v>
      </c>
      <c r="E21">
        <v>288.23898945670925</v>
      </c>
      <c r="F21">
        <v>10.467000000000001</v>
      </c>
      <c r="G21">
        <v>22.164762931034488</v>
      </c>
      <c r="H21">
        <v>90.479346264367834</v>
      </c>
      <c r="I21">
        <v>16.918031609195406</v>
      </c>
      <c r="J21">
        <v>656.43192974941894</v>
      </c>
      <c r="K21" s="3">
        <v>0</v>
      </c>
      <c r="L21" s="3">
        <v>0</v>
      </c>
    </row>
    <row r="22" spans="1:12">
      <c r="A22" s="1" t="s">
        <v>20</v>
      </c>
      <c r="B22">
        <v>0</v>
      </c>
      <c r="C22">
        <v>0</v>
      </c>
      <c r="D22">
        <v>235.7758840481022</v>
      </c>
      <c r="E22">
        <v>324.86659518049618</v>
      </c>
      <c r="F22">
        <v>13.103999999999999</v>
      </c>
      <c r="G22">
        <v>22.164762931034488</v>
      </c>
      <c r="H22">
        <v>90.479346264367834</v>
      </c>
      <c r="I22">
        <v>16.918031609195406</v>
      </c>
      <c r="J22">
        <v>703.30862003319612</v>
      </c>
      <c r="K22" s="3">
        <v>0</v>
      </c>
      <c r="L22" s="3">
        <v>0</v>
      </c>
    </row>
    <row r="23" spans="1:12">
      <c r="A23" s="1" t="s">
        <v>21</v>
      </c>
      <c r="B23">
        <v>0</v>
      </c>
      <c r="C23">
        <v>0</v>
      </c>
      <c r="D23">
        <v>242.34043403561668</v>
      </c>
      <c r="E23">
        <v>356.45370470376196</v>
      </c>
      <c r="F23">
        <v>10.188000000000001</v>
      </c>
      <c r="G23">
        <v>22.164762931034488</v>
      </c>
      <c r="H23">
        <v>90.479346264367834</v>
      </c>
      <c r="I23">
        <v>16.918031609195406</v>
      </c>
      <c r="J23">
        <v>738.54427954397636</v>
      </c>
      <c r="K23" s="3">
        <v>0</v>
      </c>
      <c r="L23" s="3">
        <v>0</v>
      </c>
    </row>
    <row r="24" spans="1:12">
      <c r="A24" s="1" t="s">
        <v>22</v>
      </c>
      <c r="B24">
        <v>0</v>
      </c>
      <c r="C24">
        <v>0</v>
      </c>
      <c r="D24">
        <v>241.99125584479143</v>
      </c>
      <c r="E24">
        <v>354.77353930358828</v>
      </c>
      <c r="F24">
        <v>11.639999999999999</v>
      </c>
      <c r="G24">
        <v>22.164762931034488</v>
      </c>
      <c r="H24">
        <v>90.479346264367834</v>
      </c>
      <c r="I24">
        <v>16.918031609195406</v>
      </c>
      <c r="J24">
        <v>737.96693595297734</v>
      </c>
      <c r="K24" s="3">
        <v>0</v>
      </c>
      <c r="L24" s="3">
        <v>0</v>
      </c>
    </row>
    <row r="25" spans="1:12">
      <c r="A25" s="1" t="s">
        <v>23</v>
      </c>
      <c r="B25">
        <v>0</v>
      </c>
      <c r="C25">
        <v>0</v>
      </c>
      <c r="D25">
        <v>249.11449093762627</v>
      </c>
      <c r="E25">
        <v>389.04891346713202</v>
      </c>
      <c r="F25">
        <v>13.065</v>
      </c>
      <c r="G25">
        <v>22.164762931034488</v>
      </c>
      <c r="H25">
        <v>90.479346264367834</v>
      </c>
      <c r="I25">
        <v>16.918031609195406</v>
      </c>
      <c r="J25">
        <v>780.79054520935597</v>
      </c>
      <c r="K25" s="3">
        <v>0</v>
      </c>
      <c r="L25" s="3">
        <v>0</v>
      </c>
    </row>
    <row r="26" spans="1:12">
      <c r="A26" s="1" t="s">
        <v>24</v>
      </c>
      <c r="B26">
        <v>0</v>
      </c>
      <c r="C26">
        <v>0</v>
      </c>
      <c r="D26">
        <v>298.00145717950039</v>
      </c>
      <c r="E26">
        <v>472.45864265267676</v>
      </c>
      <c r="F26">
        <v>15.837</v>
      </c>
      <c r="G26">
        <v>26.321120689655174</v>
      </c>
      <c r="H26">
        <v>107.44612068965519</v>
      </c>
      <c r="I26">
        <v>20.090517241379313</v>
      </c>
      <c r="J26">
        <v>940.15485845286673</v>
      </c>
      <c r="K26" s="3">
        <v>0</v>
      </c>
      <c r="L26" s="3">
        <v>0</v>
      </c>
    </row>
    <row r="27" spans="1:12">
      <c r="A27" s="1" t="s">
        <v>25</v>
      </c>
      <c r="B27">
        <v>0</v>
      </c>
      <c r="C27">
        <v>0</v>
      </c>
      <c r="D27">
        <v>290.24970134318011</v>
      </c>
      <c r="E27">
        <v>435.15897076882038</v>
      </c>
      <c r="F27">
        <v>14.613</v>
      </c>
      <c r="G27">
        <v>26.321120689655174</v>
      </c>
      <c r="H27">
        <v>107.44612068965519</v>
      </c>
      <c r="I27">
        <v>20.090517241379313</v>
      </c>
      <c r="J27">
        <v>893.87943073269014</v>
      </c>
      <c r="K27" s="3">
        <v>0</v>
      </c>
      <c r="L27" s="3">
        <v>0</v>
      </c>
    </row>
    <row r="28" spans="1:12">
      <c r="A28" s="1" t="s">
        <v>26</v>
      </c>
      <c r="B28">
        <v>0</v>
      </c>
      <c r="C28">
        <v>0</v>
      </c>
      <c r="D28">
        <v>290.04019442868497</v>
      </c>
      <c r="E28">
        <v>434.15087152871615</v>
      </c>
      <c r="F28">
        <v>14.154</v>
      </c>
      <c r="G28">
        <v>26.321120689655174</v>
      </c>
      <c r="H28">
        <v>107.44612068965519</v>
      </c>
      <c r="I28">
        <v>20.090517241379313</v>
      </c>
      <c r="J28">
        <v>892.20282457809083</v>
      </c>
      <c r="K28" s="3">
        <v>0</v>
      </c>
      <c r="L28" s="3">
        <v>0</v>
      </c>
    </row>
    <row r="29" spans="1:12">
      <c r="A29" s="1" t="s">
        <v>27</v>
      </c>
      <c r="B29">
        <v>0</v>
      </c>
      <c r="C29">
        <v>0</v>
      </c>
      <c r="D29">
        <v>297.16342952151979</v>
      </c>
      <c r="E29">
        <v>468.4262456922599</v>
      </c>
      <c r="F29">
        <v>16.097999999999999</v>
      </c>
      <c r="G29">
        <v>26.321120689655174</v>
      </c>
      <c r="H29">
        <v>107.44612068965519</v>
      </c>
      <c r="I29">
        <v>20.090517241379313</v>
      </c>
      <c r="J29">
        <v>935.54543383446924</v>
      </c>
      <c r="K29" s="3">
        <v>0</v>
      </c>
      <c r="L29" s="3">
        <v>0</v>
      </c>
    </row>
    <row r="30" spans="1:12">
      <c r="A30" s="1" t="s">
        <v>28</v>
      </c>
      <c r="B30">
        <v>0</v>
      </c>
      <c r="C30">
        <v>0</v>
      </c>
      <c r="D30">
        <v>309.45450183856815</v>
      </c>
      <c r="E30">
        <v>527.56806777837448</v>
      </c>
      <c r="F30">
        <v>15.998999999999999</v>
      </c>
      <c r="G30">
        <v>26.321120689655174</v>
      </c>
      <c r="H30">
        <v>107.44612068965519</v>
      </c>
      <c r="I30">
        <v>20.090517241379313</v>
      </c>
      <c r="J30">
        <v>1006.8793282376324</v>
      </c>
      <c r="K30" s="3">
        <v>0</v>
      </c>
      <c r="L30" s="3">
        <v>0</v>
      </c>
    </row>
    <row r="31" spans="1:12">
      <c r="A31" s="1" t="s">
        <v>29</v>
      </c>
      <c r="B31">
        <v>0</v>
      </c>
      <c r="C31">
        <v>0</v>
      </c>
      <c r="D31">
        <v>319.16165554350971</v>
      </c>
      <c r="E31">
        <v>574.27666590320371</v>
      </c>
      <c r="F31">
        <v>22.238999999999997</v>
      </c>
      <c r="G31">
        <v>26.321120689655174</v>
      </c>
      <c r="H31">
        <v>107.44612068965519</v>
      </c>
      <c r="I31">
        <v>20.090517241379313</v>
      </c>
      <c r="J31">
        <v>1069.535080067403</v>
      </c>
      <c r="K31" s="3">
        <v>0</v>
      </c>
      <c r="L31" s="3">
        <v>0</v>
      </c>
    </row>
    <row r="32" spans="1:12">
      <c r="A32" s="1" t="s">
        <v>30</v>
      </c>
      <c r="B32">
        <v>0</v>
      </c>
      <c r="C32">
        <v>0</v>
      </c>
      <c r="D32">
        <v>334.59533157798518</v>
      </c>
      <c r="E32">
        <v>648.53997659088168</v>
      </c>
      <c r="F32">
        <v>24.387</v>
      </c>
      <c r="G32">
        <v>26.321120689655174</v>
      </c>
      <c r="H32">
        <v>107.44612068965519</v>
      </c>
      <c r="I32">
        <v>20.090517241379313</v>
      </c>
      <c r="J32">
        <v>1161.3800667895564</v>
      </c>
      <c r="K32" s="3">
        <v>0</v>
      </c>
      <c r="L32" s="3">
        <v>0</v>
      </c>
    </row>
    <row r="33" spans="1:12">
      <c r="A33" s="1" t="s">
        <v>31</v>
      </c>
      <c r="B33">
        <v>0</v>
      </c>
      <c r="C33">
        <v>0</v>
      </c>
      <c r="D33">
        <v>354.98733792217905</v>
      </c>
      <c r="E33">
        <v>746.6616359610266</v>
      </c>
      <c r="F33">
        <v>24.843</v>
      </c>
      <c r="G33">
        <v>26.321120689655174</v>
      </c>
      <c r="H33">
        <v>107.44612068965519</v>
      </c>
      <c r="I33">
        <v>20.090517241379313</v>
      </c>
      <c r="J33">
        <v>1280.3497325038952</v>
      </c>
      <c r="K33" s="3">
        <v>0</v>
      </c>
      <c r="L33" s="3">
        <v>0</v>
      </c>
    </row>
    <row r="34" spans="1:12">
      <c r="A34" s="1" t="s">
        <v>32</v>
      </c>
      <c r="B34">
        <v>0</v>
      </c>
      <c r="C34">
        <v>0</v>
      </c>
      <c r="D34">
        <v>406.73554580247912</v>
      </c>
      <c r="E34">
        <v>995.6621482667706</v>
      </c>
      <c r="F34">
        <v>38.502000000000002</v>
      </c>
      <c r="G34">
        <v>26.321120689655174</v>
      </c>
      <c r="H34">
        <v>107.44612068965519</v>
      </c>
      <c r="I34">
        <v>20.090517241379313</v>
      </c>
      <c r="J34">
        <v>1594.7574526899391</v>
      </c>
      <c r="K34" s="3">
        <v>0</v>
      </c>
      <c r="L34" s="3">
        <v>0</v>
      </c>
    </row>
    <row r="35" spans="1:12">
      <c r="A35" s="1" t="s">
        <v>33</v>
      </c>
      <c r="B35">
        <v>0</v>
      </c>
      <c r="C35">
        <v>0</v>
      </c>
      <c r="D35">
        <v>464.07060473598312</v>
      </c>
      <c r="E35">
        <v>1271.5453069752941</v>
      </c>
      <c r="F35">
        <v>41.861999999999995</v>
      </c>
      <c r="G35">
        <v>26.321120689655174</v>
      </c>
      <c r="H35">
        <v>107.44612068965519</v>
      </c>
      <c r="I35">
        <v>20.090517241379313</v>
      </c>
      <c r="J35">
        <v>1931.3356703319669</v>
      </c>
      <c r="K35" s="3">
        <v>0</v>
      </c>
      <c r="L35" s="3">
        <v>0</v>
      </c>
    </row>
    <row r="36" spans="1:12">
      <c r="A36" s="1" t="s">
        <v>34</v>
      </c>
      <c r="B36">
        <v>0</v>
      </c>
      <c r="C36">
        <v>0</v>
      </c>
      <c r="D36">
        <v>440.11698084537187</v>
      </c>
      <c r="E36">
        <v>1156.2859605233775</v>
      </c>
      <c r="F36">
        <v>52.875</v>
      </c>
      <c r="G36">
        <v>26.321120689655174</v>
      </c>
      <c r="H36">
        <v>107.44612068965519</v>
      </c>
      <c r="I36">
        <v>20.090517241379313</v>
      </c>
      <c r="J36">
        <v>1803.135699989439</v>
      </c>
      <c r="K36" s="3">
        <v>0</v>
      </c>
      <c r="L36" s="3">
        <v>0</v>
      </c>
    </row>
    <row r="37" spans="1:12">
      <c r="A37" s="1" t="s">
        <v>35</v>
      </c>
      <c r="B37">
        <v>0</v>
      </c>
      <c r="C37">
        <v>0</v>
      </c>
      <c r="D37">
        <v>512.81588017518618</v>
      </c>
      <c r="E37">
        <v>1506.0963968395442</v>
      </c>
      <c r="F37">
        <v>66.287999999999997</v>
      </c>
      <c r="G37">
        <v>26.321120689655174</v>
      </c>
      <c r="H37">
        <v>107.44612068965519</v>
      </c>
      <c r="I37">
        <v>20.090517241379313</v>
      </c>
      <c r="J37">
        <v>2239.0580356354208</v>
      </c>
      <c r="K37" s="3">
        <v>0</v>
      </c>
      <c r="L37" s="3">
        <v>0</v>
      </c>
    </row>
    <row r="38" spans="1:12">
      <c r="A38" s="1" t="s">
        <v>36</v>
      </c>
      <c r="B38">
        <v>0</v>
      </c>
      <c r="C38">
        <v>0</v>
      </c>
      <c r="D38">
        <v>482.82345156303302</v>
      </c>
      <c r="E38">
        <v>1213.0799363810281</v>
      </c>
      <c r="F38">
        <v>50.360999999999997</v>
      </c>
      <c r="G38">
        <v>30.391971982758623</v>
      </c>
      <c r="H38">
        <v>124.06384698275863</v>
      </c>
      <c r="I38">
        <v>23.19773706896552</v>
      </c>
      <c r="J38">
        <v>1923.9179439785441</v>
      </c>
      <c r="K38" s="3">
        <v>0</v>
      </c>
      <c r="L38" s="3">
        <v>0</v>
      </c>
    </row>
    <row r="39" spans="1:12">
      <c r="A39" s="1" t="s">
        <v>37</v>
      </c>
      <c r="B39">
        <v>0</v>
      </c>
      <c r="C39">
        <v>0</v>
      </c>
      <c r="D39">
        <v>475.6303808320331</v>
      </c>
      <c r="E39">
        <v>1178.4685291374497</v>
      </c>
      <c r="F39">
        <v>38.634</v>
      </c>
      <c r="G39">
        <v>30.391971982758623</v>
      </c>
      <c r="H39">
        <v>124.06384698275863</v>
      </c>
      <c r="I39">
        <v>23.19773706896552</v>
      </c>
      <c r="J39">
        <v>1870.3864660039656</v>
      </c>
      <c r="K39" s="3">
        <v>0</v>
      </c>
      <c r="L39" s="3">
        <v>0</v>
      </c>
    </row>
    <row r="40" spans="1:12">
      <c r="A40" s="1" t="s">
        <v>38</v>
      </c>
      <c r="B40">
        <v>0</v>
      </c>
      <c r="C40">
        <v>0</v>
      </c>
      <c r="D40">
        <v>581.50120829024502</v>
      </c>
      <c r="E40">
        <v>1687.8946784701191</v>
      </c>
      <c r="F40">
        <v>75.527999999999992</v>
      </c>
      <c r="G40">
        <v>30.391971982758623</v>
      </c>
      <c r="H40">
        <v>124.06384698275863</v>
      </c>
      <c r="I40">
        <v>23.19773706896552</v>
      </c>
      <c r="J40">
        <v>2522.5774427948468</v>
      </c>
      <c r="K40" s="3">
        <v>0</v>
      </c>
      <c r="L40" s="3">
        <v>0</v>
      </c>
    </row>
    <row r="41" spans="1:12">
      <c r="A41" s="1" t="s">
        <v>39</v>
      </c>
      <c r="B41">
        <v>0</v>
      </c>
      <c r="C41">
        <v>0</v>
      </c>
      <c r="D41">
        <v>510.33869300006177</v>
      </c>
      <c r="E41">
        <v>1345.4769699147166</v>
      </c>
      <c r="F41">
        <v>49.8</v>
      </c>
      <c r="G41">
        <v>30.391971982758623</v>
      </c>
      <c r="H41">
        <v>124.06384698275863</v>
      </c>
      <c r="I41">
        <v>23.19773706896552</v>
      </c>
      <c r="J41">
        <v>2083.2692189492614</v>
      </c>
      <c r="K41" s="3">
        <v>0</v>
      </c>
      <c r="L41" s="3">
        <v>0</v>
      </c>
    </row>
    <row r="42" spans="1:12">
      <c r="A42" s="1" t="s">
        <v>40</v>
      </c>
      <c r="B42">
        <v>0</v>
      </c>
      <c r="C42">
        <v>0</v>
      </c>
      <c r="D42">
        <v>489.17849463605228</v>
      </c>
      <c r="E42">
        <v>1243.6589466641897</v>
      </c>
      <c r="F42">
        <v>53.252999999999993</v>
      </c>
      <c r="G42">
        <v>30.391971982758623</v>
      </c>
      <c r="H42">
        <v>124.06384698275863</v>
      </c>
      <c r="I42">
        <v>23.19773706896552</v>
      </c>
      <c r="J42">
        <v>1963.7439973347248</v>
      </c>
      <c r="K42" s="3">
        <v>0</v>
      </c>
      <c r="L42" s="3">
        <v>0</v>
      </c>
    </row>
    <row r="43" spans="1:12">
      <c r="A43" s="1" t="s">
        <v>41</v>
      </c>
      <c r="B43">
        <v>0</v>
      </c>
      <c r="C43">
        <v>0</v>
      </c>
      <c r="D43">
        <v>519.83633979050819</v>
      </c>
      <c r="E43">
        <v>1391.1774687994416</v>
      </c>
      <c r="F43">
        <v>65.453999999999994</v>
      </c>
      <c r="G43">
        <v>30.391971982758623</v>
      </c>
      <c r="H43">
        <v>124.06384698275863</v>
      </c>
      <c r="I43">
        <v>23.19773706896552</v>
      </c>
      <c r="J43">
        <v>2154.1213646244328</v>
      </c>
      <c r="K43" s="3">
        <v>0</v>
      </c>
      <c r="L43" s="3">
        <v>0</v>
      </c>
    </row>
    <row r="44" spans="1:12">
      <c r="A44" s="1" t="s">
        <v>42</v>
      </c>
      <c r="B44">
        <v>0</v>
      </c>
      <c r="C44">
        <v>0</v>
      </c>
      <c r="D44">
        <v>643.93426880979735</v>
      </c>
      <c r="E44">
        <v>1988.3082520211788</v>
      </c>
      <c r="F44">
        <v>94.577999999999989</v>
      </c>
      <c r="G44">
        <v>30.391971982758623</v>
      </c>
      <c r="H44">
        <v>124.06384698275863</v>
      </c>
      <c r="I44">
        <v>23.19773706896552</v>
      </c>
      <c r="J44">
        <v>2904.4740768654588</v>
      </c>
      <c r="K44" s="3">
        <v>0</v>
      </c>
      <c r="L44" s="3">
        <v>0</v>
      </c>
    </row>
    <row r="45" spans="1:12">
      <c r="A45" s="1" t="s">
        <v>43</v>
      </c>
      <c r="B45">
        <v>0</v>
      </c>
      <c r="C45">
        <v>0</v>
      </c>
      <c r="D45">
        <v>774.59674781660101</v>
      </c>
      <c r="E45">
        <v>2617.0261447661815</v>
      </c>
      <c r="F45">
        <v>140.80500000000001</v>
      </c>
      <c r="G45">
        <v>30.391971982758623</v>
      </c>
      <c r="H45">
        <v>124.06384698275863</v>
      </c>
      <c r="I45">
        <v>23.19773706896552</v>
      </c>
      <c r="J45">
        <v>3710.0814486172653</v>
      </c>
      <c r="K45" s="3">
        <v>0</v>
      </c>
      <c r="L45" s="3">
        <v>0</v>
      </c>
    </row>
    <row r="46" spans="1:12">
      <c r="A46" s="1" t="s">
        <v>44</v>
      </c>
      <c r="B46">
        <v>0</v>
      </c>
      <c r="C46">
        <v>0</v>
      </c>
      <c r="D46">
        <v>698.19655966403911</v>
      </c>
      <c r="E46">
        <v>2249.4059552081735</v>
      </c>
      <c r="F46">
        <v>108.054</v>
      </c>
      <c r="G46">
        <v>30.391971982758623</v>
      </c>
      <c r="H46">
        <v>124.06384698275863</v>
      </c>
      <c r="I46">
        <v>23.19773706896552</v>
      </c>
      <c r="J46">
        <v>3233.3100709066957</v>
      </c>
      <c r="K46" s="3">
        <v>0</v>
      </c>
      <c r="L46" s="3">
        <v>0</v>
      </c>
    </row>
    <row r="47" spans="1:12">
      <c r="A47" s="1" t="s">
        <v>59</v>
      </c>
      <c r="B47">
        <v>0</v>
      </c>
      <c r="C47">
        <v>0</v>
      </c>
      <c r="D47">
        <v>557.96659822862398</v>
      </c>
      <c r="E47">
        <v>1574.6515304984107</v>
      </c>
      <c r="F47">
        <v>47.333999999999996</v>
      </c>
      <c r="G47">
        <v>30.391971982758623</v>
      </c>
      <c r="H47">
        <v>124.06384698275863</v>
      </c>
      <c r="I47">
        <v>23.19773706896552</v>
      </c>
      <c r="J47">
        <v>2357.6056847615173</v>
      </c>
      <c r="K47" s="3">
        <v>0</v>
      </c>
      <c r="L47" s="3">
        <v>0</v>
      </c>
    </row>
    <row r="48" spans="1:12">
      <c r="A48" s="1" t="s">
        <v>60</v>
      </c>
      <c r="B48">
        <v>0</v>
      </c>
      <c r="C48">
        <v>0</v>
      </c>
      <c r="D48">
        <v>534.92083763415837</v>
      </c>
      <c r="E48">
        <v>1463.7606140869459</v>
      </c>
      <c r="F48">
        <v>52.634999999999998</v>
      </c>
      <c r="G48">
        <v>30.391971982758623</v>
      </c>
      <c r="H48">
        <v>124.06384698275863</v>
      </c>
      <c r="I48">
        <v>23.19773706896552</v>
      </c>
      <c r="J48">
        <v>2228.9700077555872</v>
      </c>
      <c r="K48" s="3">
        <v>0</v>
      </c>
      <c r="L48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E788-BE11-4F18-871D-C5FAA66492BB}">
  <sheetPr codeName="Sheet3"/>
  <dimension ref="A1:L43"/>
  <sheetViews>
    <sheetView workbookViewId="0">
      <selection activeCell="K9" sqref="K9"/>
    </sheetView>
  </sheetViews>
  <sheetFormatPr defaultColWidth="8.88671875" defaultRowHeight="14.4"/>
  <cols>
    <col min="1" max="1" width="8.88671875" style="5"/>
    <col min="2" max="2" width="9.5546875" style="5" bestFit="1" customWidth="1"/>
    <col min="3" max="6" width="9" style="5" bestFit="1" customWidth="1"/>
    <col min="7" max="7" width="12" style="5" bestFit="1" customWidth="1"/>
    <col min="8" max="9" width="9" style="5" bestFit="1" customWidth="1"/>
    <col min="10" max="10" width="9.5546875" style="5" bestFit="1" customWidth="1"/>
    <col min="11" max="16384" width="8.88671875" style="5"/>
  </cols>
  <sheetData>
    <row r="1" spans="1:12">
      <c r="A1" s="4" t="s">
        <v>56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</row>
    <row r="2" spans="1:12">
      <c r="A2" s="7" t="s">
        <v>57</v>
      </c>
      <c r="B2" s="6">
        <f>AVERAGE('BAU breakdown'!B2:B13)</f>
        <v>140.37406812121213</v>
      </c>
      <c r="C2" s="6">
        <f>AVERAGE('BAU breakdown'!C2:C13)</f>
        <v>0</v>
      </c>
      <c r="D2" s="6">
        <f>AVERAGE('BAU breakdown'!D2:D13)</f>
        <v>0</v>
      </c>
      <c r="E2" s="6">
        <f>AVERAGE('BAU breakdown'!E2:E13)</f>
        <v>0</v>
      </c>
      <c r="F2" s="6">
        <f>AVERAGE('BAU breakdown'!F2:F13)</f>
        <v>2.7894916666666667</v>
      </c>
      <c r="G2" s="6">
        <f>AVERAGE('BAU breakdown'!G2:G13)</f>
        <v>25.530711206896552</v>
      </c>
      <c r="H2" s="6">
        <f>AVERAGE('BAU breakdown'!H2:H13)</f>
        <v>55.862068965517246</v>
      </c>
      <c r="I2" s="6">
        <f>AVERAGE('BAU breakdown'!I2:I13)</f>
        <v>11.128771551724141</v>
      </c>
      <c r="J2" s="6">
        <f>AVERAGE('BAU breakdown'!J2:J13)</f>
        <v>235.68511151201673</v>
      </c>
      <c r="K2" s="6"/>
      <c r="L2" s="6"/>
    </row>
    <row r="3" spans="1:12">
      <c r="A3" s="7" t="s">
        <v>57</v>
      </c>
      <c r="B3" s="6">
        <f>AVERAGE('Wind breakdown'!B2:B13)</f>
        <v>0</v>
      </c>
      <c r="C3" s="6">
        <f>AVERAGE('Wind breakdown'!C2:C13)</f>
        <v>0</v>
      </c>
      <c r="D3" s="6">
        <f>AVERAGE('Wind breakdown'!D2:D13)</f>
        <v>245.70438806084951</v>
      </c>
      <c r="E3" s="6">
        <f>AVERAGE('Wind breakdown'!E2:E13)</f>
        <v>1307.5419999999997</v>
      </c>
      <c r="F3" s="6">
        <f>AVERAGE('Wind breakdown'!F2:F13)</f>
        <v>11.308749999999998</v>
      </c>
      <c r="G3" s="6">
        <f>AVERAGE('Wind breakdown'!G2:G13)</f>
        <v>22.584859913793107</v>
      </c>
      <c r="H3" s="6">
        <f>AVERAGE('Wind breakdown'!H2:H13)</f>
        <v>92.194234913793125</v>
      </c>
      <c r="I3" s="6">
        <f>AVERAGE('Wind breakdown'!I2:I13)</f>
        <v>17.238685344827591</v>
      </c>
      <c r="J3" s="6">
        <f>AVERAGE('Wind breakdown'!J2:J13)</f>
        <v>1696.5729182332632</v>
      </c>
      <c r="K3" s="6">
        <v>399.0369926531389</v>
      </c>
      <c r="L3" s="6">
        <v>389.22268691962495</v>
      </c>
    </row>
    <row r="4" spans="1:12">
      <c r="A4" s="7" t="s">
        <v>57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/>
      <c r="L4" s="6"/>
    </row>
    <row r="5" spans="1:12">
      <c r="A5" s="7" t="s">
        <v>58</v>
      </c>
      <c r="B5" s="6">
        <f>AVERAGE('BAU breakdown'!B14:B25)</f>
        <v>94.694087909090896</v>
      </c>
      <c r="C5" s="6">
        <f>AVERAGE('BAU breakdown'!C14:C25)</f>
        <v>0</v>
      </c>
      <c r="D5" s="6">
        <f>AVERAGE('BAU breakdown'!D14:D25)</f>
        <v>0</v>
      </c>
      <c r="E5" s="6">
        <f>AVERAGE('BAU breakdown'!E14:E25)</f>
        <v>0</v>
      </c>
      <c r="F5" s="6">
        <f>AVERAGE('BAU breakdown'!F14:F25)</f>
        <v>2.2523133333333329</v>
      </c>
      <c r="G5" s="6">
        <f>AVERAGE('BAU breakdown'!G14:G25)</f>
        <v>25.055818965517243</v>
      </c>
      <c r="H5" s="6">
        <f>AVERAGE('BAU breakdown'!H14:H25)</f>
        <v>54.822988505747155</v>
      </c>
      <c r="I5" s="6">
        <f>AVERAGE('BAU breakdown'!I14:I25)</f>
        <v>10.921767241379314</v>
      </c>
      <c r="J5" s="6">
        <f>AVERAGE('BAU breakdown'!J14:J25)</f>
        <v>187.74697595506791</v>
      </c>
      <c r="K5" s="6"/>
      <c r="L5" s="6"/>
    </row>
    <row r="6" spans="1:12">
      <c r="A6" s="7" t="s">
        <v>58</v>
      </c>
      <c r="B6" s="6">
        <f>AVERAGE('Wind breakdown'!B14:B25)</f>
        <v>0</v>
      </c>
      <c r="C6" s="6">
        <f>AVERAGE('Wind breakdown'!C14:C25)</f>
        <v>0</v>
      </c>
      <c r="D6" s="6">
        <f>AVERAGE('Wind breakdown'!D14:D25)</f>
        <v>230.83501264792508</v>
      </c>
      <c r="E6" s="6">
        <f>AVERAGE('Wind breakdown'!E14:E25)</f>
        <v>1070.8780000000002</v>
      </c>
      <c r="F6" s="6">
        <f>AVERAGE('Wind breakdown'!F14:F25)</f>
        <v>9.1310000000000002</v>
      </c>
      <c r="G6" s="6">
        <f>AVERAGE('Wind breakdown'!G14:G25)</f>
        <v>22.164762931034488</v>
      </c>
      <c r="H6" s="6">
        <f>AVERAGE('Wind breakdown'!H14:H25)</f>
        <v>90.479346264367805</v>
      </c>
      <c r="I6" s="6">
        <f>AVERAGE('Wind breakdown'!I14:I25)</f>
        <v>16.918031609195403</v>
      </c>
      <c r="J6" s="6">
        <f>AVERAGE('Wind breakdown'!J14:J25)</f>
        <v>1440.4061534525229</v>
      </c>
      <c r="K6" s="6">
        <v>200.57521666749062</v>
      </c>
      <c r="L6" s="6">
        <v>298.83956913745124</v>
      </c>
    </row>
    <row r="7" spans="1:12">
      <c r="A7" s="7" t="s">
        <v>58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/>
      <c r="L7" s="6"/>
    </row>
    <row r="8" spans="1:12">
      <c r="A8" s="4" t="s">
        <v>30</v>
      </c>
      <c r="B8" s="6">
        <f>'BAU breakdown'!B32</f>
        <v>365.34249490909093</v>
      </c>
      <c r="C8" s="6">
        <f>'BAU breakdown'!C32</f>
        <v>0</v>
      </c>
      <c r="D8" s="6">
        <f>'BAU breakdown'!D32</f>
        <v>0</v>
      </c>
      <c r="E8" s="6">
        <f>'BAU breakdown'!E32</f>
        <v>0</v>
      </c>
      <c r="F8" s="6">
        <f>'BAU breakdown'!F32</f>
        <v>6.01546</v>
      </c>
      <c r="G8" s="6">
        <f>'BAU breakdown'!G32</f>
        <v>29.754310344827591</v>
      </c>
      <c r="H8" s="6">
        <f>'BAU breakdown'!H32</f>
        <v>65.103448275862078</v>
      </c>
      <c r="I8" s="6">
        <f>'BAU breakdown'!I32</f>
        <v>12.969827586206899</v>
      </c>
      <c r="J8" s="6">
        <f>'BAU breakdown'!J32</f>
        <v>479.18554111598758</v>
      </c>
      <c r="K8" s="6"/>
      <c r="L8" s="6"/>
    </row>
    <row r="9" spans="1:12">
      <c r="A9" s="4" t="s">
        <v>30</v>
      </c>
      <c r="B9" s="6">
        <f>'Wind breakdown'!B32</f>
        <v>0</v>
      </c>
      <c r="C9" s="6">
        <f>'Wind breakdown'!C32</f>
        <v>0</v>
      </c>
      <c r="D9" s="6">
        <f>'Wind breakdown'!D32</f>
        <v>334.59533157798518</v>
      </c>
      <c r="E9" s="6">
        <f>'Wind breakdown'!E32</f>
        <v>1021.9720000000001</v>
      </c>
      <c r="F9" s="6">
        <f>'Wind breakdown'!F32</f>
        <v>24.387</v>
      </c>
      <c r="G9" s="6">
        <f>'Wind breakdown'!G32</f>
        <v>26.321120689655174</v>
      </c>
      <c r="H9" s="6">
        <f>'Wind breakdown'!H32</f>
        <v>107.44612068965519</v>
      </c>
      <c r="I9" s="6">
        <f>'Wind breakdown'!I32</f>
        <v>20.090517241379313</v>
      </c>
      <c r="J9" s="6">
        <f>'Wind breakdown'!J32</f>
        <v>1534.8120901986747</v>
      </c>
      <c r="K9" s="6">
        <f>'Wind breakdown'!K32</f>
        <v>284.64641975308655</v>
      </c>
      <c r="L9" s="6">
        <f>'Wind breakdown'!L32</f>
        <v>295.09641975308637</v>
      </c>
    </row>
    <row r="10" spans="1:12">
      <c r="A10" s="4" t="s">
        <v>30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/>
      <c r="L10" s="6"/>
    </row>
    <row r="11" spans="1:12">
      <c r="A11" s="4" t="s">
        <v>33</v>
      </c>
      <c r="B11" s="6">
        <f>'BAU breakdown'!B35</f>
        <v>906.78532909090904</v>
      </c>
      <c r="C11" s="6">
        <f>'BAU breakdown'!C35</f>
        <v>0</v>
      </c>
      <c r="D11" s="6">
        <f>'BAU breakdown'!D35</f>
        <v>0</v>
      </c>
      <c r="E11" s="6">
        <f>'BAU breakdown'!E35</f>
        <v>0</v>
      </c>
      <c r="F11" s="6">
        <f>'BAU breakdown'!F35</f>
        <v>10.325959999999998</v>
      </c>
      <c r="G11" s="6">
        <f>'BAU breakdown'!G35</f>
        <v>29.754310344827591</v>
      </c>
      <c r="H11" s="6">
        <f>'BAU breakdown'!H35</f>
        <v>65.103448275862078</v>
      </c>
      <c r="I11" s="6">
        <f>'BAU breakdown'!I35</f>
        <v>12.969827586206899</v>
      </c>
      <c r="J11" s="6">
        <f>'BAU breakdown'!J35</f>
        <v>1024.9388752978057</v>
      </c>
      <c r="K11" s="6"/>
      <c r="L11" s="6"/>
    </row>
    <row r="12" spans="1:12">
      <c r="A12" s="4" t="s">
        <v>33</v>
      </c>
      <c r="B12" s="6">
        <f>'Wind breakdown'!B35</f>
        <v>0</v>
      </c>
      <c r="C12" s="6">
        <f>'Wind breakdown'!C35</f>
        <v>0</v>
      </c>
      <c r="D12" s="6">
        <f>'Wind breakdown'!D35</f>
        <v>464.07060473598312</v>
      </c>
      <c r="E12" s="6">
        <f>'Wind breakdown'!E35</f>
        <v>1021.9720000000001</v>
      </c>
      <c r="F12" s="6">
        <f>'Wind breakdown'!F35</f>
        <v>41.861999999999995</v>
      </c>
      <c r="G12" s="6">
        <f>'Wind breakdown'!G35</f>
        <v>26.321120689655174</v>
      </c>
      <c r="H12" s="6">
        <f>'Wind breakdown'!H35</f>
        <v>107.44612068965519</v>
      </c>
      <c r="I12" s="6">
        <f>'Wind breakdown'!I35</f>
        <v>20.090517241379313</v>
      </c>
      <c r="J12" s="6">
        <f>'Wind breakdown'!J35</f>
        <v>1681.7623633566729</v>
      </c>
      <c r="K12" s="6">
        <f>'Wind breakdown'!K35</f>
        <v>284.64641975308655</v>
      </c>
      <c r="L12" s="6">
        <f>'Wind breakdown'!L35</f>
        <v>295.09641975308637</v>
      </c>
    </row>
    <row r="13" spans="1:12">
      <c r="A13" s="4" t="s">
        <v>33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/>
      <c r="L13" s="6"/>
    </row>
    <row r="14" spans="1:12">
      <c r="A14" s="4" t="s">
        <v>36</v>
      </c>
      <c r="B14" s="6">
        <f>'BAU breakdown'!B38</f>
        <v>825.30606763636376</v>
      </c>
      <c r="C14" s="6">
        <f>'BAU breakdown'!C38</f>
        <v>0</v>
      </c>
      <c r="D14" s="6">
        <f>'BAU breakdown'!D38</f>
        <v>0</v>
      </c>
      <c r="E14" s="6">
        <f>'BAU breakdown'!E38</f>
        <v>0</v>
      </c>
      <c r="F14" s="6">
        <f>'BAU breakdown'!F38</f>
        <v>12.42238</v>
      </c>
      <c r="G14" s="6">
        <f>'BAU breakdown'!G38</f>
        <v>34.35614224137931</v>
      </c>
      <c r="H14" s="6">
        <f>'BAU breakdown'!H38</f>
        <v>75.172413793103445</v>
      </c>
      <c r="I14" s="6">
        <f>'BAU breakdown'!I38</f>
        <v>14.975754310344829</v>
      </c>
      <c r="J14" s="6">
        <f>'BAU breakdown'!J38</f>
        <v>962.23275798119141</v>
      </c>
      <c r="K14" s="6"/>
      <c r="L14" s="6"/>
    </row>
    <row r="15" spans="1:12">
      <c r="A15" s="4" t="s">
        <v>36</v>
      </c>
      <c r="B15" s="6">
        <f>'Wind breakdown'!B38</f>
        <v>0</v>
      </c>
      <c r="C15" s="6">
        <f>'Wind breakdown'!C38</f>
        <v>0</v>
      </c>
      <c r="D15" s="6">
        <f>'Wind breakdown'!D38</f>
        <v>482.82345156303302</v>
      </c>
      <c r="E15" s="6">
        <f>'Wind breakdown'!E38</f>
        <v>1180.0312288135592</v>
      </c>
      <c r="F15" s="6">
        <f>'Wind breakdown'!F38</f>
        <v>50.360999999999997</v>
      </c>
      <c r="G15" s="6">
        <f>'Wind breakdown'!G38</f>
        <v>30.391971982758623</v>
      </c>
      <c r="H15" s="6">
        <f>'Wind breakdown'!H38</f>
        <v>124.06384698275863</v>
      </c>
      <c r="I15" s="6">
        <f>'Wind breakdown'!I38</f>
        <v>23.19773706896552</v>
      </c>
      <c r="J15" s="6">
        <f>'Wind breakdown'!J38</f>
        <v>1890.869236411075</v>
      </c>
      <c r="K15" s="6">
        <f>'Wind breakdown'!K38</f>
        <v>328.670124503034</v>
      </c>
      <c r="L15" s="6">
        <f>'Wind breakdown'!L38</f>
        <v>340.73633213015296</v>
      </c>
    </row>
    <row r="16" spans="1:12">
      <c r="A16" s="4" t="s">
        <v>36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/>
      <c r="L16" s="6"/>
    </row>
    <row r="17" spans="1:12">
      <c r="A17" s="4" t="s">
        <v>39</v>
      </c>
      <c r="B17" s="6">
        <f>'BAU breakdown'!B41</f>
        <v>940.36997090909097</v>
      </c>
      <c r="C17" s="6">
        <f>'BAU breakdown'!C41</f>
        <v>0</v>
      </c>
      <c r="D17" s="6">
        <f>'BAU breakdown'!D41</f>
        <v>0</v>
      </c>
      <c r="E17" s="6">
        <f>'BAU breakdown'!E41</f>
        <v>0</v>
      </c>
      <c r="F17" s="6">
        <f>'BAU breakdown'!F41</f>
        <v>12.283999999999999</v>
      </c>
      <c r="G17" s="6">
        <f>'BAU breakdown'!G41</f>
        <v>34.35614224137931</v>
      </c>
      <c r="H17" s="6">
        <f>'BAU breakdown'!H41</f>
        <v>75.172413793103445</v>
      </c>
      <c r="I17" s="6">
        <f>'BAU breakdown'!I41</f>
        <v>14.975754310344829</v>
      </c>
      <c r="J17" s="6">
        <f>'BAU breakdown'!J41</f>
        <v>1077.1582812539186</v>
      </c>
      <c r="K17" s="6"/>
      <c r="L17" s="6"/>
    </row>
    <row r="18" spans="1:12">
      <c r="A18" s="4" t="s">
        <v>39</v>
      </c>
      <c r="B18" s="6">
        <f>'Wind breakdown'!B41</f>
        <v>0</v>
      </c>
      <c r="C18" s="6">
        <f>'Wind breakdown'!C41</f>
        <v>0</v>
      </c>
      <c r="D18" s="6">
        <f>'Wind breakdown'!D41</f>
        <v>510.33869300006177</v>
      </c>
      <c r="E18" s="6">
        <f>'Wind breakdown'!E41</f>
        <v>1180.0312288135592</v>
      </c>
      <c r="F18" s="6">
        <f>'Wind breakdown'!F41</f>
        <v>49.8</v>
      </c>
      <c r="G18" s="6">
        <f>'Wind breakdown'!G41</f>
        <v>30.391971982758623</v>
      </c>
      <c r="H18" s="6">
        <f>'Wind breakdown'!H41</f>
        <v>124.06384698275863</v>
      </c>
      <c r="I18" s="6">
        <f>'Wind breakdown'!I41</f>
        <v>23.19773706896552</v>
      </c>
      <c r="J18" s="6">
        <f>'Wind breakdown'!J41</f>
        <v>1917.8234778481037</v>
      </c>
      <c r="K18" s="6">
        <f>'Wind breakdown'!K41</f>
        <v>328.670124503034</v>
      </c>
      <c r="L18" s="6">
        <f>'Wind breakdown'!L41</f>
        <v>340.73633213015273</v>
      </c>
    </row>
    <row r="19" spans="1:12">
      <c r="A19" s="4" t="s">
        <v>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/>
      <c r="L19" s="6"/>
    </row>
    <row r="20" spans="1:12">
      <c r="A20" s="4" t="s">
        <v>42</v>
      </c>
      <c r="B20" s="6">
        <f>'BAU breakdown'!B44</f>
        <v>1499.0431865454545</v>
      </c>
      <c r="C20" s="6">
        <f>'BAU breakdown'!C44</f>
        <v>0</v>
      </c>
      <c r="D20" s="6">
        <f>'BAU breakdown'!D44</f>
        <v>0</v>
      </c>
      <c r="E20" s="6">
        <f>'BAU breakdown'!E44</f>
        <v>0</v>
      </c>
      <c r="F20" s="6">
        <f>'BAU breakdown'!F44</f>
        <v>23.329239999999999</v>
      </c>
      <c r="G20" s="6">
        <f>'BAU breakdown'!G44</f>
        <v>34.35614224137931</v>
      </c>
      <c r="H20" s="6">
        <f>'BAU breakdown'!H44</f>
        <v>75.172413793103445</v>
      </c>
      <c r="I20" s="6">
        <f>'BAU breakdown'!I44</f>
        <v>14.975754310344829</v>
      </c>
      <c r="J20" s="6">
        <f>'BAU breakdown'!J44</f>
        <v>1646.8767368902822</v>
      </c>
      <c r="K20" s="6"/>
      <c r="L20" s="6"/>
    </row>
    <row r="21" spans="1:12">
      <c r="A21" s="4" t="s">
        <v>42</v>
      </c>
      <c r="B21" s="6">
        <f>'Wind breakdown'!B44</f>
        <v>0</v>
      </c>
      <c r="C21" s="6">
        <f>'Wind breakdown'!C44</f>
        <v>0</v>
      </c>
      <c r="D21" s="6">
        <f>'Wind breakdown'!D44</f>
        <v>643.93426880979735</v>
      </c>
      <c r="E21" s="6">
        <f>'Wind breakdown'!E44</f>
        <v>1180.0312288135592</v>
      </c>
      <c r="F21" s="6">
        <f>'Wind breakdown'!F44</f>
        <v>94.577999999999989</v>
      </c>
      <c r="G21" s="6">
        <f>'Wind breakdown'!G44</f>
        <v>30.391971982758623</v>
      </c>
      <c r="H21" s="6">
        <f>'Wind breakdown'!H44</f>
        <v>124.06384698275863</v>
      </c>
      <c r="I21" s="6">
        <f>'Wind breakdown'!I44</f>
        <v>23.19773706896552</v>
      </c>
      <c r="J21" s="6">
        <f>'Wind breakdown'!J44</f>
        <v>2096.1970536578392</v>
      </c>
      <c r="K21" s="6">
        <f>'Wind breakdown'!K44</f>
        <v>328.670124503034</v>
      </c>
      <c r="L21" s="6">
        <f>'Wind breakdown'!L44</f>
        <v>340.73633213015273</v>
      </c>
    </row>
    <row r="22" spans="1:12">
      <c r="A22" s="4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/>
      <c r="L22" s="6"/>
    </row>
    <row r="23" spans="1:12">
      <c r="A23" s="4" t="s">
        <v>43</v>
      </c>
      <c r="B23" s="6">
        <f>'BAU breakdown'!B45</f>
        <v>2045.450706909091</v>
      </c>
      <c r="C23" s="6">
        <f>'BAU breakdown'!C45</f>
        <v>0</v>
      </c>
      <c r="D23" s="6">
        <f>'BAU breakdown'!D45</f>
        <v>0</v>
      </c>
      <c r="E23" s="6">
        <f>'BAU breakdown'!E45</f>
        <v>0</v>
      </c>
      <c r="F23" s="6">
        <f>'BAU breakdown'!F45</f>
        <v>34.731900000000003</v>
      </c>
      <c r="G23" s="6">
        <f>'BAU breakdown'!G45</f>
        <v>34.35614224137931</v>
      </c>
      <c r="H23" s="6">
        <f>'BAU breakdown'!H45</f>
        <v>75.172413793103445</v>
      </c>
      <c r="I23" s="6">
        <f>'BAU breakdown'!I45</f>
        <v>14.975754310344829</v>
      </c>
      <c r="J23" s="6">
        <f>'BAU breakdown'!J45</f>
        <v>2204.6869172539186</v>
      </c>
      <c r="K23" s="6"/>
      <c r="L23" s="6"/>
    </row>
    <row r="24" spans="1:12">
      <c r="A24" s="4" t="s">
        <v>43</v>
      </c>
      <c r="B24" s="6">
        <f>'Wind breakdown'!B45</f>
        <v>0</v>
      </c>
      <c r="C24" s="6">
        <f>'Wind breakdown'!C45</f>
        <v>0</v>
      </c>
      <c r="D24" s="6">
        <f>'Wind breakdown'!D45</f>
        <v>774.59674781660101</v>
      </c>
      <c r="E24" s="6">
        <f>'Wind breakdown'!E45</f>
        <v>1180.0312288135592</v>
      </c>
      <c r="F24" s="6">
        <f>'Wind breakdown'!F45</f>
        <v>140.80500000000001</v>
      </c>
      <c r="G24" s="6">
        <f>'Wind breakdown'!G45</f>
        <v>30.391971982758623</v>
      </c>
      <c r="H24" s="6">
        <f>'Wind breakdown'!H45</f>
        <v>124.06384698275863</v>
      </c>
      <c r="I24" s="6">
        <f>'Wind breakdown'!I45</f>
        <v>23.19773706896552</v>
      </c>
      <c r="J24" s="6">
        <f>'Wind breakdown'!J45</f>
        <v>2273.0865326646431</v>
      </c>
      <c r="K24" s="6">
        <f>'Wind breakdown'!K45</f>
        <v>328.67012450303378</v>
      </c>
      <c r="L24" s="6">
        <f>'Wind breakdown'!L45</f>
        <v>340.73633213015319</v>
      </c>
    </row>
    <row r="25" spans="1:12">
      <c r="A25" s="4" t="s">
        <v>43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/>
      <c r="L25" s="6"/>
    </row>
    <row r="26" spans="1:12">
      <c r="A26" s="4" t="s">
        <v>44</v>
      </c>
      <c r="B26" s="6">
        <f>'BAU breakdown'!B46</f>
        <v>1725.9585490909089</v>
      </c>
      <c r="C26" s="6">
        <f>'BAU breakdown'!C46</f>
        <v>0</v>
      </c>
      <c r="D26" s="6">
        <f>'BAU breakdown'!D46</f>
        <v>0</v>
      </c>
      <c r="E26" s="6">
        <f>'BAU breakdown'!E46</f>
        <v>0</v>
      </c>
      <c r="F26" s="6">
        <f>'BAU breakdown'!F46</f>
        <v>26.653320000000001</v>
      </c>
      <c r="G26" s="6">
        <f>'BAU breakdown'!G46</f>
        <v>34.35614224137931</v>
      </c>
      <c r="H26" s="6">
        <f>'BAU breakdown'!H46</f>
        <v>75.172413793103445</v>
      </c>
      <c r="I26" s="6">
        <f>'BAU breakdown'!I46</f>
        <v>14.975754310344829</v>
      </c>
      <c r="J26" s="6">
        <f>'BAU breakdown'!J46</f>
        <v>1877.1161794357365</v>
      </c>
      <c r="K26" s="6"/>
      <c r="L26" s="6"/>
    </row>
    <row r="27" spans="1:12">
      <c r="A27" s="4" t="s">
        <v>44</v>
      </c>
      <c r="B27" s="6">
        <f>'Wind breakdown'!B46</f>
        <v>0</v>
      </c>
      <c r="C27" s="6">
        <f>'Wind breakdown'!C46</f>
        <v>0</v>
      </c>
      <c r="D27" s="6">
        <f>'Wind breakdown'!D46</f>
        <v>698.19655966403911</v>
      </c>
      <c r="E27" s="6">
        <f>'Wind breakdown'!E46</f>
        <v>1180.0312288135592</v>
      </c>
      <c r="F27" s="6">
        <f>'Wind breakdown'!F46</f>
        <v>108.054</v>
      </c>
      <c r="G27" s="6">
        <f>'Wind breakdown'!G46</f>
        <v>30.391971982758623</v>
      </c>
      <c r="H27" s="6">
        <f>'Wind breakdown'!H46</f>
        <v>124.06384698275863</v>
      </c>
      <c r="I27" s="6">
        <f>'Wind breakdown'!I46</f>
        <v>23.19773706896552</v>
      </c>
      <c r="J27" s="6">
        <f>'Wind breakdown'!J46</f>
        <v>2163.9353445120814</v>
      </c>
      <c r="K27" s="6">
        <f>'Wind breakdown'!K46</f>
        <v>328.67012450303378</v>
      </c>
      <c r="L27" s="6">
        <f>'Wind breakdown'!L46</f>
        <v>340.73633213015273</v>
      </c>
    </row>
    <row r="28" spans="1:12">
      <c r="A28" s="4" t="s">
        <v>44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/>
      <c r="L28" s="6"/>
    </row>
    <row r="29" spans="1:12">
      <c r="A29" s="9" t="s">
        <v>60</v>
      </c>
      <c r="B29" s="6">
        <f>'BAU breakdown'!B48</f>
        <v>1043.168178909091</v>
      </c>
      <c r="C29" s="6">
        <f>'BAU breakdown'!C48</f>
        <v>0</v>
      </c>
      <c r="D29" s="6">
        <f>'BAU breakdown'!D48</f>
        <v>0</v>
      </c>
      <c r="E29" s="6">
        <f>'BAU breakdown'!E48</f>
        <v>0</v>
      </c>
      <c r="F29" s="6">
        <f>'BAU breakdown'!F48</f>
        <v>12.983299999999998</v>
      </c>
      <c r="G29" s="6">
        <f>'BAU breakdown'!G48</f>
        <v>34.35614224137931</v>
      </c>
      <c r="H29" s="6">
        <f>'BAU breakdown'!H48</f>
        <v>75.172413793103445</v>
      </c>
      <c r="I29" s="6">
        <f>'BAU breakdown'!I48</f>
        <v>14.975754310344829</v>
      </c>
      <c r="J29" s="6">
        <f>'BAU breakdown'!J48</f>
        <v>1180.6557892539188</v>
      </c>
      <c r="K29" s="6"/>
      <c r="L29" s="6"/>
    </row>
    <row r="30" spans="1:12">
      <c r="A30" s="9" t="s">
        <v>60</v>
      </c>
      <c r="B30" s="6">
        <f>'Wind breakdown'!B48</f>
        <v>0</v>
      </c>
      <c r="C30" s="6">
        <f>'Wind breakdown'!C48</f>
        <v>0</v>
      </c>
      <c r="D30" s="6">
        <f>'Wind breakdown'!D48</f>
        <v>534.92083763415837</v>
      </c>
      <c r="E30" s="6">
        <f>'Wind breakdown'!E48</f>
        <v>1180.0312288135592</v>
      </c>
      <c r="F30" s="6">
        <f>'Wind breakdown'!F48</f>
        <v>52.634999999999998</v>
      </c>
      <c r="G30" s="6">
        <f>'Wind breakdown'!G48</f>
        <v>30.391971982758623</v>
      </c>
      <c r="H30" s="6">
        <f>'Wind breakdown'!H48</f>
        <v>124.06384698275863</v>
      </c>
      <c r="I30" s="6">
        <f>'Wind breakdown'!I48</f>
        <v>23.19773706896552</v>
      </c>
      <c r="J30" s="6">
        <f>'Wind breakdown'!J48</f>
        <v>1945.2406224822005</v>
      </c>
      <c r="K30" s="6">
        <f>'Wind breakdown'!K48</f>
        <v>328.670124503034</v>
      </c>
      <c r="L30" s="6">
        <f>'Wind breakdown'!L48</f>
        <v>340.73633213015296</v>
      </c>
    </row>
    <row r="31" spans="1:12">
      <c r="A31" s="9" t="s">
        <v>60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/>
      <c r="L31" s="6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K37" s="4"/>
      <c r="L37" s="4"/>
    </row>
    <row r="38" spans="1:12">
      <c r="K38" s="4"/>
      <c r="L38" s="4"/>
    </row>
    <row r="39" spans="1:12">
      <c r="K39" s="4"/>
      <c r="L39" s="4"/>
    </row>
    <row r="40" spans="1:12">
      <c r="K40" s="4"/>
      <c r="L40" s="4"/>
    </row>
    <row r="41" spans="1:12">
      <c r="K41" s="4"/>
      <c r="L41" s="4"/>
    </row>
    <row r="42" spans="1:12">
      <c r="K42" s="4"/>
      <c r="L42" s="4"/>
    </row>
    <row r="43" spans="1:12">
      <c r="K43" s="4"/>
      <c r="L43" s="4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14C3-2AA5-4DD2-8007-3007AD2F4C8C}">
  <dimension ref="A1:L60"/>
  <sheetViews>
    <sheetView tabSelected="1" topLeftCell="A13" workbookViewId="0">
      <selection activeCell="E34" sqref="E34"/>
    </sheetView>
  </sheetViews>
  <sheetFormatPr defaultColWidth="8.88671875" defaultRowHeight="14.4"/>
  <cols>
    <col min="1" max="1" width="8.88671875" style="5"/>
    <col min="2" max="2" width="9.5546875" style="5" bestFit="1" customWidth="1"/>
    <col min="3" max="6" width="9" style="5" bestFit="1" customWidth="1"/>
    <col min="7" max="7" width="12" style="5" bestFit="1" customWidth="1"/>
    <col min="8" max="9" width="9" style="5" bestFit="1" customWidth="1"/>
    <col min="10" max="10" width="9.5546875" style="5" bestFit="1" customWidth="1"/>
    <col min="11" max="16384" width="8.88671875" style="5"/>
  </cols>
  <sheetData>
    <row r="1" spans="1:12">
      <c r="A1" s="4" t="s">
        <v>56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</row>
    <row r="2" spans="1:12">
      <c r="A2" s="7" t="s">
        <v>57</v>
      </c>
      <c r="B2" s="6">
        <f>AVERAGE('BAU breakdown'!B2:B13)</f>
        <v>140.37406812121213</v>
      </c>
      <c r="C2" s="6">
        <f>AVERAGE('BAU breakdown'!C2:C13)</f>
        <v>0</v>
      </c>
      <c r="D2" s="6">
        <f>AVERAGE('BAU breakdown'!D2:D13)</f>
        <v>0</v>
      </c>
      <c r="E2" s="6">
        <f>AVERAGE('BAU breakdown'!E2:E13)</f>
        <v>0</v>
      </c>
      <c r="F2" s="6">
        <f>AVERAGE('BAU breakdown'!F2:F13)</f>
        <v>2.7894916666666667</v>
      </c>
      <c r="G2" s="6">
        <f>AVERAGE('BAU breakdown'!G2:G13)</f>
        <v>25.530711206896552</v>
      </c>
      <c r="H2" s="6">
        <f>AVERAGE('BAU breakdown'!H2:H13)</f>
        <v>55.862068965517246</v>
      </c>
      <c r="I2" s="6">
        <f>AVERAGE('BAU breakdown'!I2:I13)</f>
        <v>11.128771551724141</v>
      </c>
      <c r="J2" s="6">
        <f>AVERAGE('BAU breakdown'!J2:J13)</f>
        <v>235.68511151201673</v>
      </c>
      <c r="K2" s="6"/>
      <c r="L2" s="6"/>
    </row>
    <row r="3" spans="1:12">
      <c r="A3" s="7" t="s">
        <v>57</v>
      </c>
      <c r="B3" s="6">
        <f>AVERAGE('Wind breakdown'!B2:B13)</f>
        <v>0</v>
      </c>
      <c r="C3" s="6">
        <f>AVERAGE('Wind breakdown'!C2:C13)</f>
        <v>0</v>
      </c>
      <c r="D3" s="6">
        <f>AVERAGE('Wind breakdown'!D2:D13)</f>
        <v>245.70438806084951</v>
      </c>
      <c r="E3" s="6">
        <f>AVERAGE('Wind breakdown'!E2:E13)</f>
        <v>1307.5419999999997</v>
      </c>
      <c r="F3" s="6">
        <f>AVERAGE('Wind breakdown'!F2:F13)</f>
        <v>11.308749999999998</v>
      </c>
      <c r="G3" s="6">
        <f>AVERAGE('Wind breakdown'!G2:G13)</f>
        <v>22.584859913793107</v>
      </c>
      <c r="H3" s="6">
        <f>AVERAGE('Wind breakdown'!H2:H13)</f>
        <v>92.194234913793125</v>
      </c>
      <c r="I3" s="6">
        <f>AVERAGE('Wind breakdown'!I2:I13)</f>
        <v>17.238685344827591</v>
      </c>
      <c r="J3" s="6">
        <f>AVERAGE('Wind breakdown'!J2:J13)</f>
        <v>1696.5729182332632</v>
      </c>
      <c r="K3" s="6">
        <v>399.0369926531389</v>
      </c>
      <c r="L3" s="6">
        <v>389.22268691962495</v>
      </c>
    </row>
    <row r="4" spans="1:12">
      <c r="A4" s="7" t="s">
        <v>57</v>
      </c>
      <c r="B4" s="6">
        <f>AVERAGE('Solar breakdown'!B2:B13)</f>
        <v>0</v>
      </c>
      <c r="C4" s="6">
        <f>AVERAGE('Solar breakdown'!C2:C13)</f>
        <v>0</v>
      </c>
      <c r="D4" s="6">
        <f>AVERAGE('Solar breakdown'!D2:D13)</f>
        <v>245.70438806084951</v>
      </c>
      <c r="E4" s="6">
        <f>AVERAGE('Solar breakdown'!E2:E13)</f>
        <v>1751.1350000000002</v>
      </c>
      <c r="F4" s="6">
        <f>AVERAGE('Solar breakdown'!F2:F13)</f>
        <v>11.308749999999998</v>
      </c>
      <c r="G4" s="6">
        <f>AVERAGE('Solar breakdown'!G2:G13)</f>
        <v>22.584859913793107</v>
      </c>
      <c r="H4" s="6">
        <f>AVERAGE('Solar breakdown'!H2:H13)</f>
        <v>92.194234913793125</v>
      </c>
      <c r="I4" s="6">
        <f>AVERAGE('Solar breakdown'!I2:I13)</f>
        <v>17.238685344827591</v>
      </c>
      <c r="J4" s="6">
        <f>AVERAGE('Solar breakdown'!J2:J13)</f>
        <v>2140.1659182332637</v>
      </c>
      <c r="K4" s="6">
        <f>AVERAGE('Solar breakdown'!K2:K13)</f>
        <v>267.97500000000031</v>
      </c>
      <c r="L4" s="6">
        <f>AVERAGE('Solar breakdown'!L2:L13)</f>
        <v>1375.675</v>
      </c>
    </row>
    <row r="5" spans="1:12">
      <c r="A5" s="7" t="s">
        <v>57</v>
      </c>
      <c r="B5" s="6">
        <f>AVERAGE('SMR CCS breakdown'!B2:B13)</f>
        <v>0</v>
      </c>
      <c r="C5" s="6">
        <f>AVERAGE('SMR CCS breakdown'!C2:C13)</f>
        <v>0</v>
      </c>
      <c r="D5" s="6">
        <f>AVERAGE('SMR CCS breakdown'!D2:D13)</f>
        <v>245.70438806084951</v>
      </c>
      <c r="E5" s="6">
        <f>AVERAGE('SMR CCS breakdown'!E2:E13)</f>
        <v>357.29500715288185</v>
      </c>
      <c r="F5" s="6">
        <f>AVERAGE('SMR CCS breakdown'!F2:F13)</f>
        <v>11.308749999999998</v>
      </c>
      <c r="G5" s="6">
        <f>AVERAGE('SMR CCS breakdown'!G2:G13)</f>
        <v>22.584859913793107</v>
      </c>
      <c r="H5" s="6">
        <f>AVERAGE('SMR CCS breakdown'!H2:H13)</f>
        <v>92.194234913793125</v>
      </c>
      <c r="I5" s="6">
        <f>AVERAGE('SMR CCS breakdown'!I2:I13)</f>
        <v>17.238685344827591</v>
      </c>
      <c r="J5" s="6">
        <f>AVERAGE('SMR CCS breakdown'!J2:J13)</f>
        <v>746.32592538614517</v>
      </c>
      <c r="K5" s="6"/>
      <c r="L5" s="6"/>
    </row>
    <row r="6" spans="1:12">
      <c r="A6" s="7" t="s">
        <v>57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/>
      <c r="L6" s="6"/>
    </row>
    <row r="7" spans="1:12">
      <c r="A7" s="7" t="s">
        <v>58</v>
      </c>
      <c r="B7" s="6">
        <f>AVERAGE('BAU breakdown'!B14:B25)</f>
        <v>94.694087909090896</v>
      </c>
      <c r="C7" s="6">
        <f>AVERAGE('BAU breakdown'!C14:C25)</f>
        <v>0</v>
      </c>
      <c r="D7" s="6">
        <f>AVERAGE('BAU breakdown'!D14:D25)</f>
        <v>0</v>
      </c>
      <c r="E7" s="6">
        <f>AVERAGE('BAU breakdown'!E14:E25)</f>
        <v>0</v>
      </c>
      <c r="F7" s="6">
        <f>AVERAGE('BAU breakdown'!F14:F25)</f>
        <v>2.2523133333333329</v>
      </c>
      <c r="G7" s="6">
        <f>AVERAGE('BAU breakdown'!G14:G25)</f>
        <v>25.055818965517243</v>
      </c>
      <c r="H7" s="6">
        <f>AVERAGE('BAU breakdown'!H14:H25)</f>
        <v>54.822988505747155</v>
      </c>
      <c r="I7" s="6">
        <f>AVERAGE('BAU breakdown'!I14:I25)</f>
        <v>10.921767241379314</v>
      </c>
      <c r="J7" s="6">
        <f>AVERAGE('BAU breakdown'!J14:J25)</f>
        <v>187.74697595506791</v>
      </c>
      <c r="K7" s="6"/>
      <c r="L7" s="6"/>
    </row>
    <row r="8" spans="1:12">
      <c r="A8" s="7" t="s">
        <v>58</v>
      </c>
      <c r="B8" s="6">
        <f>AVERAGE('Wind breakdown'!B14:B25)</f>
        <v>0</v>
      </c>
      <c r="C8" s="6">
        <f>AVERAGE('Wind breakdown'!C14:C25)</f>
        <v>0</v>
      </c>
      <c r="D8" s="6">
        <f>AVERAGE('Wind breakdown'!D14:D25)</f>
        <v>230.83501264792508</v>
      </c>
      <c r="E8" s="6">
        <f>AVERAGE('Wind breakdown'!E14:E25)</f>
        <v>1070.8780000000002</v>
      </c>
      <c r="F8" s="6">
        <f>AVERAGE('Wind breakdown'!F14:F25)</f>
        <v>9.1310000000000002</v>
      </c>
      <c r="G8" s="6">
        <f>AVERAGE('Wind breakdown'!G14:G25)</f>
        <v>22.164762931034488</v>
      </c>
      <c r="H8" s="6">
        <f>AVERAGE('Wind breakdown'!H14:H25)</f>
        <v>90.479346264367805</v>
      </c>
      <c r="I8" s="6">
        <f>AVERAGE('Wind breakdown'!I14:I25)</f>
        <v>16.918031609195403</v>
      </c>
      <c r="J8" s="6">
        <f>AVERAGE('Wind breakdown'!J14:J25)</f>
        <v>1440.4061534525229</v>
      </c>
      <c r="K8" s="6">
        <v>200.57521666749062</v>
      </c>
      <c r="L8" s="6">
        <v>298.83956913745124</v>
      </c>
    </row>
    <row r="9" spans="1:12">
      <c r="A9" s="7" t="s">
        <v>58</v>
      </c>
      <c r="B9" s="6">
        <f>AVERAGE('Solar breakdown'!B14:B25)</f>
        <v>0</v>
      </c>
      <c r="C9" s="6">
        <f>AVERAGE('Solar breakdown'!C14:C25)</f>
        <v>0</v>
      </c>
      <c r="D9" s="6">
        <f>AVERAGE('Solar breakdown'!D14:D25)</f>
        <v>230.83501264792508</v>
      </c>
      <c r="E9" s="6">
        <f>AVERAGE('Solar breakdown'!E14:E25)</f>
        <v>1719.0060000000001</v>
      </c>
      <c r="F9" s="6">
        <f>AVERAGE('Solar breakdown'!F14:F25)</f>
        <v>9.1310000000000002</v>
      </c>
      <c r="G9" s="6">
        <f>AVERAGE('Solar breakdown'!G14:G25)</f>
        <v>22.164762931034488</v>
      </c>
      <c r="H9" s="6">
        <f>AVERAGE('Solar breakdown'!H14:H25)</f>
        <v>90.479346264367805</v>
      </c>
      <c r="I9" s="6">
        <f>AVERAGE('Solar breakdown'!I14:I25)</f>
        <v>16.918031609195403</v>
      </c>
      <c r="J9" s="6">
        <f>AVERAGE('Solar breakdown'!J14:J25)</f>
        <v>2088.5341534525232</v>
      </c>
      <c r="K9" s="6">
        <f>AVERAGE('Solar breakdown'!K14:K25)</f>
        <v>287.00050205761323</v>
      </c>
      <c r="L9" s="6">
        <f>AVERAGE('Solar breakdown'!L14:L25)</f>
        <v>1206.6005020576131</v>
      </c>
    </row>
    <row r="10" spans="1:12">
      <c r="A10" s="7" t="s">
        <v>58</v>
      </c>
      <c r="B10" s="6">
        <f>AVERAGE('SMR CCS breakdown'!B14:B25)</f>
        <v>0</v>
      </c>
      <c r="C10" s="6">
        <f>AVERAGE('SMR CCS breakdown'!C14:C25)</f>
        <v>0</v>
      </c>
      <c r="D10" s="6">
        <f>AVERAGE('SMR CCS breakdown'!D14:D25)</f>
        <v>230.83501264792508</v>
      </c>
      <c r="E10" s="6">
        <f>AVERAGE('SMR CCS breakdown'!E14:E25)</f>
        <v>301.09225476803812</v>
      </c>
      <c r="F10" s="6">
        <f>AVERAGE('SMR CCS breakdown'!F14:F25)</f>
        <v>9.1310000000000002</v>
      </c>
      <c r="G10" s="6">
        <f>AVERAGE('SMR CCS breakdown'!G14:G25)</f>
        <v>22.164762931034488</v>
      </c>
      <c r="H10" s="6">
        <f>AVERAGE('SMR CCS breakdown'!H14:H25)</f>
        <v>90.479346264367805</v>
      </c>
      <c r="I10" s="6">
        <f>AVERAGE('SMR CCS breakdown'!I14:I25)</f>
        <v>16.918031609195403</v>
      </c>
      <c r="J10" s="6">
        <f>AVERAGE('SMR CCS breakdown'!J14:J25)</f>
        <v>670.62040822056099</v>
      </c>
      <c r="K10" s="6"/>
      <c r="L10" s="6"/>
    </row>
    <row r="11" spans="1:12">
      <c r="A11" s="7" t="s">
        <v>58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/>
      <c r="L11" s="6"/>
    </row>
    <row r="12" spans="1:12">
      <c r="A12" s="4" t="s">
        <v>30</v>
      </c>
      <c r="B12" s="6">
        <f>'BAU breakdown'!B32</f>
        <v>365.34249490909093</v>
      </c>
      <c r="C12" s="6">
        <f>'BAU breakdown'!C32</f>
        <v>0</v>
      </c>
      <c r="D12" s="6">
        <f>'BAU breakdown'!D32</f>
        <v>0</v>
      </c>
      <c r="E12" s="6">
        <f>'BAU breakdown'!E32</f>
        <v>0</v>
      </c>
      <c r="F12" s="6">
        <f>'BAU breakdown'!F32</f>
        <v>6.01546</v>
      </c>
      <c r="G12" s="6">
        <f>'BAU breakdown'!G32</f>
        <v>29.754310344827591</v>
      </c>
      <c r="H12" s="6">
        <f>'BAU breakdown'!H32</f>
        <v>65.103448275862078</v>
      </c>
      <c r="I12" s="6">
        <f>'BAU breakdown'!I32</f>
        <v>12.969827586206899</v>
      </c>
      <c r="J12" s="6">
        <f>'BAU breakdown'!J32</f>
        <v>479.18554111598758</v>
      </c>
      <c r="K12" s="6"/>
      <c r="L12" s="6"/>
    </row>
    <row r="13" spans="1:12">
      <c r="A13" s="4" t="s">
        <v>30</v>
      </c>
      <c r="B13" s="6">
        <f>'Wind breakdown'!B32</f>
        <v>0</v>
      </c>
      <c r="C13" s="6">
        <f>'Wind breakdown'!C32</f>
        <v>0</v>
      </c>
      <c r="D13" s="6">
        <f>'Wind breakdown'!D32</f>
        <v>334.59533157798518</v>
      </c>
      <c r="E13" s="6">
        <f>'Wind breakdown'!E32</f>
        <v>1021.9720000000001</v>
      </c>
      <c r="F13" s="6">
        <f>'Wind breakdown'!F32</f>
        <v>24.387</v>
      </c>
      <c r="G13" s="6">
        <f>'Wind breakdown'!G32</f>
        <v>26.321120689655174</v>
      </c>
      <c r="H13" s="6">
        <f>'Wind breakdown'!H32</f>
        <v>107.44612068965519</v>
      </c>
      <c r="I13" s="6">
        <f>'Wind breakdown'!I32</f>
        <v>20.090517241379313</v>
      </c>
      <c r="J13" s="6">
        <f>'Wind breakdown'!J32</f>
        <v>1534.8120901986747</v>
      </c>
      <c r="K13" s="6">
        <f>'Wind breakdown'!K32</f>
        <v>284.64641975308655</v>
      </c>
      <c r="L13" s="6">
        <f>'Wind breakdown'!L32</f>
        <v>295.09641975308637</v>
      </c>
    </row>
    <row r="14" spans="1:12">
      <c r="A14" s="4" t="s">
        <v>30</v>
      </c>
      <c r="B14" s="6">
        <f>'Solar breakdown'!B32</f>
        <v>0</v>
      </c>
      <c r="C14" s="6">
        <f>'Solar breakdown'!C32</f>
        <v>0</v>
      </c>
      <c r="D14" s="6">
        <f>'Solar breakdown'!D32</f>
        <v>334.59533157798518</v>
      </c>
      <c r="E14" s="6">
        <f>'Solar breakdown'!E32</f>
        <v>1560.299</v>
      </c>
      <c r="F14" s="6">
        <f>'Solar breakdown'!F32</f>
        <v>24.387</v>
      </c>
      <c r="G14" s="6">
        <f>'Solar breakdown'!G32</f>
        <v>26.321120689655174</v>
      </c>
      <c r="H14" s="6">
        <f>'Solar breakdown'!H32</f>
        <v>107.44612068965519</v>
      </c>
      <c r="I14" s="6">
        <f>'Solar breakdown'!I32</f>
        <v>20.090517241379313</v>
      </c>
      <c r="J14" s="6">
        <f>'Solar breakdown'!J32</f>
        <v>2073.1390901986751</v>
      </c>
      <c r="K14" s="6">
        <f>'Solar breakdown'!K32</f>
        <v>315.99641975308668</v>
      </c>
      <c r="L14" s="6">
        <f>'Solar breakdown'!L32</f>
        <v>869.84641975308659</v>
      </c>
    </row>
    <row r="15" spans="1:12">
      <c r="A15" s="4" t="s">
        <v>30</v>
      </c>
      <c r="B15" s="6">
        <f>'SMR CCS breakdown'!B32</f>
        <v>0</v>
      </c>
      <c r="C15" s="6">
        <f>'SMR CCS breakdown'!C32</f>
        <v>0</v>
      </c>
      <c r="D15" s="6">
        <f>'SMR CCS breakdown'!D32</f>
        <v>334.59533157798518</v>
      </c>
      <c r="E15" s="6">
        <f>'SMR CCS breakdown'!E32</f>
        <v>648.53997659088168</v>
      </c>
      <c r="F15" s="6">
        <f>'SMR CCS breakdown'!F32</f>
        <v>24.387</v>
      </c>
      <c r="G15" s="6">
        <f>'SMR CCS breakdown'!G32</f>
        <v>26.321120689655174</v>
      </c>
      <c r="H15" s="6">
        <f>'SMR CCS breakdown'!H32</f>
        <v>107.44612068965519</v>
      </c>
      <c r="I15" s="6">
        <f>'SMR CCS breakdown'!I32</f>
        <v>20.090517241379313</v>
      </c>
      <c r="J15" s="6">
        <f>'SMR CCS breakdown'!J32</f>
        <v>1161.3800667895564</v>
      </c>
      <c r="K15" s="6"/>
      <c r="L15" s="6"/>
    </row>
    <row r="16" spans="1:12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/>
      <c r="L16" s="6"/>
    </row>
    <row r="17" spans="1:12">
      <c r="A17" s="4" t="s">
        <v>33</v>
      </c>
      <c r="B17" s="6">
        <f>'BAU breakdown'!B35</f>
        <v>906.78532909090904</v>
      </c>
      <c r="C17" s="6">
        <f>'BAU breakdown'!C35</f>
        <v>0</v>
      </c>
      <c r="D17" s="6">
        <f>'BAU breakdown'!D35</f>
        <v>0</v>
      </c>
      <c r="E17" s="6">
        <f>'BAU breakdown'!E35</f>
        <v>0</v>
      </c>
      <c r="F17" s="6">
        <f>'BAU breakdown'!F35</f>
        <v>10.325959999999998</v>
      </c>
      <c r="G17" s="6">
        <f>'BAU breakdown'!G35</f>
        <v>29.754310344827591</v>
      </c>
      <c r="H17" s="6">
        <f>'BAU breakdown'!H35</f>
        <v>65.103448275862078</v>
      </c>
      <c r="I17" s="6">
        <f>'BAU breakdown'!I35</f>
        <v>12.969827586206899</v>
      </c>
      <c r="J17" s="6">
        <f>'BAU breakdown'!J35</f>
        <v>1024.9388752978057</v>
      </c>
      <c r="K17" s="6"/>
      <c r="L17" s="6"/>
    </row>
    <row r="18" spans="1:12">
      <c r="A18" s="4" t="s">
        <v>33</v>
      </c>
      <c r="B18" s="6">
        <f>'Wind breakdown'!B35</f>
        <v>0</v>
      </c>
      <c r="C18" s="6">
        <f>'Wind breakdown'!C35</f>
        <v>0</v>
      </c>
      <c r="D18" s="6">
        <f>'Wind breakdown'!D35</f>
        <v>464.07060473598312</v>
      </c>
      <c r="E18" s="6">
        <f>'Wind breakdown'!E35</f>
        <v>1021.9720000000001</v>
      </c>
      <c r="F18" s="6">
        <f>'Wind breakdown'!F35</f>
        <v>41.861999999999995</v>
      </c>
      <c r="G18" s="6">
        <f>'Wind breakdown'!G35</f>
        <v>26.321120689655174</v>
      </c>
      <c r="H18" s="6">
        <f>'Wind breakdown'!H35</f>
        <v>107.44612068965519</v>
      </c>
      <c r="I18" s="6">
        <f>'Wind breakdown'!I35</f>
        <v>20.090517241379313</v>
      </c>
      <c r="J18" s="6">
        <f>'Wind breakdown'!J35</f>
        <v>1681.7623633566729</v>
      </c>
      <c r="K18" s="6">
        <f>'Wind breakdown'!K35</f>
        <v>284.64641975308655</v>
      </c>
      <c r="L18" s="6">
        <f>'Wind breakdown'!L35</f>
        <v>295.09641975308637</v>
      </c>
    </row>
    <row r="19" spans="1:12">
      <c r="A19" s="4" t="s">
        <v>33</v>
      </c>
      <c r="B19" s="6">
        <f>'Solar breakdown'!B35</f>
        <v>0</v>
      </c>
      <c r="C19" s="6">
        <f>'Solar breakdown'!C35</f>
        <v>0</v>
      </c>
      <c r="D19" s="6">
        <f>'Solar breakdown'!D35</f>
        <v>464.07060473598312</v>
      </c>
      <c r="E19" s="6">
        <f>'Solar breakdown'!E35</f>
        <v>1560.299</v>
      </c>
      <c r="F19" s="6">
        <f>'Solar breakdown'!F35</f>
        <v>41.861999999999995</v>
      </c>
      <c r="G19" s="6">
        <f>'Solar breakdown'!G35</f>
        <v>26.321120689655174</v>
      </c>
      <c r="H19" s="6">
        <f>'Solar breakdown'!H35</f>
        <v>107.44612068965519</v>
      </c>
      <c r="I19" s="6">
        <f>'Solar breakdown'!I35</f>
        <v>20.090517241379313</v>
      </c>
      <c r="J19" s="6">
        <f>'Solar breakdown'!J35</f>
        <v>2220.0893633566734</v>
      </c>
      <c r="K19" s="6">
        <f>'Solar breakdown'!K35</f>
        <v>315.99641975308668</v>
      </c>
      <c r="L19" s="6">
        <f>'Solar breakdown'!L35</f>
        <v>869.84641975308659</v>
      </c>
    </row>
    <row r="20" spans="1:12">
      <c r="A20" s="4" t="s">
        <v>33</v>
      </c>
      <c r="B20" s="6">
        <f>'SMR CCS breakdown'!B35</f>
        <v>0</v>
      </c>
      <c r="C20" s="6">
        <f>'SMR CCS breakdown'!C35</f>
        <v>0</v>
      </c>
      <c r="D20" s="6">
        <f>'SMR CCS breakdown'!D35</f>
        <v>464.07060473598312</v>
      </c>
      <c r="E20" s="6">
        <f>'SMR CCS breakdown'!E35</f>
        <v>1271.5453069752941</v>
      </c>
      <c r="F20" s="6">
        <f>'SMR CCS breakdown'!F35</f>
        <v>41.861999999999995</v>
      </c>
      <c r="G20" s="6">
        <f>'SMR CCS breakdown'!G35</f>
        <v>26.321120689655174</v>
      </c>
      <c r="H20" s="6">
        <f>'SMR CCS breakdown'!H35</f>
        <v>107.44612068965519</v>
      </c>
      <c r="I20" s="6">
        <f>'SMR CCS breakdown'!I35</f>
        <v>20.090517241379313</v>
      </c>
      <c r="J20" s="6">
        <f>'SMR CCS breakdown'!J35</f>
        <v>1931.3356703319669</v>
      </c>
      <c r="K20" s="6"/>
      <c r="L20" s="6"/>
    </row>
    <row r="21" spans="1:12">
      <c r="A21" s="4" t="s">
        <v>33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/>
      <c r="L21" s="6"/>
    </row>
    <row r="22" spans="1:12">
      <c r="A22" s="4" t="s">
        <v>36</v>
      </c>
      <c r="B22" s="6">
        <f>'BAU breakdown'!B38</f>
        <v>825.30606763636376</v>
      </c>
      <c r="C22" s="6">
        <f>'BAU breakdown'!C38</f>
        <v>0</v>
      </c>
      <c r="D22" s="6">
        <f>'BAU breakdown'!D38</f>
        <v>0</v>
      </c>
      <c r="E22" s="6">
        <f>'BAU breakdown'!E38</f>
        <v>0</v>
      </c>
      <c r="F22" s="6">
        <f>'BAU breakdown'!F38</f>
        <v>12.42238</v>
      </c>
      <c r="G22" s="6">
        <f>'BAU breakdown'!G38</f>
        <v>34.35614224137931</v>
      </c>
      <c r="H22" s="6">
        <f>'BAU breakdown'!H38</f>
        <v>75.172413793103445</v>
      </c>
      <c r="I22" s="6">
        <f>'BAU breakdown'!I38</f>
        <v>14.975754310344829</v>
      </c>
      <c r="J22" s="6">
        <f>'BAU breakdown'!J38</f>
        <v>962.23275798119141</v>
      </c>
      <c r="K22" s="6"/>
      <c r="L22" s="6"/>
    </row>
    <row r="23" spans="1:12">
      <c r="A23" s="4" t="s">
        <v>36</v>
      </c>
      <c r="B23" s="6">
        <f>'Wind breakdown'!B38</f>
        <v>0</v>
      </c>
      <c r="C23" s="6">
        <f>'Wind breakdown'!C38</f>
        <v>0</v>
      </c>
      <c r="D23" s="6">
        <f>'Wind breakdown'!D38</f>
        <v>482.82345156303302</v>
      </c>
      <c r="E23" s="6">
        <f>'Wind breakdown'!E38</f>
        <v>1180.0312288135592</v>
      </c>
      <c r="F23" s="6">
        <f>'Wind breakdown'!F38</f>
        <v>50.360999999999997</v>
      </c>
      <c r="G23" s="6">
        <f>'Wind breakdown'!G38</f>
        <v>30.391971982758623</v>
      </c>
      <c r="H23" s="6">
        <f>'Wind breakdown'!H38</f>
        <v>124.06384698275863</v>
      </c>
      <c r="I23" s="6">
        <f>'Wind breakdown'!I38</f>
        <v>23.19773706896552</v>
      </c>
      <c r="J23" s="6">
        <f>'Wind breakdown'!J38</f>
        <v>1890.869236411075</v>
      </c>
      <c r="K23" s="6">
        <f>'Wind breakdown'!K38</f>
        <v>328.670124503034</v>
      </c>
      <c r="L23" s="6">
        <f>'Wind breakdown'!L38</f>
        <v>340.73633213015296</v>
      </c>
    </row>
    <row r="24" spans="1:12">
      <c r="A24" s="4" t="s">
        <v>36</v>
      </c>
      <c r="B24" s="6">
        <f>'Solar breakdown'!B38</f>
        <v>0</v>
      </c>
      <c r="C24" s="6">
        <f>'Solar breakdown'!C38</f>
        <v>0</v>
      </c>
      <c r="D24" s="6">
        <f>'Solar breakdown'!D38</f>
        <v>482.82345156303302</v>
      </c>
      <c r="E24" s="6">
        <f>'Solar breakdown'!E38</f>
        <v>1801.6164300847456</v>
      </c>
      <c r="F24" s="6">
        <f>'Solar breakdown'!F38</f>
        <v>50.360999999999997</v>
      </c>
      <c r="G24" s="6">
        <f>'Solar breakdown'!G38</f>
        <v>30.391971982758623</v>
      </c>
      <c r="H24" s="6">
        <f>'Solar breakdown'!H38</f>
        <v>124.06384698275863</v>
      </c>
      <c r="I24" s="6">
        <f>'Solar breakdown'!I38</f>
        <v>23.19773706896552</v>
      </c>
      <c r="J24" s="6">
        <f>'Solar breakdown'!J38</f>
        <v>2512.4544376822614</v>
      </c>
      <c r="K24" s="6">
        <f>'Solar breakdown'!K38</f>
        <v>364.86874738439019</v>
      </c>
      <c r="L24" s="6">
        <f>'Solar breakdown'!L38</f>
        <v>1004.3777516216787</v>
      </c>
    </row>
    <row r="25" spans="1:12">
      <c r="A25" s="4" t="s">
        <v>36</v>
      </c>
      <c r="B25" s="6">
        <f>'SMR CCS breakdown'!B38</f>
        <v>0</v>
      </c>
      <c r="C25" s="6">
        <f>'SMR CCS breakdown'!C38</f>
        <v>0</v>
      </c>
      <c r="D25" s="6">
        <f>'SMR CCS breakdown'!D38</f>
        <v>482.82345156303302</v>
      </c>
      <c r="E25" s="6">
        <f>'SMR CCS breakdown'!E38</f>
        <v>1213.0799363810281</v>
      </c>
      <c r="F25" s="6">
        <f>'SMR CCS breakdown'!F38</f>
        <v>50.360999999999997</v>
      </c>
      <c r="G25" s="6">
        <f>'SMR CCS breakdown'!G38</f>
        <v>30.391971982758623</v>
      </c>
      <c r="H25" s="6">
        <f>'SMR CCS breakdown'!H38</f>
        <v>124.06384698275863</v>
      </c>
      <c r="I25" s="6">
        <f>'SMR CCS breakdown'!I38</f>
        <v>23.19773706896552</v>
      </c>
      <c r="J25" s="6">
        <f>'SMR CCS breakdown'!J38</f>
        <v>1923.9179439785441</v>
      </c>
      <c r="K25" s="6"/>
      <c r="L25" s="6"/>
    </row>
    <row r="26" spans="1:12">
      <c r="A26" s="4" t="s">
        <v>36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/>
      <c r="L26" s="6"/>
    </row>
    <row r="27" spans="1:12">
      <c r="A27" s="4" t="s">
        <v>39</v>
      </c>
      <c r="B27" s="6">
        <f>'BAU breakdown'!B41</f>
        <v>940.36997090909097</v>
      </c>
      <c r="C27" s="6">
        <f>'BAU breakdown'!C41</f>
        <v>0</v>
      </c>
      <c r="D27" s="6">
        <f>'BAU breakdown'!D41</f>
        <v>0</v>
      </c>
      <c r="E27" s="6">
        <f>'BAU breakdown'!E41</f>
        <v>0</v>
      </c>
      <c r="F27" s="6">
        <f>'BAU breakdown'!F41</f>
        <v>12.283999999999999</v>
      </c>
      <c r="G27" s="6">
        <f>'BAU breakdown'!G41</f>
        <v>34.35614224137931</v>
      </c>
      <c r="H27" s="6">
        <f>'BAU breakdown'!H41</f>
        <v>75.172413793103445</v>
      </c>
      <c r="I27" s="6">
        <f>'BAU breakdown'!I41</f>
        <v>14.975754310344829</v>
      </c>
      <c r="J27" s="6">
        <f>'BAU breakdown'!J41</f>
        <v>1077.1582812539186</v>
      </c>
      <c r="K27" s="6"/>
      <c r="L27" s="6"/>
    </row>
    <row r="28" spans="1:12">
      <c r="A28" s="4" t="s">
        <v>39</v>
      </c>
      <c r="B28" s="6">
        <f>'Wind breakdown'!B41</f>
        <v>0</v>
      </c>
      <c r="C28" s="6">
        <f>'Wind breakdown'!C41</f>
        <v>0</v>
      </c>
      <c r="D28" s="6">
        <f>'Wind breakdown'!D41</f>
        <v>510.33869300006177</v>
      </c>
      <c r="E28" s="6">
        <f>'Wind breakdown'!E41</f>
        <v>1180.0312288135592</v>
      </c>
      <c r="F28" s="6">
        <f>'Wind breakdown'!F41</f>
        <v>49.8</v>
      </c>
      <c r="G28" s="6">
        <f>'Wind breakdown'!G41</f>
        <v>30.391971982758623</v>
      </c>
      <c r="H28" s="6">
        <f>'Wind breakdown'!H41</f>
        <v>124.06384698275863</v>
      </c>
      <c r="I28" s="6">
        <f>'Wind breakdown'!I41</f>
        <v>23.19773706896552</v>
      </c>
      <c r="J28" s="6">
        <f>'Wind breakdown'!J41</f>
        <v>1917.8234778481037</v>
      </c>
      <c r="K28" s="6">
        <f>'Wind breakdown'!K41</f>
        <v>328.670124503034</v>
      </c>
      <c r="L28" s="6">
        <f>'Wind breakdown'!L41</f>
        <v>340.73633213015273</v>
      </c>
    </row>
    <row r="29" spans="1:12">
      <c r="A29" s="4" t="s">
        <v>39</v>
      </c>
      <c r="B29" s="6">
        <f>'Solar breakdown'!B41</f>
        <v>0</v>
      </c>
      <c r="C29" s="6">
        <f>'Solar breakdown'!C41</f>
        <v>0</v>
      </c>
      <c r="D29" s="6">
        <f>'Solar breakdown'!D41</f>
        <v>510.33869300006177</v>
      </c>
      <c r="E29" s="6">
        <f>'Solar breakdown'!E41</f>
        <v>1801.6164300847456</v>
      </c>
      <c r="F29" s="6">
        <f>'Solar breakdown'!F41</f>
        <v>49.8</v>
      </c>
      <c r="G29" s="6">
        <f>'Solar breakdown'!G41</f>
        <v>30.391971982758623</v>
      </c>
      <c r="H29" s="6">
        <f>'Solar breakdown'!H41</f>
        <v>124.06384698275863</v>
      </c>
      <c r="I29" s="6">
        <f>'Solar breakdown'!I41</f>
        <v>23.19773706896552</v>
      </c>
      <c r="J29" s="6">
        <f>'Solar breakdown'!J41</f>
        <v>2539.4086791192904</v>
      </c>
      <c r="K29" s="6">
        <f>'Solar breakdown'!K41</f>
        <v>364.86874738439019</v>
      </c>
      <c r="L29" s="6">
        <f>'Solar breakdown'!L41</f>
        <v>1004.3777516216787</v>
      </c>
    </row>
    <row r="30" spans="1:12">
      <c r="A30" s="4" t="s">
        <v>39</v>
      </c>
      <c r="B30" s="6">
        <f>'SMR CCS breakdown'!B41</f>
        <v>0</v>
      </c>
      <c r="C30" s="6">
        <f>'SMR CCS breakdown'!C41</f>
        <v>0</v>
      </c>
      <c r="D30" s="6">
        <f>'SMR CCS breakdown'!D41</f>
        <v>510.33869300006177</v>
      </c>
      <c r="E30" s="6">
        <f>'SMR CCS breakdown'!E41</f>
        <v>1345.4769699147166</v>
      </c>
      <c r="F30" s="6">
        <f>'SMR CCS breakdown'!F41</f>
        <v>49.8</v>
      </c>
      <c r="G30" s="6">
        <f>'SMR CCS breakdown'!G41</f>
        <v>30.391971982758623</v>
      </c>
      <c r="H30" s="6">
        <f>'SMR CCS breakdown'!H41</f>
        <v>124.06384698275863</v>
      </c>
      <c r="I30" s="6">
        <f>'SMR CCS breakdown'!I41</f>
        <v>23.19773706896552</v>
      </c>
      <c r="J30" s="6">
        <f>'SMR CCS breakdown'!J41</f>
        <v>2083.2692189492614</v>
      </c>
      <c r="K30" s="6"/>
      <c r="L30" s="6"/>
    </row>
    <row r="31" spans="1:12">
      <c r="A31" s="4" t="s">
        <v>39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/>
      <c r="L31" s="6"/>
    </row>
    <row r="32" spans="1:12">
      <c r="A32" s="4" t="s">
        <v>42</v>
      </c>
      <c r="B32" s="6">
        <f>'BAU breakdown'!B44</f>
        <v>1499.0431865454545</v>
      </c>
      <c r="C32" s="6">
        <f>'BAU breakdown'!C44</f>
        <v>0</v>
      </c>
      <c r="D32" s="6">
        <f>'BAU breakdown'!D44</f>
        <v>0</v>
      </c>
      <c r="E32" s="6">
        <f>'BAU breakdown'!E44</f>
        <v>0</v>
      </c>
      <c r="F32" s="6">
        <f>'BAU breakdown'!F44</f>
        <v>23.329239999999999</v>
      </c>
      <c r="G32" s="6">
        <f>'BAU breakdown'!G44</f>
        <v>34.35614224137931</v>
      </c>
      <c r="H32" s="6">
        <f>'BAU breakdown'!H44</f>
        <v>75.172413793103445</v>
      </c>
      <c r="I32" s="6">
        <f>'BAU breakdown'!I44</f>
        <v>14.975754310344829</v>
      </c>
      <c r="J32" s="6">
        <f>'BAU breakdown'!J44</f>
        <v>1646.8767368902822</v>
      </c>
      <c r="K32" s="6"/>
      <c r="L32" s="6"/>
    </row>
    <row r="33" spans="1:12">
      <c r="A33" s="4" t="s">
        <v>42</v>
      </c>
      <c r="B33" s="6">
        <f>'Wind breakdown'!B44</f>
        <v>0</v>
      </c>
      <c r="C33" s="6">
        <f>'Wind breakdown'!C44</f>
        <v>0</v>
      </c>
      <c r="D33" s="6">
        <f>'Wind breakdown'!D44</f>
        <v>643.93426880979735</v>
      </c>
      <c r="E33" s="6">
        <f>'Wind breakdown'!E44</f>
        <v>1180.0312288135592</v>
      </c>
      <c r="F33" s="6">
        <f>'Wind breakdown'!F44</f>
        <v>94.577999999999989</v>
      </c>
      <c r="G33" s="6">
        <f>'Wind breakdown'!G44</f>
        <v>30.391971982758623</v>
      </c>
      <c r="H33" s="6">
        <f>'Wind breakdown'!H44</f>
        <v>124.06384698275863</v>
      </c>
      <c r="I33" s="6">
        <f>'Wind breakdown'!I44</f>
        <v>23.19773706896552</v>
      </c>
      <c r="J33" s="6">
        <f>'Wind breakdown'!J44</f>
        <v>2096.1970536578392</v>
      </c>
      <c r="K33" s="6">
        <f>'Wind breakdown'!K44</f>
        <v>328.670124503034</v>
      </c>
      <c r="L33" s="6">
        <f>'Wind breakdown'!L44</f>
        <v>340.73633213015273</v>
      </c>
    </row>
    <row r="34" spans="1:12">
      <c r="A34" s="4" t="s">
        <v>42</v>
      </c>
      <c r="B34" s="6">
        <f>'Solar breakdown'!B44</f>
        <v>0</v>
      </c>
      <c r="C34" s="6">
        <f>'Solar breakdown'!C44</f>
        <v>0</v>
      </c>
      <c r="D34" s="6">
        <f>'Solar breakdown'!D44</f>
        <v>643.93426880979735</v>
      </c>
      <c r="E34" s="6">
        <f>'Solar breakdown'!E44</f>
        <v>1801.6164300847456</v>
      </c>
      <c r="F34" s="6">
        <f>'Solar breakdown'!F44</f>
        <v>94.577999999999989</v>
      </c>
      <c r="G34" s="6">
        <f>'Solar breakdown'!G44</f>
        <v>30.391971982758623</v>
      </c>
      <c r="H34" s="6">
        <f>'Solar breakdown'!H44</f>
        <v>124.06384698275863</v>
      </c>
      <c r="I34" s="6">
        <f>'Solar breakdown'!I44</f>
        <v>23.19773706896552</v>
      </c>
      <c r="J34" s="6">
        <f>'Solar breakdown'!J44</f>
        <v>2717.7822549290258</v>
      </c>
      <c r="K34" s="6">
        <f>'Solar breakdown'!K44</f>
        <v>364.86874738439019</v>
      </c>
      <c r="L34" s="6">
        <f>'Solar breakdown'!L44</f>
        <v>1004.3777516216787</v>
      </c>
    </row>
    <row r="35" spans="1:12">
      <c r="A35" s="4" t="s">
        <v>42</v>
      </c>
      <c r="B35" s="6">
        <f>'SMR CCS breakdown'!B44</f>
        <v>0</v>
      </c>
      <c r="C35" s="6">
        <f>'SMR CCS breakdown'!C44</f>
        <v>0</v>
      </c>
      <c r="D35" s="6">
        <f>'SMR CCS breakdown'!D44</f>
        <v>643.93426880979735</v>
      </c>
      <c r="E35" s="6">
        <f>'SMR CCS breakdown'!E44</f>
        <v>1988.3082520211788</v>
      </c>
      <c r="F35" s="6">
        <f>'SMR CCS breakdown'!F44</f>
        <v>94.577999999999989</v>
      </c>
      <c r="G35" s="6">
        <f>'SMR CCS breakdown'!G44</f>
        <v>30.391971982758623</v>
      </c>
      <c r="H35" s="6">
        <f>'SMR CCS breakdown'!H44</f>
        <v>124.06384698275863</v>
      </c>
      <c r="I35" s="6">
        <f>'SMR CCS breakdown'!I44</f>
        <v>23.19773706896552</v>
      </c>
      <c r="J35" s="6">
        <f>'SMR CCS breakdown'!J44</f>
        <v>2904.4740768654588</v>
      </c>
      <c r="K35" s="6"/>
      <c r="L35" s="6"/>
    </row>
    <row r="36" spans="1:12">
      <c r="A36" s="4" t="s">
        <v>42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/>
      <c r="L36" s="6"/>
    </row>
    <row r="37" spans="1:12">
      <c r="A37" s="4" t="s">
        <v>43</v>
      </c>
      <c r="B37" s="6">
        <f>'BAU breakdown'!B45</f>
        <v>2045.450706909091</v>
      </c>
      <c r="C37" s="6">
        <f>'BAU breakdown'!C45</f>
        <v>0</v>
      </c>
      <c r="D37" s="6">
        <f>'BAU breakdown'!D45</f>
        <v>0</v>
      </c>
      <c r="E37" s="6">
        <f>'BAU breakdown'!E45</f>
        <v>0</v>
      </c>
      <c r="F37" s="6">
        <f>'BAU breakdown'!F45</f>
        <v>34.731900000000003</v>
      </c>
      <c r="G37" s="6">
        <f>'BAU breakdown'!G45</f>
        <v>34.35614224137931</v>
      </c>
      <c r="H37" s="6">
        <f>'BAU breakdown'!H45</f>
        <v>75.172413793103445</v>
      </c>
      <c r="I37" s="6">
        <f>'BAU breakdown'!I45</f>
        <v>14.975754310344829</v>
      </c>
      <c r="J37" s="6">
        <f>'BAU breakdown'!J45</f>
        <v>2204.6869172539186</v>
      </c>
      <c r="K37" s="6"/>
      <c r="L37" s="6"/>
    </row>
    <row r="38" spans="1:12">
      <c r="A38" s="4" t="s">
        <v>43</v>
      </c>
      <c r="B38" s="6">
        <f>'Wind breakdown'!B45</f>
        <v>0</v>
      </c>
      <c r="C38" s="6">
        <f>'Wind breakdown'!C45</f>
        <v>0</v>
      </c>
      <c r="D38" s="6">
        <f>'Wind breakdown'!D45</f>
        <v>774.59674781660101</v>
      </c>
      <c r="E38" s="6">
        <f>'Wind breakdown'!E45</f>
        <v>1180.0312288135592</v>
      </c>
      <c r="F38" s="6">
        <f>'Wind breakdown'!F45</f>
        <v>140.80500000000001</v>
      </c>
      <c r="G38" s="6">
        <f>'Wind breakdown'!G45</f>
        <v>30.391971982758623</v>
      </c>
      <c r="H38" s="6">
        <f>'Wind breakdown'!H45</f>
        <v>124.06384698275863</v>
      </c>
      <c r="I38" s="6">
        <f>'Wind breakdown'!I45</f>
        <v>23.19773706896552</v>
      </c>
      <c r="J38" s="6">
        <f>'Wind breakdown'!J45</f>
        <v>2273.0865326646431</v>
      </c>
      <c r="K38" s="6">
        <f>'Wind breakdown'!K45</f>
        <v>328.67012450303378</v>
      </c>
      <c r="L38" s="6">
        <f>'Wind breakdown'!L45</f>
        <v>340.73633213015319</v>
      </c>
    </row>
    <row r="39" spans="1:12">
      <c r="A39" s="4" t="s">
        <v>43</v>
      </c>
      <c r="B39" s="6">
        <f>'Solar breakdown'!B45</f>
        <v>0</v>
      </c>
      <c r="C39" s="6">
        <f>'Solar breakdown'!C45</f>
        <v>0</v>
      </c>
      <c r="D39" s="6">
        <f>'Solar breakdown'!D45</f>
        <v>774.59674781660101</v>
      </c>
      <c r="E39" s="6">
        <f>'Solar breakdown'!E45</f>
        <v>1801.6164300847456</v>
      </c>
      <c r="F39" s="6">
        <f>'Solar breakdown'!F45</f>
        <v>140.80500000000001</v>
      </c>
      <c r="G39" s="6">
        <f>'Solar breakdown'!G45</f>
        <v>30.391971982758623</v>
      </c>
      <c r="H39" s="6">
        <f>'Solar breakdown'!H45</f>
        <v>124.06384698275863</v>
      </c>
      <c r="I39" s="6">
        <f>'Solar breakdown'!I45</f>
        <v>23.19773706896552</v>
      </c>
      <c r="J39" s="6">
        <f>'Solar breakdown'!J45</f>
        <v>2894.6717339358293</v>
      </c>
      <c r="K39" s="6">
        <f>'Solar breakdown'!K45</f>
        <v>364.86874738439019</v>
      </c>
      <c r="L39" s="6">
        <f>'Solar breakdown'!L45</f>
        <v>1004.3777516216787</v>
      </c>
    </row>
    <row r="40" spans="1:12">
      <c r="A40" s="4" t="s">
        <v>43</v>
      </c>
      <c r="B40" s="6">
        <f>'SMR CCS breakdown'!B45</f>
        <v>0</v>
      </c>
      <c r="C40" s="6">
        <f>'SMR CCS breakdown'!C45</f>
        <v>0</v>
      </c>
      <c r="D40" s="6">
        <f>'SMR CCS breakdown'!D45</f>
        <v>774.59674781660101</v>
      </c>
      <c r="E40" s="6">
        <f>'SMR CCS breakdown'!E45</f>
        <v>2617.0261447661815</v>
      </c>
      <c r="F40" s="6">
        <f>'SMR CCS breakdown'!F45</f>
        <v>140.80500000000001</v>
      </c>
      <c r="G40" s="6">
        <f>'SMR CCS breakdown'!G45</f>
        <v>30.391971982758623</v>
      </c>
      <c r="H40" s="6">
        <f>'SMR CCS breakdown'!H45</f>
        <v>124.06384698275863</v>
      </c>
      <c r="I40" s="6">
        <f>'SMR CCS breakdown'!I45</f>
        <v>23.19773706896552</v>
      </c>
      <c r="J40" s="6">
        <f>'SMR CCS breakdown'!J45</f>
        <v>3710.0814486172653</v>
      </c>
      <c r="K40" s="6"/>
      <c r="L40" s="6"/>
    </row>
    <row r="41" spans="1:12">
      <c r="A41" s="4" t="s">
        <v>43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/>
      <c r="L41" s="6"/>
    </row>
    <row r="42" spans="1:12">
      <c r="A42" s="4" t="s">
        <v>44</v>
      </c>
      <c r="B42" s="6">
        <f>'BAU breakdown'!B46</f>
        <v>1725.9585490909089</v>
      </c>
      <c r="C42" s="6">
        <f>'BAU breakdown'!C46</f>
        <v>0</v>
      </c>
      <c r="D42" s="6">
        <f>'BAU breakdown'!D46</f>
        <v>0</v>
      </c>
      <c r="E42" s="6">
        <f>'BAU breakdown'!E46</f>
        <v>0</v>
      </c>
      <c r="F42" s="6">
        <f>'BAU breakdown'!F46</f>
        <v>26.653320000000001</v>
      </c>
      <c r="G42" s="6">
        <f>'BAU breakdown'!G46</f>
        <v>34.35614224137931</v>
      </c>
      <c r="H42" s="6">
        <f>'BAU breakdown'!H46</f>
        <v>75.172413793103445</v>
      </c>
      <c r="I42" s="6">
        <f>'BAU breakdown'!I46</f>
        <v>14.975754310344829</v>
      </c>
      <c r="J42" s="6">
        <f>'BAU breakdown'!J46</f>
        <v>1877.1161794357365</v>
      </c>
      <c r="K42" s="6"/>
      <c r="L42" s="6"/>
    </row>
    <row r="43" spans="1:12">
      <c r="A43" s="4" t="s">
        <v>44</v>
      </c>
      <c r="B43" s="6">
        <f>'Wind breakdown'!B46</f>
        <v>0</v>
      </c>
      <c r="C43" s="6">
        <f>'Wind breakdown'!C46</f>
        <v>0</v>
      </c>
      <c r="D43" s="6">
        <f>'Wind breakdown'!D46</f>
        <v>698.19655966403911</v>
      </c>
      <c r="E43" s="6">
        <f>'Wind breakdown'!E46</f>
        <v>1180.0312288135592</v>
      </c>
      <c r="F43" s="6">
        <f>'Wind breakdown'!F46</f>
        <v>108.054</v>
      </c>
      <c r="G43" s="6">
        <f>'Wind breakdown'!G46</f>
        <v>30.391971982758623</v>
      </c>
      <c r="H43" s="6">
        <f>'Wind breakdown'!H46</f>
        <v>124.06384698275863</v>
      </c>
      <c r="I43" s="6">
        <f>'Wind breakdown'!I46</f>
        <v>23.19773706896552</v>
      </c>
      <c r="J43" s="6">
        <f>'Wind breakdown'!J46</f>
        <v>2163.9353445120814</v>
      </c>
      <c r="K43" s="6">
        <f>'Wind breakdown'!K46</f>
        <v>328.67012450303378</v>
      </c>
      <c r="L43" s="6">
        <f>'Wind breakdown'!L46</f>
        <v>340.73633213015273</v>
      </c>
    </row>
    <row r="44" spans="1:12">
      <c r="A44" s="4" t="s">
        <v>44</v>
      </c>
      <c r="B44" s="6">
        <f>'Solar breakdown'!B46</f>
        <v>0</v>
      </c>
      <c r="C44" s="6">
        <f>'Solar breakdown'!C46</f>
        <v>0</v>
      </c>
      <c r="D44" s="6">
        <f>'Solar breakdown'!D46</f>
        <v>698.19655966403911</v>
      </c>
      <c r="E44" s="6">
        <f>'Solar breakdown'!E46</f>
        <v>1801.6164300847456</v>
      </c>
      <c r="F44" s="6">
        <f>'Solar breakdown'!F46</f>
        <v>108.054</v>
      </c>
      <c r="G44" s="6">
        <f>'Solar breakdown'!G46</f>
        <v>30.391971982758623</v>
      </c>
      <c r="H44" s="6">
        <f>'Solar breakdown'!H46</f>
        <v>124.06384698275863</v>
      </c>
      <c r="I44" s="6">
        <f>'Solar breakdown'!I46</f>
        <v>23.19773706896552</v>
      </c>
      <c r="J44" s="6">
        <f>'Solar breakdown'!J46</f>
        <v>2785.5205457832676</v>
      </c>
      <c r="K44" s="6">
        <f>'Solar breakdown'!K46</f>
        <v>364.86874738438974</v>
      </c>
      <c r="L44" s="6">
        <f>'Solar breakdown'!L46</f>
        <v>1004.3777516216787</v>
      </c>
    </row>
    <row r="45" spans="1:12">
      <c r="A45" s="4" t="s">
        <v>44</v>
      </c>
      <c r="B45" s="6">
        <f>'SMR CCS breakdown'!B46</f>
        <v>0</v>
      </c>
      <c r="C45" s="6">
        <f>'SMR CCS breakdown'!C46</f>
        <v>0</v>
      </c>
      <c r="D45" s="6">
        <f>'SMR CCS breakdown'!D46</f>
        <v>698.19655966403911</v>
      </c>
      <c r="E45" s="6">
        <f>'SMR CCS breakdown'!E46</f>
        <v>2249.4059552081735</v>
      </c>
      <c r="F45" s="6">
        <f>'SMR CCS breakdown'!F46</f>
        <v>108.054</v>
      </c>
      <c r="G45" s="6">
        <f>'SMR CCS breakdown'!G46</f>
        <v>30.391971982758623</v>
      </c>
      <c r="H45" s="6">
        <f>'SMR CCS breakdown'!H46</f>
        <v>124.06384698275863</v>
      </c>
      <c r="I45" s="6">
        <f>'SMR CCS breakdown'!I46</f>
        <v>23.19773706896552</v>
      </c>
      <c r="J45" s="6">
        <f>'SMR CCS breakdown'!J46</f>
        <v>3233.3100709066957</v>
      </c>
      <c r="K45" s="6"/>
      <c r="L45" s="6"/>
    </row>
    <row r="46" spans="1:12">
      <c r="A46" s="4" t="s">
        <v>44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/>
      <c r="L46" s="6"/>
    </row>
    <row r="47" spans="1:12">
      <c r="A47" s="9" t="s">
        <v>60</v>
      </c>
      <c r="B47" s="6">
        <f>'BAU breakdown'!B48</f>
        <v>1043.168178909091</v>
      </c>
      <c r="C47" s="6">
        <f>'BAU breakdown'!C48</f>
        <v>0</v>
      </c>
      <c r="D47" s="6">
        <f>'BAU breakdown'!D48</f>
        <v>0</v>
      </c>
      <c r="E47" s="6">
        <f>'BAU breakdown'!E48</f>
        <v>0</v>
      </c>
      <c r="F47" s="6">
        <f>'BAU breakdown'!F48</f>
        <v>12.983299999999998</v>
      </c>
      <c r="G47" s="6">
        <f>'BAU breakdown'!G48</f>
        <v>34.35614224137931</v>
      </c>
      <c r="H47" s="6">
        <f>'BAU breakdown'!H48</f>
        <v>75.172413793103445</v>
      </c>
      <c r="I47" s="6">
        <f>'BAU breakdown'!I48</f>
        <v>14.975754310344829</v>
      </c>
      <c r="J47" s="6">
        <f>'BAU breakdown'!J48</f>
        <v>1180.6557892539188</v>
      </c>
      <c r="K47" s="4"/>
      <c r="L47" s="4"/>
    </row>
    <row r="48" spans="1:12">
      <c r="A48" s="9" t="s">
        <v>60</v>
      </c>
      <c r="B48" s="6">
        <f>'Wind breakdown'!B48</f>
        <v>0</v>
      </c>
      <c r="C48" s="6">
        <f>'Wind breakdown'!C48</f>
        <v>0</v>
      </c>
      <c r="D48" s="6">
        <f>'Wind breakdown'!D48</f>
        <v>534.92083763415837</v>
      </c>
      <c r="E48" s="6">
        <f>'Wind breakdown'!E48</f>
        <v>1180.0312288135592</v>
      </c>
      <c r="F48" s="6">
        <f>'Wind breakdown'!F48</f>
        <v>52.634999999999998</v>
      </c>
      <c r="G48" s="6">
        <f>'Wind breakdown'!G48</f>
        <v>30.391971982758623</v>
      </c>
      <c r="H48" s="6">
        <f>'Wind breakdown'!H48</f>
        <v>124.06384698275863</v>
      </c>
      <c r="I48" s="6">
        <f>'Wind breakdown'!I48</f>
        <v>23.19773706896552</v>
      </c>
      <c r="J48" s="6">
        <f>'Wind breakdown'!J48</f>
        <v>1945.2406224822005</v>
      </c>
      <c r="K48" s="6">
        <f>'Wind breakdown'!K48</f>
        <v>328.670124503034</v>
      </c>
      <c r="L48" s="6">
        <f>'Wind breakdown'!L48</f>
        <v>340.73633213015296</v>
      </c>
    </row>
    <row r="49" spans="1:12">
      <c r="A49" s="9" t="s">
        <v>60</v>
      </c>
      <c r="B49" s="6">
        <f>'Solar breakdown'!B48</f>
        <v>0</v>
      </c>
      <c r="C49" s="6">
        <f>'Solar breakdown'!C48</f>
        <v>0</v>
      </c>
      <c r="D49" s="6">
        <f>'Solar breakdown'!D48</f>
        <v>534.92083763415837</v>
      </c>
      <c r="E49" s="6">
        <f>'Solar breakdown'!E48</f>
        <v>1801.6164300847456</v>
      </c>
      <c r="F49" s="6">
        <f>'Solar breakdown'!F48</f>
        <v>52.634999999999998</v>
      </c>
      <c r="G49" s="6">
        <f>'Solar breakdown'!G48</f>
        <v>30.391971982758623</v>
      </c>
      <c r="H49" s="6">
        <f>'Solar breakdown'!H48</f>
        <v>124.06384698275863</v>
      </c>
      <c r="I49" s="6">
        <f>'Solar breakdown'!I48</f>
        <v>23.19773706896552</v>
      </c>
      <c r="J49" s="6">
        <f>'Solar breakdown'!J48</f>
        <v>2566.8258237533869</v>
      </c>
      <c r="K49" s="6">
        <f>'Solar breakdown'!K48</f>
        <v>364.86874738438974</v>
      </c>
      <c r="L49" s="6">
        <f>'Solar breakdown'!L48</f>
        <v>1004.3777516216787</v>
      </c>
    </row>
    <row r="50" spans="1:12">
      <c r="A50" s="9" t="s">
        <v>60</v>
      </c>
      <c r="B50" s="6">
        <f>'SMR CCS breakdown'!B48</f>
        <v>0</v>
      </c>
      <c r="C50" s="6">
        <f>'SMR CCS breakdown'!C48</f>
        <v>0</v>
      </c>
      <c r="D50" s="6">
        <f>'SMR CCS breakdown'!D48</f>
        <v>534.92083763415837</v>
      </c>
      <c r="E50" s="6">
        <f>'SMR CCS breakdown'!E48</f>
        <v>1463.7606140869459</v>
      </c>
      <c r="F50" s="6">
        <f>'SMR CCS breakdown'!F48</f>
        <v>52.634999999999998</v>
      </c>
      <c r="G50" s="6">
        <f>'SMR CCS breakdown'!G48</f>
        <v>30.391971982758623</v>
      </c>
      <c r="H50" s="6">
        <f>'SMR CCS breakdown'!H48</f>
        <v>124.06384698275863</v>
      </c>
      <c r="I50" s="6">
        <f>'SMR CCS breakdown'!I48</f>
        <v>23.19773706896552</v>
      </c>
      <c r="J50" s="6">
        <f>'SMR CCS breakdown'!J48</f>
        <v>2228.9700077555872</v>
      </c>
      <c r="K50" s="6"/>
      <c r="L50" s="6"/>
    </row>
    <row r="51" spans="1:12">
      <c r="A51" s="9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K54" s="4"/>
      <c r="L54" s="4"/>
    </row>
    <row r="55" spans="1:12">
      <c r="K55" s="4"/>
      <c r="L55" s="4"/>
    </row>
    <row r="56" spans="1:12">
      <c r="K56" s="4"/>
      <c r="L56" s="4"/>
    </row>
    <row r="57" spans="1:12">
      <c r="K57" s="4"/>
      <c r="L57" s="4"/>
    </row>
    <row r="58" spans="1:12">
      <c r="K58" s="4"/>
      <c r="L58" s="4"/>
    </row>
    <row r="59" spans="1:12">
      <c r="K59" s="4"/>
      <c r="L59" s="4"/>
    </row>
    <row r="60" spans="1:12">
      <c r="K60" s="4"/>
      <c r="L60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BAU breakdown</vt:lpstr>
      <vt:lpstr>Wind breakdown</vt:lpstr>
      <vt:lpstr>Solar breakdown</vt:lpstr>
      <vt:lpstr>SMR CCS breakdown</vt:lpstr>
      <vt:lpstr>Summary</vt:lpstr>
      <vt:lpstr>Summary 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Nabera  Abhinandan</cp:lastModifiedBy>
  <dcterms:modified xsi:type="dcterms:W3CDTF">2023-03-14T15:50:05Z</dcterms:modified>
</cp:coreProperties>
</file>