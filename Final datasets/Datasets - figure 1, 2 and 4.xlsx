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Fossil vs. green chemicals\"/>
    </mc:Choice>
  </mc:AlternateContent>
  <xr:revisionPtr revIDLastSave="0" documentId="13_ncr:1_{73E01AD7-6EE2-4AFB-B221-B5AA34392913}" xr6:coauthVersionLast="36" xr6:coauthVersionMax="36" xr10:uidLastSave="{00000000-0000-0000-0000-000000000000}"/>
  <bookViews>
    <workbookView xWindow="0" yWindow="0" windowWidth="30720" windowHeight="13380" activeTab="4" xr2:uid="{7AE8F2A4-BA4E-4927-81F4-4EF90680747E}"/>
  </bookViews>
  <sheets>
    <sheet name="Figure 1a, 1b" sheetId="1" r:id="rId1"/>
    <sheet name="Figure 2a, 2b, 2c" sheetId="2" r:id="rId2"/>
    <sheet name="Figure 2d, 2e, 2f" sheetId="3" r:id="rId3"/>
    <sheet name="Figure 4a" sheetId="5" r:id="rId4"/>
    <sheet name="Figure 4b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6" l="1"/>
  <c r="B31" i="6"/>
  <c r="D31" i="6" s="1"/>
  <c r="C30" i="6"/>
  <c r="B30" i="6"/>
  <c r="D30" i="6" s="1"/>
  <c r="B29" i="6"/>
  <c r="B28" i="6"/>
  <c r="D28" i="6" s="1"/>
  <c r="B27" i="6"/>
  <c r="D27" i="6" s="1"/>
  <c r="B26" i="6"/>
  <c r="D25" i="6"/>
  <c r="C25" i="6"/>
  <c r="B25" i="6"/>
  <c r="C24" i="6"/>
  <c r="B24" i="6"/>
  <c r="D24" i="6" s="1"/>
  <c r="B23" i="6"/>
  <c r="B22" i="6"/>
  <c r="D22" i="6" s="1"/>
  <c r="B21" i="6"/>
  <c r="D21" i="6" s="1"/>
  <c r="B20" i="6"/>
  <c r="B19" i="6"/>
  <c r="D19" i="6" s="1"/>
  <c r="D18" i="6"/>
  <c r="C18" i="6"/>
  <c r="B18" i="6"/>
  <c r="B17" i="6"/>
  <c r="C16" i="6"/>
  <c r="B16" i="6"/>
  <c r="D16" i="6" s="1"/>
  <c r="C15" i="6"/>
  <c r="B15" i="6"/>
  <c r="D15" i="6" s="1"/>
  <c r="B14" i="6"/>
  <c r="C13" i="6"/>
  <c r="B13" i="6"/>
  <c r="D13" i="6" s="1"/>
  <c r="B12" i="6"/>
  <c r="D12" i="6" s="1"/>
  <c r="B11" i="6"/>
  <c r="C10" i="6"/>
  <c r="B10" i="6"/>
  <c r="D10" i="6" s="1"/>
  <c r="D9" i="6"/>
  <c r="B9" i="6"/>
  <c r="C9" i="6" s="1"/>
  <c r="B8" i="6"/>
  <c r="B7" i="6"/>
  <c r="D7" i="6" s="1"/>
  <c r="B6" i="6"/>
  <c r="D6" i="6" s="1"/>
  <c r="B5" i="6"/>
  <c r="D4" i="6"/>
  <c r="B4" i="6"/>
  <c r="C4" i="6" s="1"/>
  <c r="B3" i="6"/>
  <c r="D3" i="6" s="1"/>
  <c r="C19" i="6" l="1"/>
  <c r="C21" i="6"/>
  <c r="C12" i="6"/>
  <c r="C6" i="6"/>
  <c r="C27" i="6"/>
  <c r="C7" i="6"/>
  <c r="C28" i="6"/>
  <c r="C22" i="6"/>
  <c r="C3" i="6"/>
  <c r="C31" i="6"/>
</calcChain>
</file>

<file path=xl/sharedStrings.xml><?xml version="1.0" encoding="utf-8"?>
<sst xmlns="http://schemas.openxmlformats.org/spreadsheetml/2006/main" count="282" uniqueCount="64">
  <si>
    <t>Time</t>
  </si>
  <si>
    <t>Jan '19</t>
  </si>
  <si>
    <t>Feb '19</t>
  </si>
  <si>
    <t>Mar '19</t>
  </si>
  <si>
    <t>Apr '19</t>
  </si>
  <si>
    <t>May '19</t>
  </si>
  <si>
    <t>Jun '19</t>
  </si>
  <si>
    <t>Jul '19</t>
  </si>
  <si>
    <t>Aug '19</t>
  </si>
  <si>
    <t>Sep '19</t>
  </si>
  <si>
    <t>Oct '19</t>
  </si>
  <si>
    <t>Nov '19</t>
  </si>
  <si>
    <t>Dec '19</t>
  </si>
  <si>
    <t>Jan '20</t>
  </si>
  <si>
    <t>Feb '20</t>
  </si>
  <si>
    <t>Mar '20</t>
  </si>
  <si>
    <t>Apr '20</t>
  </si>
  <si>
    <t>May '20</t>
  </si>
  <si>
    <t>Jun '20</t>
  </si>
  <si>
    <t>Jul '20</t>
  </si>
  <si>
    <t>Aug '20</t>
  </si>
  <si>
    <t>Sep '20</t>
  </si>
  <si>
    <t>Oct '20</t>
  </si>
  <si>
    <t>Nov '20</t>
  </si>
  <si>
    <t>Dec '20</t>
  </si>
  <si>
    <t>Jan '21</t>
  </si>
  <si>
    <t>Feb '21</t>
  </si>
  <si>
    <t>Mar '21</t>
  </si>
  <si>
    <t>Apr '21</t>
  </si>
  <si>
    <t>May '21</t>
  </si>
  <si>
    <t>Jun '21</t>
  </si>
  <si>
    <t>Jul '21</t>
  </si>
  <si>
    <t>Aug '21</t>
  </si>
  <si>
    <t>Sep '21</t>
  </si>
  <si>
    <t>Oct '21</t>
  </si>
  <si>
    <t>Nov '21</t>
  </si>
  <si>
    <t>Dec '21</t>
  </si>
  <si>
    <t>Jan '22</t>
  </si>
  <si>
    <t>Feb '22</t>
  </si>
  <si>
    <t>Mar '22</t>
  </si>
  <si>
    <t>Apr '22</t>
  </si>
  <si>
    <t>May '22</t>
  </si>
  <si>
    <t>Jun '22</t>
  </si>
  <si>
    <t>Jul '22</t>
  </si>
  <si>
    <t>Aug '22</t>
  </si>
  <si>
    <t>Sep '22</t>
  </si>
  <si>
    <t>Oct '22</t>
  </si>
  <si>
    <t>Nov '22</t>
  </si>
  <si>
    <t>NG price [USD/t]</t>
  </si>
  <si>
    <t>Ammonia BAU [USD/t]</t>
  </si>
  <si>
    <t>Methanol BAU [USD/t]</t>
  </si>
  <si>
    <t>Electricity [USD/MWh]</t>
  </si>
  <si>
    <t>Wind</t>
  </si>
  <si>
    <t>Solar</t>
  </si>
  <si>
    <t>SMR CCS</t>
  </si>
  <si>
    <t>BAU [USD/t]</t>
  </si>
  <si>
    <t>Wind [USD/t]</t>
  </si>
  <si>
    <t>Solar [USD/t]</t>
  </si>
  <si>
    <t>SMR CCS [USD/t]</t>
  </si>
  <si>
    <t>Average</t>
  </si>
  <si>
    <t>Low</t>
  </si>
  <si>
    <t>High</t>
  </si>
  <si>
    <t>Avg 19</t>
  </si>
  <si>
    <t>Avg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</si>
</sst>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cripts/Prices%20sensitivity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monia"/>
      <sheetName val="Ammonia summary"/>
      <sheetName val="Ammonia high low"/>
      <sheetName val="Ammonia avoidance"/>
      <sheetName val="Methanol"/>
      <sheetName val="Methanol summary"/>
      <sheetName val="Methanol high low"/>
      <sheetName val="Methanol avoidance"/>
      <sheetName val="LCOH"/>
      <sheetName val="Ammonia MP"/>
      <sheetName val="Methanol MP"/>
      <sheetName val="DAC"/>
    </sheetNames>
    <sheetDataSet>
      <sheetData sheetId="0"/>
      <sheetData sheetId="1"/>
      <sheetData sheetId="2"/>
      <sheetData sheetId="3"/>
      <sheetData sheetId="4">
        <row r="2">
          <cell r="K2">
            <v>1612.9914893269563</v>
          </cell>
          <cell r="L2">
            <v>7496.9010938560004</v>
          </cell>
          <cell r="T2">
            <v>3043.1394679249624</v>
          </cell>
        </row>
        <row r="3">
          <cell r="K3">
            <v>1644.1191238763215</v>
          </cell>
          <cell r="L3">
            <v>7606.9190086802764</v>
          </cell>
          <cell r="T3">
            <v>2952.2751849874021</v>
          </cell>
        </row>
        <row r="4">
          <cell r="K4">
            <v>1662.0880031024815</v>
          </cell>
          <cell r="L4">
            <v>7670.428448212414</v>
          </cell>
          <cell r="T4">
            <v>2883.7138699399534</v>
          </cell>
        </row>
        <row r="5">
          <cell r="K5">
            <v>1670.3526175834345</v>
          </cell>
          <cell r="L5">
            <v>7699.6390087058217</v>
          </cell>
          <cell r="T5">
            <v>2875.1641416307889</v>
          </cell>
        </row>
        <row r="6">
          <cell r="K6">
            <v>1685.3388264841562</v>
          </cell>
          <cell r="L6">
            <v>7752.6064595978451</v>
          </cell>
          <cell r="T6">
            <v>2839.1699940370531</v>
          </cell>
        </row>
        <row r="7">
          <cell r="K7">
            <v>1703.0498386059469</v>
          </cell>
          <cell r="L7">
            <v>7815.2044902955113</v>
          </cell>
          <cell r="T7">
            <v>2784.4465815635558</v>
          </cell>
        </row>
        <row r="8">
          <cell r="K8">
            <v>1704.1527117522321</v>
          </cell>
          <cell r="L8">
            <v>7819.1024994319769</v>
          </cell>
          <cell r="T8">
            <v>2795.5190955905855</v>
          </cell>
        </row>
        <row r="9">
          <cell r="K9">
            <v>1701.877289659923</v>
          </cell>
          <cell r="L9">
            <v>7811.0602181097656</v>
          </cell>
          <cell r="T9">
            <v>2795.6862584761056</v>
          </cell>
        </row>
        <row r="10">
          <cell r="K10">
            <v>1688.1146159697644</v>
          </cell>
          <cell r="L10">
            <v>7762.4172459174242</v>
          </cell>
          <cell r="T10">
            <v>2828.2420961746052</v>
          </cell>
        </row>
        <row r="11">
          <cell r="K11">
            <v>1666.7838186502154</v>
          </cell>
          <cell r="L11">
            <v>7687.0253995207995</v>
          </cell>
          <cell r="T11">
            <v>2884.0905554048677</v>
          </cell>
        </row>
        <row r="12">
          <cell r="K12">
            <v>1665.5413727969751</v>
          </cell>
          <cell r="L12">
            <v>7682.6340828006423</v>
          </cell>
          <cell r="T12">
            <v>2894.9874233286537</v>
          </cell>
        </row>
        <row r="13">
          <cell r="K13">
            <v>1676.6945619510514</v>
          </cell>
          <cell r="L13">
            <v>7722.0540590415676</v>
          </cell>
          <cell r="T13">
            <v>2849.6333833829631</v>
          </cell>
        </row>
        <row r="14">
          <cell r="K14">
            <v>1426.2190092460712</v>
          </cell>
          <cell r="L14">
            <v>7664.8469436106061</v>
          </cell>
          <cell r="T14">
            <v>2743.3973690517114</v>
          </cell>
        </row>
        <row r="15">
          <cell r="K15">
            <v>1441.1626768738265</v>
          </cell>
          <cell r="L15">
            <v>7717.6640360763167</v>
          </cell>
          <cell r="T15">
            <v>2680.7650099310872</v>
          </cell>
        </row>
        <row r="16">
          <cell r="K16">
            <v>1446.1569354162341</v>
          </cell>
          <cell r="L16">
            <v>7735.3158081715465</v>
          </cell>
          <cell r="T16">
            <v>2669.3906233404223</v>
          </cell>
        </row>
        <row r="17">
          <cell r="K17">
            <v>1460.0135389280995</v>
          </cell>
          <cell r="L17">
            <v>7784.2907671426337</v>
          </cell>
          <cell r="T17">
            <v>2624.0806798784793</v>
          </cell>
        </row>
        <row r="18">
          <cell r="K18">
            <v>1473.9013182858002</v>
          </cell>
          <cell r="L18">
            <v>7833.375914427138</v>
          </cell>
          <cell r="T18">
            <v>2590.2505959312693</v>
          </cell>
        </row>
        <row r="19">
          <cell r="K19">
            <v>1471.8081760040209</v>
          </cell>
          <cell r="L19">
            <v>7825.9778852287864</v>
          </cell>
          <cell r="T19">
            <v>2612.0778383391198</v>
          </cell>
        </row>
        <row r="20">
          <cell r="K20">
            <v>1471.5295434280513</v>
          </cell>
          <cell r="L20">
            <v>7824.9930826424634</v>
          </cell>
          <cell r="T20">
            <v>2620.1504178972787</v>
          </cell>
        </row>
        <row r="21">
          <cell r="K21">
            <v>1445.7956278919501</v>
          </cell>
          <cell r="L21">
            <v>7734.038798176809</v>
          </cell>
          <cell r="T21">
            <v>2694.0481607100078</v>
          </cell>
        </row>
        <row r="22">
          <cell r="K22">
            <v>1420.3258226155351</v>
          </cell>
          <cell r="L22">
            <v>7644.0179884346644</v>
          </cell>
          <cell r="T22">
            <v>2774.9047096845984</v>
          </cell>
        </row>
        <row r="23">
          <cell r="K23">
            <v>1393.8823618024255</v>
          </cell>
          <cell r="L23">
            <v>7550.5558779494604</v>
          </cell>
          <cell r="T23">
            <v>2822.6685761644894</v>
          </cell>
        </row>
        <row r="24">
          <cell r="K24">
            <v>1396.4080505066881</v>
          </cell>
          <cell r="L24">
            <v>7559.4827048272809</v>
          </cell>
          <cell r="T24">
            <v>2825.6166707636344</v>
          </cell>
        </row>
        <row r="25">
          <cell r="K25">
            <v>1371.674191088636</v>
          </cell>
          <cell r="L25">
            <v>7472.0630316614515</v>
          </cell>
          <cell r="T25">
            <v>2896.867878019726</v>
          </cell>
        </row>
        <row r="32">
          <cell r="K32">
            <v>1209.2010310119847</v>
          </cell>
          <cell r="L32">
            <v>6453.2773282326398</v>
          </cell>
          <cell r="T32">
            <v>3832.5869475524946</v>
          </cell>
        </row>
        <row r="35">
          <cell r="K35">
            <v>752.35535248388612</v>
          </cell>
          <cell r="L35">
            <v>4838.596043394462</v>
          </cell>
          <cell r="T35">
            <v>5092.0198297400366</v>
          </cell>
        </row>
        <row r="38">
          <cell r="K38">
            <v>1063.7182703555566</v>
          </cell>
          <cell r="L38">
            <v>6276.1589121116849</v>
          </cell>
          <cell r="T38">
            <v>5402.6671774599408</v>
          </cell>
        </row>
        <row r="41">
          <cell r="K41">
            <v>962.94368201748284</v>
          </cell>
          <cell r="L41">
            <v>5919.9799015078879</v>
          </cell>
          <cell r="T41">
            <v>5652.2223342832576</v>
          </cell>
        </row>
        <row r="44">
          <cell r="K44">
            <v>514.64032007805054</v>
          </cell>
          <cell r="L44">
            <v>4335.4906910903792</v>
          </cell>
          <cell r="T44">
            <v>7064.9327114368361</v>
          </cell>
        </row>
        <row r="45">
          <cell r="K45">
            <v>78.278200299099652</v>
          </cell>
          <cell r="L45">
            <v>2793.2067616692289</v>
          </cell>
          <cell r="T45">
            <v>8456.9201394030079</v>
          </cell>
        </row>
        <row r="46">
          <cell r="K46">
            <v>328.48810757762811</v>
          </cell>
          <cell r="L46">
            <v>3677.5518995403049</v>
          </cell>
          <cell r="T46">
            <v>7618.7912601678836</v>
          </cell>
        </row>
        <row r="48">
          <cell r="K48">
            <v>875.7904503874289</v>
          </cell>
          <cell r="L48">
            <v>5611.9443905239332</v>
          </cell>
          <cell r="T48">
            <v>5889.2946542787176</v>
          </cell>
        </row>
      </sheetData>
      <sheetData sheetId="5"/>
      <sheetData sheetId="6">
        <row r="2">
          <cell r="K2">
            <v>1138.4496794758679</v>
          </cell>
          <cell r="L2">
            <v>2075.563081537724</v>
          </cell>
          <cell r="M2">
            <v>6411.982065515921</v>
          </cell>
          <cell r="N2">
            <v>13066.435506811464</v>
          </cell>
        </row>
        <row r="3">
          <cell r="K3">
            <v>1169.5773140252331</v>
          </cell>
          <cell r="L3">
            <v>2106.6907160870896</v>
          </cell>
          <cell r="M3">
            <v>6521.9999803401952</v>
          </cell>
          <cell r="N3">
            <v>13176.453421635741</v>
          </cell>
        </row>
        <row r="4">
          <cell r="K4">
            <v>1187.5461932513931</v>
          </cell>
          <cell r="L4">
            <v>2124.6595953132496</v>
          </cell>
          <cell r="M4">
            <v>6585.5094198723318</v>
          </cell>
          <cell r="N4">
            <v>13239.962861167876</v>
          </cell>
        </row>
        <row r="5">
          <cell r="K5">
            <v>1195.8108077323461</v>
          </cell>
          <cell r="L5">
            <v>2132.9242097942024</v>
          </cell>
          <cell r="M5">
            <v>6614.7199803657404</v>
          </cell>
          <cell r="N5">
            <v>13269.173421661284</v>
          </cell>
        </row>
        <row r="6">
          <cell r="K6">
            <v>1210.7970166330679</v>
          </cell>
          <cell r="L6">
            <v>2147.9104186949239</v>
          </cell>
          <cell r="M6">
            <v>6667.6874312577647</v>
          </cell>
          <cell r="N6">
            <v>13322.140872553309</v>
          </cell>
        </row>
        <row r="7">
          <cell r="K7">
            <v>1228.5080287548585</v>
          </cell>
          <cell r="L7">
            <v>2165.621430816715</v>
          </cell>
          <cell r="M7">
            <v>6730.28546195543</v>
          </cell>
          <cell r="N7">
            <v>13384.738903250975</v>
          </cell>
        </row>
        <row r="8">
          <cell r="K8">
            <v>1229.610901901144</v>
          </cell>
          <cell r="L8">
            <v>2166.7243039630002</v>
          </cell>
          <cell r="M8">
            <v>6734.1834710918956</v>
          </cell>
          <cell r="N8">
            <v>13388.636912387441</v>
          </cell>
        </row>
        <row r="9">
          <cell r="K9">
            <v>1227.3354798088349</v>
          </cell>
          <cell r="L9">
            <v>2164.4488818706905</v>
          </cell>
          <cell r="M9">
            <v>6726.1411897696862</v>
          </cell>
          <cell r="N9">
            <v>13380.594631065229</v>
          </cell>
        </row>
        <row r="10">
          <cell r="K10">
            <v>1213.5728061186762</v>
          </cell>
          <cell r="L10">
            <v>2150.686208180532</v>
          </cell>
          <cell r="M10">
            <v>6677.4982175773439</v>
          </cell>
          <cell r="N10">
            <v>13331.951658872889</v>
          </cell>
        </row>
        <row r="11">
          <cell r="K11">
            <v>1192.242008799127</v>
          </cell>
          <cell r="L11">
            <v>2129.3554108609833</v>
          </cell>
          <cell r="M11">
            <v>6602.1063711807192</v>
          </cell>
          <cell r="N11">
            <v>13256.559812476264</v>
          </cell>
        </row>
        <row r="12">
          <cell r="K12">
            <v>1190.9995629458867</v>
          </cell>
          <cell r="L12">
            <v>2128.1129650077428</v>
          </cell>
          <cell r="M12">
            <v>6597.715054460562</v>
          </cell>
          <cell r="N12">
            <v>13252.168495756108</v>
          </cell>
        </row>
        <row r="13">
          <cell r="K13">
            <v>1202.152752099963</v>
          </cell>
          <cell r="L13">
            <v>2139.266154161819</v>
          </cell>
          <cell r="M13">
            <v>6637.1350307014873</v>
          </cell>
          <cell r="N13">
            <v>13291.588471997029</v>
          </cell>
        </row>
        <row r="14">
          <cell r="K14">
            <v>1193.2287434297907</v>
          </cell>
          <cell r="L14">
            <v>1778.9114514655594</v>
          </cell>
          <cell r="M14">
            <v>6502.9015911506349</v>
          </cell>
          <cell r="N14">
            <v>12549.8692191475</v>
          </cell>
        </row>
        <row r="15">
          <cell r="K15">
            <v>1208.172411057546</v>
          </cell>
          <cell r="L15">
            <v>1793.8551190933147</v>
          </cell>
          <cell r="M15">
            <v>6555.7186836163446</v>
          </cell>
          <cell r="N15">
            <v>12602.68631161321</v>
          </cell>
        </row>
        <row r="16">
          <cell r="K16">
            <v>1213.1666695999536</v>
          </cell>
          <cell r="L16">
            <v>1798.8493776357225</v>
          </cell>
          <cell r="M16">
            <v>6573.3704557115752</v>
          </cell>
          <cell r="N16">
            <v>12620.338083708441</v>
          </cell>
        </row>
        <row r="17">
          <cell r="K17">
            <v>1227.0232731118192</v>
          </cell>
          <cell r="L17">
            <v>1812.7059811475879</v>
          </cell>
          <cell r="M17">
            <v>6622.3454146826616</v>
          </cell>
          <cell r="N17">
            <v>12669.313042679529</v>
          </cell>
        </row>
        <row r="18">
          <cell r="K18">
            <v>1240.91105246952</v>
          </cell>
          <cell r="L18">
            <v>1826.5937605052886</v>
          </cell>
          <cell r="M18">
            <v>6671.4305619671668</v>
          </cell>
          <cell r="N18">
            <v>12718.398189964035</v>
          </cell>
        </row>
        <row r="19">
          <cell r="K19">
            <v>1238.8179101877404</v>
          </cell>
          <cell r="L19">
            <v>1824.500618223509</v>
          </cell>
          <cell r="M19">
            <v>6664.0325327688133</v>
          </cell>
          <cell r="N19">
            <v>12711.000160765681</v>
          </cell>
        </row>
        <row r="20">
          <cell r="K20">
            <v>1238.5392776117708</v>
          </cell>
          <cell r="L20">
            <v>1824.2219856475394</v>
          </cell>
          <cell r="M20">
            <v>6663.0477301824913</v>
          </cell>
          <cell r="N20">
            <v>12710.01535817936</v>
          </cell>
        </row>
        <row r="21">
          <cell r="K21">
            <v>1212.8053620756691</v>
          </cell>
          <cell r="L21">
            <v>1798.488070111438</v>
          </cell>
          <cell r="M21">
            <v>6572.0934457168369</v>
          </cell>
          <cell r="N21">
            <v>12619.061073713705</v>
          </cell>
        </row>
        <row r="22">
          <cell r="K22">
            <v>1187.3355567992546</v>
          </cell>
          <cell r="L22">
            <v>1773.0182648350235</v>
          </cell>
          <cell r="M22">
            <v>6482.0726359746914</v>
          </cell>
          <cell r="N22">
            <v>12529.040263971559</v>
          </cell>
        </row>
        <row r="23">
          <cell r="K23">
            <v>1160.8920959861446</v>
          </cell>
          <cell r="L23">
            <v>1746.5748040219135</v>
          </cell>
          <cell r="M23">
            <v>6388.6105254894892</v>
          </cell>
          <cell r="N23">
            <v>12435.578153486354</v>
          </cell>
        </row>
        <row r="24">
          <cell r="K24">
            <v>1163.4177846904076</v>
          </cell>
          <cell r="L24">
            <v>1749.1004927261763</v>
          </cell>
          <cell r="M24">
            <v>6397.5373523673088</v>
          </cell>
          <cell r="N24">
            <v>12444.504980364174</v>
          </cell>
        </row>
        <row r="25">
          <cell r="K25">
            <v>1138.6839252723551</v>
          </cell>
          <cell r="L25">
            <v>1724.3666333081237</v>
          </cell>
          <cell r="M25">
            <v>6310.1176792014794</v>
          </cell>
          <cell r="N25">
            <v>12357.085307198347</v>
          </cell>
        </row>
        <row r="32">
          <cell r="K32">
            <v>883.14556737729231</v>
          </cell>
          <cell r="L32">
            <v>1547.2267122869973</v>
          </cell>
          <cell r="M32">
            <v>5173.9395964387686</v>
          </cell>
          <cell r="N32">
            <v>9974.9227523342051</v>
          </cell>
        </row>
        <row r="35">
          <cell r="K35">
            <v>426.29988884919334</v>
          </cell>
          <cell r="L35">
            <v>1090.3810337588989</v>
          </cell>
          <cell r="M35">
            <v>3559.2583116005908</v>
          </cell>
          <cell r="N35">
            <v>8360.2414674960255</v>
          </cell>
        </row>
        <row r="38">
          <cell r="K38">
            <v>687.23473713329531</v>
          </cell>
          <cell r="L38">
            <v>1454.0233472514935</v>
          </cell>
          <cell r="M38">
            <v>4798.9575056971535</v>
          </cell>
          <cell r="N38">
            <v>10342.465598839126</v>
          </cell>
        </row>
        <row r="41">
          <cell r="K41">
            <v>586.4601487952217</v>
          </cell>
          <cell r="L41">
            <v>1353.24875891342</v>
          </cell>
          <cell r="M41">
            <v>4442.7784950933556</v>
          </cell>
          <cell r="N41">
            <v>9986.286588235329</v>
          </cell>
        </row>
        <row r="44">
          <cell r="K44">
            <v>138.15678685578933</v>
          </cell>
          <cell r="L44">
            <v>904.94539697398716</v>
          </cell>
          <cell r="M44">
            <v>2858.2892846758477</v>
          </cell>
          <cell r="N44">
            <v>8401.7973778178221</v>
          </cell>
        </row>
        <row r="45">
          <cell r="K45">
            <v>-298.20533292316151</v>
          </cell>
          <cell r="L45">
            <v>468.58327719503689</v>
          </cell>
          <cell r="M45">
            <v>1316.0053552546979</v>
          </cell>
          <cell r="N45">
            <v>6859.5134483966704</v>
          </cell>
        </row>
        <row r="46">
          <cell r="K46">
            <v>-47.995425644633066</v>
          </cell>
          <cell r="L46">
            <v>718.79318447356536</v>
          </cell>
          <cell r="M46">
            <v>2200.3504931257721</v>
          </cell>
          <cell r="N46">
            <v>7743.8585862677464</v>
          </cell>
        </row>
        <row r="48">
          <cell r="K48">
            <v>499.3069171651677</v>
          </cell>
          <cell r="L48">
            <v>1266.0955272833664</v>
          </cell>
          <cell r="M48">
            <v>4134.7429841093999</v>
          </cell>
          <cell r="N48">
            <v>9678.2510772513742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B704-8ADE-4E63-A213-6567C6AB7549}">
  <dimension ref="A2:E49"/>
  <sheetViews>
    <sheetView workbookViewId="0">
      <selection activeCell="F52" sqref="F52"/>
    </sheetView>
  </sheetViews>
  <sheetFormatPr defaultRowHeight="14.4" x14ac:dyDescent="0.3"/>
  <cols>
    <col min="1" max="1" width="7.44140625" customWidth="1"/>
    <col min="2" max="2" width="15.21875" bestFit="1" customWidth="1"/>
    <col min="3" max="5" width="20.44140625" bestFit="1" customWidth="1"/>
  </cols>
  <sheetData>
    <row r="2" spans="1:5" x14ac:dyDescent="0.3">
      <c r="A2" s="2" t="s">
        <v>0</v>
      </c>
      <c r="B2" s="2" t="s">
        <v>48</v>
      </c>
      <c r="C2" s="2" t="s">
        <v>49</v>
      </c>
      <c r="D2" s="2" t="s">
        <v>50</v>
      </c>
      <c r="E2" s="2" t="s">
        <v>51</v>
      </c>
    </row>
    <row r="3" spans="1:5" x14ac:dyDescent="0.3">
      <c r="A3" s="3" t="s">
        <v>1</v>
      </c>
      <c r="B3" s="1">
        <v>326.17727272727274</v>
      </c>
      <c r="C3" s="1">
        <v>470.06471342283669</v>
      </c>
      <c r="D3" s="1">
        <v>309.37649845256874</v>
      </c>
      <c r="E3" s="1">
        <v>49.41</v>
      </c>
    </row>
    <row r="4" spans="1:5" x14ac:dyDescent="0.3">
      <c r="A4" s="3" t="s">
        <v>2</v>
      </c>
      <c r="B4" s="1">
        <v>268.5377272727273</v>
      </c>
      <c r="C4" s="1">
        <v>433.53111084267863</v>
      </c>
      <c r="D4" s="1">
        <v>271.21327616768167</v>
      </c>
      <c r="E4" s="1">
        <v>42.81</v>
      </c>
    </row>
    <row r="5" spans="1:5" x14ac:dyDescent="0.3">
      <c r="A5" s="3" t="s">
        <v>3</v>
      </c>
      <c r="B5" s="1">
        <v>231.45181818181817</v>
      </c>
      <c r="C5" s="1">
        <v>402.58537634098184</v>
      </c>
      <c r="D5" s="1">
        <v>246.07008663554501</v>
      </c>
      <c r="E5" s="1">
        <v>30.61</v>
      </c>
    </row>
    <row r="6" spans="1:5" x14ac:dyDescent="0.3">
      <c r="A6" s="3" t="s">
        <v>4</v>
      </c>
      <c r="B6" s="1">
        <v>219.83454545454546</v>
      </c>
      <c r="C6" s="1">
        <v>402.41538568466922</v>
      </c>
      <c r="D6" s="1">
        <v>238.94735160138174</v>
      </c>
      <c r="E6" s="1">
        <v>36.97</v>
      </c>
    </row>
    <row r="7" spans="1:5" x14ac:dyDescent="0.3">
      <c r="A7" s="3" t="s">
        <v>5</v>
      </c>
      <c r="B7" s="1">
        <v>193.9190909090909</v>
      </c>
      <c r="C7" s="1">
        <v>389.56957790199488</v>
      </c>
      <c r="D7" s="1">
        <v>222.07192421747897</v>
      </c>
      <c r="E7" s="1">
        <v>37.83</v>
      </c>
    </row>
    <row r="8" spans="1:5" x14ac:dyDescent="0.3">
      <c r="A8" s="3" t="s">
        <v>6</v>
      </c>
      <c r="B8" s="1">
        <v>160.40772727272727</v>
      </c>
      <c r="C8" s="1">
        <v>366.93276892694593</v>
      </c>
      <c r="D8" s="1">
        <v>199.77353777277719</v>
      </c>
      <c r="E8" s="1">
        <v>32.5</v>
      </c>
    </row>
    <row r="9" spans="1:5" x14ac:dyDescent="0.3">
      <c r="A9" s="3" t="s">
        <v>7</v>
      </c>
      <c r="B9" s="1">
        <v>161.74818181818182</v>
      </c>
      <c r="C9" s="1">
        <v>374.38298210622401</v>
      </c>
      <c r="D9" s="1">
        <v>201.18323643056527</v>
      </c>
      <c r="E9" s="1">
        <v>39.71</v>
      </c>
    </row>
    <row r="10" spans="1:5" x14ac:dyDescent="0.3">
      <c r="A10" s="3" t="s">
        <v>8</v>
      </c>
      <c r="B10" s="1">
        <v>164.42909090909092</v>
      </c>
      <c r="C10" s="1">
        <v>373.09179749991341</v>
      </c>
      <c r="D10" s="1">
        <v>202.72169374614143</v>
      </c>
      <c r="E10" s="1">
        <v>36.82</v>
      </c>
    </row>
    <row r="11" spans="1:5" x14ac:dyDescent="0.3">
      <c r="A11" s="3" t="s">
        <v>9</v>
      </c>
      <c r="B11" s="1">
        <v>188.11045454545456</v>
      </c>
      <c r="C11" s="1">
        <v>384.58313592705053</v>
      </c>
      <c r="D11" s="1">
        <v>218.12279670039737</v>
      </c>
      <c r="E11" s="1">
        <v>35.770000000000003</v>
      </c>
    </row>
    <row r="12" spans="1:5" x14ac:dyDescent="0.3">
      <c r="A12" s="3" t="s">
        <v>10</v>
      </c>
      <c r="B12" s="1">
        <v>226.08999999999997</v>
      </c>
      <c r="C12" s="1">
        <v>405.69156427921394</v>
      </c>
      <c r="D12" s="1">
        <v>243.0346120043927</v>
      </c>
      <c r="E12" s="1">
        <v>36.950000000000003</v>
      </c>
    </row>
    <row r="13" spans="1:5" x14ac:dyDescent="0.3">
      <c r="A13" s="3" t="s">
        <v>11</v>
      </c>
      <c r="B13" s="1">
        <v>230.11136363636368</v>
      </c>
      <c r="C13" s="1">
        <v>411.59803739519049</v>
      </c>
      <c r="D13" s="1">
        <v>245.96278797775696</v>
      </c>
      <c r="E13" s="1">
        <v>41</v>
      </c>
    </row>
    <row r="14" spans="1:5" x14ac:dyDescent="0.3">
      <c r="A14" s="3" t="s">
        <v>12</v>
      </c>
      <c r="B14" s="1">
        <v>206.43</v>
      </c>
      <c r="C14" s="1">
        <v>390.67796190705644</v>
      </c>
      <c r="D14" s="1">
        <v>229.815765023501</v>
      </c>
      <c r="E14" s="1">
        <v>31.97</v>
      </c>
    </row>
    <row r="15" spans="1:5" x14ac:dyDescent="0.3">
      <c r="A15" s="3" t="s">
        <v>13</v>
      </c>
      <c r="B15" s="1">
        <v>162.19499999999999</v>
      </c>
      <c r="C15" s="1">
        <v>365.50573995355796</v>
      </c>
      <c r="D15" s="1">
        <v>199.40429230500035</v>
      </c>
      <c r="E15" s="1">
        <v>34.979999999999997</v>
      </c>
    </row>
    <row r="16" spans="1:5" x14ac:dyDescent="0.3">
      <c r="A16" s="3" t="s">
        <v>14</v>
      </c>
      <c r="B16" s="1">
        <v>130.02409090909092</v>
      </c>
      <c r="C16" s="1">
        <v>336.33505496513783</v>
      </c>
      <c r="D16" s="1">
        <v>177.40930451808666</v>
      </c>
      <c r="E16" s="1">
        <v>21.91</v>
      </c>
    </row>
    <row r="17" spans="1:5" x14ac:dyDescent="0.3">
      <c r="A17" s="3" t="s">
        <v>15</v>
      </c>
      <c r="B17" s="1">
        <v>121.53454545454547</v>
      </c>
      <c r="C17" s="1">
        <v>332.43401166858547</v>
      </c>
      <c r="D17" s="1">
        <v>171.90543968542889</v>
      </c>
      <c r="E17" s="1">
        <v>22.52</v>
      </c>
    </row>
    <row r="18" spans="1:5" x14ac:dyDescent="0.3">
      <c r="A18" s="3" t="s">
        <v>16</v>
      </c>
      <c r="B18" s="1">
        <v>94.725454545454554</v>
      </c>
      <c r="C18" s="1">
        <v>313.19648344731979</v>
      </c>
      <c r="D18" s="1">
        <v>153.9774865296674</v>
      </c>
      <c r="E18" s="1">
        <v>17.05</v>
      </c>
    </row>
    <row r="19" spans="1:5" x14ac:dyDescent="0.3">
      <c r="A19" s="3" t="s">
        <v>17</v>
      </c>
      <c r="B19" s="1">
        <v>70.597272727272724</v>
      </c>
      <c r="C19" s="1">
        <v>301.00210070044625</v>
      </c>
      <c r="D19" s="1">
        <v>138.24733068948214</v>
      </c>
      <c r="E19" s="1">
        <v>17.600000000000001</v>
      </c>
    </row>
    <row r="20" spans="1:5" x14ac:dyDescent="0.3">
      <c r="A20" s="3" t="s">
        <v>18</v>
      </c>
      <c r="B20" s="1">
        <v>78.193181818181827</v>
      </c>
      <c r="C20" s="1">
        <v>313.0754549115544</v>
      </c>
      <c r="D20" s="1">
        <v>143.85084975028121</v>
      </c>
      <c r="E20" s="1">
        <v>26.23</v>
      </c>
    </row>
    <row r="21" spans="1:5" x14ac:dyDescent="0.3">
      <c r="A21" s="3" t="s">
        <v>19</v>
      </c>
      <c r="B21" s="1">
        <v>80.427272727272737</v>
      </c>
      <c r="C21" s="1">
        <v>317.84409988937716</v>
      </c>
      <c r="D21" s="1">
        <v>145.595274179928</v>
      </c>
      <c r="E21" s="1">
        <v>30.07</v>
      </c>
    </row>
    <row r="22" spans="1:5" x14ac:dyDescent="0.3">
      <c r="A22" s="3" t="s">
        <v>20</v>
      </c>
      <c r="B22" s="1">
        <v>127.78999999999999</v>
      </c>
      <c r="C22" s="1">
        <v>347.29967956727228</v>
      </c>
      <c r="D22" s="1">
        <v>176.90956008843986</v>
      </c>
      <c r="E22" s="1">
        <v>34.89</v>
      </c>
    </row>
    <row r="23" spans="1:5" x14ac:dyDescent="0.3">
      <c r="A23" s="3" t="s">
        <v>21</v>
      </c>
      <c r="B23" s="1">
        <v>176.49318181818182</v>
      </c>
      <c r="C23" s="1">
        <v>381.17480694055359</v>
      </c>
      <c r="D23" s="1">
        <v>209.39378465473979</v>
      </c>
      <c r="E23" s="1">
        <v>43.68</v>
      </c>
    </row>
    <row r="24" spans="1:5" x14ac:dyDescent="0.3">
      <c r="A24" s="3" t="s">
        <v>22</v>
      </c>
      <c r="B24" s="1">
        <v>218.49409090909091</v>
      </c>
      <c r="C24" s="1">
        <v>394.20561921604428</v>
      </c>
      <c r="D24" s="1">
        <v>236.12747593209937</v>
      </c>
      <c r="E24" s="1">
        <v>33.96</v>
      </c>
    </row>
    <row r="25" spans="1:5" x14ac:dyDescent="0.3">
      <c r="A25" s="3" t="s">
        <v>23</v>
      </c>
      <c r="B25" s="1">
        <v>216.26000000000002</v>
      </c>
      <c r="C25" s="1">
        <v>397.55616448519112</v>
      </c>
      <c r="D25" s="1">
        <v>235.0253715024526</v>
      </c>
      <c r="E25" s="1">
        <v>38.799999999999997</v>
      </c>
    </row>
    <row r="26" spans="1:5" x14ac:dyDescent="0.3">
      <c r="A26" s="3" t="s">
        <v>24</v>
      </c>
      <c r="B26" s="1">
        <v>261.83545454545458</v>
      </c>
      <c r="C26" s="1">
        <v>426.00487070633528</v>
      </c>
      <c r="D26" s="1">
        <v>265.16626586724703</v>
      </c>
      <c r="E26" s="1">
        <v>43.55</v>
      </c>
    </row>
    <row r="27" spans="1:5" x14ac:dyDescent="0.3">
      <c r="A27" s="3" t="s">
        <v>25</v>
      </c>
      <c r="B27" s="1">
        <v>324.83681818181822</v>
      </c>
      <c r="C27" s="1">
        <v>514.21616880274019</v>
      </c>
      <c r="D27" s="1">
        <v>324.05649427753929</v>
      </c>
      <c r="E27" s="1">
        <v>52.79</v>
      </c>
    </row>
    <row r="28" spans="1:5" x14ac:dyDescent="0.3">
      <c r="A28" s="3" t="s">
        <v>26</v>
      </c>
      <c r="B28" s="1">
        <v>275.24000000000007</v>
      </c>
      <c r="C28" s="1">
        <v>484.27603301005473</v>
      </c>
      <c r="D28" s="1">
        <v>291.3367039393807</v>
      </c>
      <c r="E28" s="1">
        <v>48.71</v>
      </c>
    </row>
    <row r="29" spans="1:5" x14ac:dyDescent="0.3">
      <c r="A29" s="3" t="s">
        <v>27</v>
      </c>
      <c r="B29" s="1">
        <v>273.89954545454549</v>
      </c>
      <c r="C29" s="1">
        <v>482.13883833340185</v>
      </c>
      <c r="D29" s="1">
        <v>290.34732528159259</v>
      </c>
      <c r="E29" s="1">
        <v>47.18</v>
      </c>
    </row>
    <row r="30" spans="1:5" x14ac:dyDescent="0.3">
      <c r="A30" s="3" t="s">
        <v>28</v>
      </c>
      <c r="B30" s="1">
        <v>319.47500000000002</v>
      </c>
      <c r="C30" s="1">
        <v>512.20577026045123</v>
      </c>
      <c r="D30" s="1">
        <v>320.61623964638704</v>
      </c>
      <c r="E30" s="1">
        <v>53.66</v>
      </c>
    </row>
    <row r="31" spans="1:5" x14ac:dyDescent="0.3">
      <c r="A31" s="3" t="s">
        <v>29</v>
      </c>
      <c r="B31" s="1">
        <v>398.11500000000001</v>
      </c>
      <c r="C31" s="1">
        <v>553.31852047475718</v>
      </c>
      <c r="D31" s="1">
        <v>371.99312756995391</v>
      </c>
      <c r="E31" s="1">
        <v>53.33</v>
      </c>
    </row>
    <row r="32" spans="1:5" x14ac:dyDescent="0.3">
      <c r="A32" s="3" t="s">
        <v>30</v>
      </c>
      <c r="B32" s="1">
        <v>460.22272727272735</v>
      </c>
      <c r="C32" s="1">
        <v>605.48815960160255</v>
      </c>
      <c r="D32" s="1">
        <v>414.12767871413462</v>
      </c>
      <c r="E32" s="1">
        <v>74.13</v>
      </c>
    </row>
    <row r="33" spans="1:5" x14ac:dyDescent="0.3">
      <c r="A33" s="3" t="s">
        <v>31</v>
      </c>
      <c r="B33" s="1">
        <v>558.96954545454548</v>
      </c>
      <c r="C33" s="1">
        <v>664.19769157651308</v>
      </c>
      <c r="D33" s="1">
        <v>479.20120650452259</v>
      </c>
      <c r="E33" s="1">
        <v>81.290000000000006</v>
      </c>
    </row>
    <row r="34" spans="1:5" x14ac:dyDescent="0.3">
      <c r="A34" s="3" t="s">
        <v>32</v>
      </c>
      <c r="B34" s="1">
        <v>689.4404545454546</v>
      </c>
      <c r="C34" s="1">
        <v>734.34140173193737</v>
      </c>
      <c r="D34" s="1">
        <v>564.59312919589479</v>
      </c>
      <c r="E34" s="1">
        <v>82.81</v>
      </c>
    </row>
    <row r="35" spans="1:5" x14ac:dyDescent="0.3">
      <c r="A35" s="3" t="s">
        <v>33</v>
      </c>
      <c r="B35" s="1">
        <v>1020.5327272727274</v>
      </c>
      <c r="C35" s="1">
        <v>951.32336540346387</v>
      </c>
      <c r="D35" s="1">
        <v>784.37353766954857</v>
      </c>
      <c r="E35" s="1">
        <v>128.34</v>
      </c>
    </row>
    <row r="36" spans="1:5" x14ac:dyDescent="0.3">
      <c r="A36" s="3" t="s">
        <v>34</v>
      </c>
      <c r="B36" s="1">
        <v>1387.3704545454545</v>
      </c>
      <c r="C36" s="1">
        <v>1155.0212927348693</v>
      </c>
      <c r="D36" s="1">
        <v>1024.9777570175509</v>
      </c>
      <c r="E36" s="1">
        <v>139.54</v>
      </c>
    </row>
    <row r="37" spans="1:5" x14ac:dyDescent="0.3">
      <c r="A37" s="3" t="s">
        <v>35</v>
      </c>
      <c r="B37" s="1">
        <v>1234.1118181818183</v>
      </c>
      <c r="C37" s="1">
        <v>1108.6347640285735</v>
      </c>
      <c r="D37" s="1">
        <v>927.52015714378138</v>
      </c>
      <c r="E37" s="1">
        <v>176.25</v>
      </c>
    </row>
    <row r="38" spans="1:5" x14ac:dyDescent="0.3">
      <c r="A38" s="3" t="s">
        <v>36</v>
      </c>
      <c r="B38" s="1">
        <v>1699.2495454545456</v>
      </c>
      <c r="C38" s="1">
        <v>1395.4544161270351</v>
      </c>
      <c r="D38" s="1">
        <v>1234.8557513962423</v>
      </c>
      <c r="E38" s="1">
        <v>220.96</v>
      </c>
    </row>
    <row r="39" spans="1:5" x14ac:dyDescent="0.3">
      <c r="A39" s="3" t="s">
        <v>37</v>
      </c>
      <c r="B39" s="1">
        <v>1262.7081818181821</v>
      </c>
      <c r="C39" s="1">
        <v>1161.2883707235815</v>
      </c>
      <c r="D39" s="1">
        <v>962.26814598119142</v>
      </c>
      <c r="E39" s="1">
        <v>167.87</v>
      </c>
    </row>
    <row r="40" spans="1:5" x14ac:dyDescent="0.3">
      <c r="A40" s="3" t="s">
        <v>38</v>
      </c>
      <c r="B40" s="1">
        <v>1216.6859090909093</v>
      </c>
      <c r="C40" s="1">
        <v>1100.4830029064969</v>
      </c>
      <c r="D40" s="1">
        <v>929.29403873046761</v>
      </c>
      <c r="E40" s="1">
        <v>128.78</v>
      </c>
    </row>
    <row r="41" spans="1:5" x14ac:dyDescent="0.3">
      <c r="A41" s="3" t="s">
        <v>39</v>
      </c>
      <c r="B41" s="1">
        <v>1894.062272727273</v>
      </c>
      <c r="C41" s="1">
        <v>1572.3064645957954</v>
      </c>
      <c r="D41" s="1">
        <v>1381.1467337993734</v>
      </c>
      <c r="E41" s="1">
        <v>251.76</v>
      </c>
    </row>
    <row r="42" spans="1:5" x14ac:dyDescent="0.3">
      <c r="A42" s="3" t="s">
        <v>40</v>
      </c>
      <c r="B42" s="1">
        <v>1438.7545454545457</v>
      </c>
      <c r="C42" s="1">
        <v>1252.2667077671622</v>
      </c>
      <c r="D42" s="1">
        <v>1077.1986030373582</v>
      </c>
      <c r="E42" s="1">
        <v>166</v>
      </c>
    </row>
    <row r="43" spans="1:5" x14ac:dyDescent="0.3">
      <c r="A43" s="3" t="s">
        <v>41</v>
      </c>
      <c r="B43" s="1">
        <v>1303.3686363636366</v>
      </c>
      <c r="C43" s="1">
        <v>1191.7222975688703</v>
      </c>
      <c r="D43" s="1">
        <v>989.55831860076296</v>
      </c>
      <c r="E43" s="1">
        <v>177.51</v>
      </c>
    </row>
    <row r="44" spans="1:5" x14ac:dyDescent="0.3">
      <c r="A44" s="3" t="s">
        <v>42</v>
      </c>
      <c r="B44" s="1">
        <v>1499.5218181818184</v>
      </c>
      <c r="C44" s="1">
        <v>1333.0828562528118</v>
      </c>
      <c r="D44" s="1">
        <v>1120.779115523751</v>
      </c>
      <c r="E44" s="1">
        <v>218.18</v>
      </c>
    </row>
    <row r="45" spans="1:5" x14ac:dyDescent="0.3">
      <c r="A45" s="3" t="s">
        <v>43</v>
      </c>
      <c r="B45" s="1">
        <v>2293.5177272727274</v>
      </c>
      <c r="C45" s="1">
        <v>1842.1057984548429</v>
      </c>
      <c r="D45" s="1">
        <v>1646.9410138202186</v>
      </c>
      <c r="E45" s="1">
        <v>315.26</v>
      </c>
    </row>
    <row r="46" spans="1:5" x14ac:dyDescent="0.3">
      <c r="A46" s="3" t="s">
        <v>44</v>
      </c>
      <c r="B46" s="1">
        <v>3129.5145454545459</v>
      </c>
      <c r="C46" s="1">
        <v>2426.5781664323977</v>
      </c>
      <c r="D46" s="1">
        <v>2204.7746233940466</v>
      </c>
      <c r="E46" s="1">
        <v>469.35</v>
      </c>
    </row>
    <row r="47" spans="1:5" x14ac:dyDescent="0.3">
      <c r="A47" s="3" t="s">
        <v>45</v>
      </c>
      <c r="B47" s="1">
        <v>2640.6954545454546</v>
      </c>
      <c r="C47" s="1">
        <v>2066.9897389161329</v>
      </c>
      <c r="D47" s="1">
        <v>1877.1901861873291</v>
      </c>
      <c r="E47" s="1">
        <v>360.18</v>
      </c>
    </row>
    <row r="48" spans="1:5" x14ac:dyDescent="0.3">
      <c r="A48" s="3" t="s">
        <v>46</v>
      </c>
      <c r="B48" s="1">
        <v>1743.4845454545457</v>
      </c>
      <c r="C48" s="1">
        <v>1405.0858349741209</v>
      </c>
      <c r="D48" s="1">
        <v>1275.7703912411798</v>
      </c>
      <c r="E48" s="1">
        <v>157.78</v>
      </c>
    </row>
    <row r="49" spans="1:5" x14ac:dyDescent="0.3">
      <c r="A49" s="3" t="s">
        <v>47</v>
      </c>
      <c r="B49" s="1">
        <v>1596.0345454545457</v>
      </c>
      <c r="C49" s="1">
        <v>1343.9490069742142</v>
      </c>
      <c r="D49" s="1">
        <v>1180.7005188844921</v>
      </c>
      <c r="E49" s="1">
        <v>175.45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03D6-B6BF-4D72-830D-BFA1B1621780}">
  <dimension ref="A2:F49"/>
  <sheetViews>
    <sheetView topLeftCell="A46" zoomScale="115" zoomScaleNormal="115" workbookViewId="0">
      <selection activeCell="A2" sqref="A2:E49"/>
    </sheetView>
  </sheetViews>
  <sheetFormatPr defaultRowHeight="14.4" x14ac:dyDescent="0.3"/>
  <cols>
    <col min="2" max="2" width="11.88671875" bestFit="1" customWidth="1"/>
    <col min="3" max="3" width="12.6640625" bestFit="1" customWidth="1"/>
    <col min="4" max="4" width="12.44140625" bestFit="1" customWidth="1"/>
    <col min="5" max="5" width="16" bestFit="1" customWidth="1"/>
  </cols>
  <sheetData>
    <row r="2" spans="1:5" x14ac:dyDescent="0.3">
      <c r="A2" s="2" t="s">
        <v>0</v>
      </c>
      <c r="B2" s="2" t="s">
        <v>55</v>
      </c>
      <c r="C2" s="2" t="s">
        <v>56</v>
      </c>
      <c r="D2" s="2" t="s">
        <v>57</v>
      </c>
      <c r="E2" s="2" t="s">
        <v>58</v>
      </c>
    </row>
    <row r="3" spans="1:5" x14ac:dyDescent="0.3">
      <c r="A3" s="3" t="s">
        <v>1</v>
      </c>
      <c r="B3" s="1">
        <v>470.06471342283669</v>
      </c>
      <c r="C3" s="1">
        <v>1440.524473159039</v>
      </c>
      <c r="D3" s="1">
        <v>1851.9250959873561</v>
      </c>
      <c r="E3" s="1">
        <v>636.94255706474655</v>
      </c>
    </row>
    <row r="4" spans="1:5" x14ac:dyDescent="0.3">
      <c r="A4" s="3" t="s">
        <v>2</v>
      </c>
      <c r="B4" s="1">
        <v>433.53111084267863</v>
      </c>
      <c r="C4" s="1">
        <v>1437.4231730719212</v>
      </c>
      <c r="D4" s="1">
        <v>1848.8237959002383</v>
      </c>
      <c r="E4" s="1">
        <v>593.63885483011927</v>
      </c>
    </row>
    <row r="5" spans="1:5" x14ac:dyDescent="0.3">
      <c r="A5" s="3" t="s">
        <v>3</v>
      </c>
      <c r="B5" s="1">
        <v>402.58537634098184</v>
      </c>
      <c r="C5" s="1">
        <v>1431.6904668502793</v>
      </c>
      <c r="D5" s="1">
        <v>1843.0910896785965</v>
      </c>
      <c r="E5" s="1">
        <v>562.03948676163031</v>
      </c>
    </row>
    <row r="6" spans="1:5" x14ac:dyDescent="0.3">
      <c r="A6" s="3" t="s">
        <v>4</v>
      </c>
      <c r="B6" s="1">
        <v>402.41538568466922</v>
      </c>
      <c r="C6" s="1">
        <v>1434.6789923887748</v>
      </c>
      <c r="D6" s="1">
        <v>1846.0796152170917</v>
      </c>
      <c r="E6" s="1">
        <v>556.92520256496857</v>
      </c>
    </row>
    <row r="7" spans="1:5" x14ac:dyDescent="0.3">
      <c r="A7" s="3" t="s">
        <v>5</v>
      </c>
      <c r="B7" s="1">
        <v>389.56957790199488</v>
      </c>
      <c r="C7" s="1">
        <v>1435.0831011880052</v>
      </c>
      <c r="D7" s="1">
        <v>1846.4837240163222</v>
      </c>
      <c r="E7" s="1">
        <v>539.25381272423351</v>
      </c>
    </row>
    <row r="8" spans="1:5" x14ac:dyDescent="0.3">
      <c r="A8" s="3" t="s">
        <v>6</v>
      </c>
      <c r="B8" s="1">
        <v>366.93276892694593</v>
      </c>
      <c r="C8" s="1">
        <v>1432.5785664206812</v>
      </c>
      <c r="D8" s="1">
        <v>1843.9791892489984</v>
      </c>
      <c r="E8" s="1">
        <v>513.37578833626458</v>
      </c>
    </row>
    <row r="9" spans="1:5" x14ac:dyDescent="0.3">
      <c r="A9" s="3" t="s">
        <v>7</v>
      </c>
      <c r="B9" s="1">
        <v>374.38298210622401</v>
      </c>
      <c r="C9" s="1">
        <v>1435.9665018188809</v>
      </c>
      <c r="D9" s="1">
        <v>1847.3671246471981</v>
      </c>
      <c r="E9" s="1">
        <v>517.69866331929029</v>
      </c>
    </row>
    <row r="10" spans="1:5" x14ac:dyDescent="0.3">
      <c r="A10" s="3" t="s">
        <v>8</v>
      </c>
      <c r="B10" s="1">
        <v>373.09179749991341</v>
      </c>
      <c r="C10" s="1">
        <v>1434.6085082958855</v>
      </c>
      <c r="D10" s="1">
        <v>1846.0091311242024</v>
      </c>
      <c r="E10" s="1">
        <v>518.21054896594637</v>
      </c>
    </row>
    <row r="11" spans="1:5" x14ac:dyDescent="0.3">
      <c r="A11" s="3" t="s">
        <v>9</v>
      </c>
      <c r="B11" s="1">
        <v>384.58313592705053</v>
      </c>
      <c r="C11" s="1">
        <v>1434.1151196456624</v>
      </c>
      <c r="D11" s="1">
        <v>1845.5157424739793</v>
      </c>
      <c r="E11" s="1">
        <v>534.23442631431226</v>
      </c>
    </row>
    <row r="12" spans="1:5" x14ac:dyDescent="0.3">
      <c r="A12" s="3" t="s">
        <v>10</v>
      </c>
      <c r="B12" s="1">
        <v>405.69156427921394</v>
      </c>
      <c r="C12" s="1">
        <v>1434.6695945097226</v>
      </c>
      <c r="D12" s="1">
        <v>1846.0702173380398</v>
      </c>
      <c r="E12" s="1">
        <v>561.2788560817703</v>
      </c>
    </row>
    <row r="13" spans="1:5" x14ac:dyDescent="0.3">
      <c r="A13" s="3" t="s">
        <v>11</v>
      </c>
      <c r="B13" s="1">
        <v>411.59803739519049</v>
      </c>
      <c r="C13" s="1">
        <v>1436.5726650177269</v>
      </c>
      <c r="D13" s="1">
        <v>1847.9732878460438</v>
      </c>
      <c r="E13" s="1">
        <v>565.98674534425197</v>
      </c>
    </row>
    <row r="14" spans="1:5" x14ac:dyDescent="0.3">
      <c r="A14" s="3" t="s">
        <v>12</v>
      </c>
      <c r="B14" s="1">
        <v>390.67796190705644</v>
      </c>
      <c r="C14" s="1">
        <v>1432.3295226258065</v>
      </c>
      <c r="D14" s="1">
        <v>1843.7301454541237</v>
      </c>
      <c r="E14" s="1">
        <v>545.22633695374259</v>
      </c>
    </row>
    <row r="15" spans="1:5" x14ac:dyDescent="0.3">
      <c r="A15" s="3" t="s">
        <v>13</v>
      </c>
      <c r="B15" s="1">
        <v>365.50573995355796</v>
      </c>
      <c r="C15" s="1">
        <v>1210.4482882408811</v>
      </c>
      <c r="D15" s="1">
        <v>1811.540421959113</v>
      </c>
      <c r="E15" s="1">
        <v>508.60364333187101</v>
      </c>
    </row>
    <row r="16" spans="1:5" x14ac:dyDescent="0.3">
      <c r="A16" s="3" t="s">
        <v>14</v>
      </c>
      <c r="B16" s="1">
        <v>336.33505496513783</v>
      </c>
      <c r="C16" s="1">
        <v>1204.3067742804828</v>
      </c>
      <c r="D16" s="1">
        <v>1805.3989079987145</v>
      </c>
      <c r="E16" s="1">
        <v>480.02357933565344</v>
      </c>
    </row>
    <row r="17" spans="1:5" x14ac:dyDescent="0.3">
      <c r="A17" s="3" t="s">
        <v>15</v>
      </c>
      <c r="B17" s="1">
        <v>332.43401166858547</v>
      </c>
      <c r="C17" s="1">
        <v>1204.5934095915648</v>
      </c>
      <c r="D17" s="1">
        <v>1805.6855433097967</v>
      </c>
      <c r="E17" s="1">
        <v>474.38893060950545</v>
      </c>
    </row>
    <row r="18" spans="1:5" x14ac:dyDescent="0.3">
      <c r="A18" s="3" t="s">
        <v>16</v>
      </c>
      <c r="B18" s="1">
        <v>313.19648344731979</v>
      </c>
      <c r="C18" s="1">
        <v>1202.0230896708777</v>
      </c>
      <c r="D18" s="1">
        <v>1803.1152233891096</v>
      </c>
      <c r="E18" s="1">
        <v>453.11981899230238</v>
      </c>
    </row>
    <row r="19" spans="1:5" x14ac:dyDescent="0.3">
      <c r="A19" s="3" t="s">
        <v>17</v>
      </c>
      <c r="B19" s="1">
        <v>301.00210070044625</v>
      </c>
      <c r="C19" s="1">
        <v>1202.2815313448043</v>
      </c>
      <c r="D19" s="1">
        <v>1803.373665063036</v>
      </c>
      <c r="E19" s="1">
        <v>436.54934813936444</v>
      </c>
    </row>
    <row r="20" spans="1:5" x14ac:dyDescent="0.3">
      <c r="A20" s="3" t="s">
        <v>18</v>
      </c>
      <c r="B20" s="1">
        <v>313.0754549115544</v>
      </c>
      <c r="C20" s="1">
        <v>1206.3367161556871</v>
      </c>
      <c r="D20" s="1">
        <v>1807.428849873919</v>
      </c>
      <c r="E20" s="1">
        <v>445.9025239309268</v>
      </c>
    </row>
    <row r="21" spans="1:5" x14ac:dyDescent="0.3">
      <c r="A21" s="3" t="s">
        <v>19</v>
      </c>
      <c r="B21" s="1">
        <v>317.84409988937716</v>
      </c>
      <c r="C21" s="1">
        <v>1208.1411089336464</v>
      </c>
      <c r="D21" s="1">
        <v>1809.2332426518783</v>
      </c>
      <c r="E21" s="1">
        <v>449.2651493502625</v>
      </c>
    </row>
    <row r="22" spans="1:5" x14ac:dyDescent="0.3">
      <c r="A22" s="3" t="s">
        <v>20</v>
      </c>
      <c r="B22" s="1">
        <v>347.29967956727228</v>
      </c>
      <c r="C22" s="1">
        <v>1210.4059977851475</v>
      </c>
      <c r="D22" s="1">
        <v>1811.4981315033795</v>
      </c>
      <c r="E22" s="1">
        <v>484.56457019894196</v>
      </c>
    </row>
    <row r="23" spans="1:5" x14ac:dyDescent="0.3">
      <c r="A23" s="3" t="s">
        <v>21</v>
      </c>
      <c r="B23" s="1">
        <v>381.17480694055359</v>
      </c>
      <c r="C23" s="1">
        <v>1214.5363656284453</v>
      </c>
      <c r="D23" s="1">
        <v>1815.6284993466772</v>
      </c>
      <c r="E23" s="1">
        <v>522.66440962424383</v>
      </c>
    </row>
    <row r="24" spans="1:5" x14ac:dyDescent="0.3">
      <c r="A24" s="3" t="s">
        <v>22</v>
      </c>
      <c r="B24" s="1">
        <v>394.20561921604428</v>
      </c>
      <c r="C24" s="1">
        <v>1209.9689964092354</v>
      </c>
      <c r="D24" s="1">
        <v>1811.0611301274673</v>
      </c>
      <c r="E24" s="1">
        <v>547.39181406290925</v>
      </c>
    </row>
    <row r="25" spans="1:5" x14ac:dyDescent="0.3">
      <c r="A25" s="3" t="s">
        <v>23</v>
      </c>
      <c r="B25" s="1">
        <v>397.55616448519112</v>
      </c>
      <c r="C25" s="1">
        <v>1212.2432831397884</v>
      </c>
      <c r="D25" s="1">
        <v>1813.3354168580204</v>
      </c>
      <c r="E25" s="1">
        <v>548.10786815208598</v>
      </c>
    </row>
    <row r="26" spans="1:5" x14ac:dyDescent="0.3">
      <c r="A26" s="3" t="s">
        <v>24</v>
      </c>
      <c r="B26" s="1">
        <v>426.00487070633528</v>
      </c>
      <c r="C26" s="1">
        <v>1214.4752794146084</v>
      </c>
      <c r="D26" s="1">
        <v>1815.5674131328401</v>
      </c>
      <c r="E26" s="1">
        <v>582.1278103109828</v>
      </c>
    </row>
    <row r="27" spans="1:5" x14ac:dyDescent="0.3">
      <c r="A27" s="3" t="s">
        <v>25</v>
      </c>
      <c r="B27" s="1">
        <v>514.21616880274019</v>
      </c>
      <c r="C27" s="1">
        <v>1211.1237031322485</v>
      </c>
      <c r="D27" s="1">
        <v>1710.3833016500328</v>
      </c>
      <c r="E27" s="1">
        <v>701.48956223018627</v>
      </c>
    </row>
    <row r="28" spans="1:5" x14ac:dyDescent="0.3">
      <c r="A28" s="3" t="s">
        <v>26</v>
      </c>
      <c r="B28" s="1">
        <v>484.27603301005473</v>
      </c>
      <c r="C28" s="1">
        <v>1209.2065358056666</v>
      </c>
      <c r="D28" s="1">
        <v>1708.4661343234509</v>
      </c>
      <c r="E28" s="1">
        <v>664.97963026504976</v>
      </c>
    </row>
    <row r="29" spans="1:5" x14ac:dyDescent="0.3">
      <c r="A29" s="3" t="s">
        <v>27</v>
      </c>
      <c r="B29" s="1">
        <v>482.13883833340185</v>
      </c>
      <c r="C29" s="1">
        <v>1208.4875980581983</v>
      </c>
      <c r="D29" s="1">
        <v>1707.7471965759828</v>
      </c>
      <c r="E29" s="1">
        <v>663.32575293275568</v>
      </c>
    </row>
    <row r="30" spans="1:5" x14ac:dyDescent="0.3">
      <c r="A30" s="3" t="s">
        <v>28</v>
      </c>
      <c r="B30" s="1">
        <v>512.20577026045123</v>
      </c>
      <c r="C30" s="1">
        <v>1211.5325108710049</v>
      </c>
      <c r="D30" s="1">
        <v>1710.7921093887892</v>
      </c>
      <c r="E30" s="1">
        <v>698.15861162963961</v>
      </c>
    </row>
    <row r="31" spans="1:5" x14ac:dyDescent="0.3">
      <c r="A31" s="3" t="s">
        <v>29</v>
      </c>
      <c r="B31" s="1">
        <v>553.31852047475718</v>
      </c>
      <c r="C31" s="1">
        <v>1211.3774458666492</v>
      </c>
      <c r="D31" s="1">
        <v>1710.6370443844335</v>
      </c>
      <c r="E31" s="1">
        <v>752.85333560173058</v>
      </c>
    </row>
    <row r="32" spans="1:5" x14ac:dyDescent="0.3">
      <c r="A32" s="3" t="s">
        <v>30</v>
      </c>
      <c r="B32" s="1">
        <v>605.48815960160255</v>
      </c>
      <c r="C32" s="1">
        <v>1221.1512400805959</v>
      </c>
      <c r="D32" s="1">
        <v>1720.4108385983802</v>
      </c>
      <c r="E32" s="1">
        <v>805.94599724593968</v>
      </c>
    </row>
    <row r="33" spans="1:5" x14ac:dyDescent="0.3">
      <c r="A33" s="3" t="s">
        <v>31</v>
      </c>
      <c r="B33" s="1">
        <v>664.19769157651308</v>
      </c>
      <c r="C33" s="1">
        <v>1224.5156807811661</v>
      </c>
      <c r="D33" s="1">
        <v>1723.7752792989504</v>
      </c>
      <c r="E33" s="1">
        <v>878.1843206953439</v>
      </c>
    </row>
    <row r="34" spans="1:5" x14ac:dyDescent="0.3">
      <c r="A34" s="3" t="s">
        <v>32</v>
      </c>
      <c r="B34" s="1">
        <v>734.34140173193737</v>
      </c>
      <c r="C34" s="1">
        <v>1225.229919589108</v>
      </c>
      <c r="D34" s="1">
        <v>1724.4895181068925</v>
      </c>
      <c r="E34" s="1">
        <v>969.89934575966447</v>
      </c>
    </row>
    <row r="35" spans="1:5" x14ac:dyDescent="0.3">
      <c r="A35" s="3" t="s">
        <v>33</v>
      </c>
      <c r="B35" s="1">
        <v>951.32336540346387</v>
      </c>
      <c r="C35" s="1">
        <v>1246.6241912506946</v>
      </c>
      <c r="D35" s="1">
        <v>1745.8837897684789</v>
      </c>
      <c r="E35" s="1">
        <v>1222.2236948732243</v>
      </c>
    </row>
    <row r="36" spans="1:5" x14ac:dyDescent="0.3">
      <c r="A36" s="3" t="s">
        <v>34</v>
      </c>
      <c r="B36" s="1">
        <v>1155.0212927348693</v>
      </c>
      <c r="C36" s="1">
        <v>1251.8870035197428</v>
      </c>
      <c r="D36" s="1">
        <v>1751.1466020375274</v>
      </c>
      <c r="E36" s="1">
        <v>1483.3483068562671</v>
      </c>
    </row>
    <row r="37" spans="1:5" x14ac:dyDescent="0.3">
      <c r="A37" s="3" t="s">
        <v>35</v>
      </c>
      <c r="B37" s="1">
        <v>1108.6347640285735</v>
      </c>
      <c r="C37" s="1">
        <v>1269.1368105194538</v>
      </c>
      <c r="D37" s="1">
        <v>1768.3964090372383</v>
      </c>
      <c r="E37" s="1">
        <v>1393.7033546575612</v>
      </c>
    </row>
    <row r="38" spans="1:5" x14ac:dyDescent="0.3">
      <c r="A38" s="3" t="s">
        <v>36</v>
      </c>
      <c r="B38" s="1">
        <v>1395.4544161270351</v>
      </c>
      <c r="C38" s="1">
        <v>1290.1457691399135</v>
      </c>
      <c r="D38" s="1">
        <v>1789.405367657698</v>
      </c>
      <c r="E38" s="1">
        <v>1739.1363492125745</v>
      </c>
    </row>
    <row r="39" spans="1:5" x14ac:dyDescent="0.3">
      <c r="A39" s="3" t="s">
        <v>37</v>
      </c>
      <c r="B39" s="1">
        <v>1161.2883707235815</v>
      </c>
      <c r="C39" s="1">
        <v>1448.6762477144371</v>
      </c>
      <c r="D39" s="1">
        <v>2025.1518434606073</v>
      </c>
      <c r="E39" s="1">
        <v>1479.3265485012566</v>
      </c>
    </row>
    <row r="40" spans="1:5" x14ac:dyDescent="0.3">
      <c r="A40" s="3" t="s">
        <v>38</v>
      </c>
      <c r="B40" s="1">
        <v>1100.4830029064969</v>
      </c>
      <c r="C40" s="1">
        <v>1430.3080931075533</v>
      </c>
      <c r="D40" s="1">
        <v>2006.783688853724</v>
      </c>
      <c r="E40" s="1">
        <v>1428.8588014820202</v>
      </c>
    </row>
    <row r="41" spans="1:5" x14ac:dyDescent="0.3">
      <c r="A41" s="3" t="s">
        <v>39</v>
      </c>
      <c r="B41" s="1">
        <v>1572.3064645957954</v>
      </c>
      <c r="C41" s="1">
        <v>1488.0956513975138</v>
      </c>
      <c r="D41" s="1">
        <v>2064.5712471436846</v>
      </c>
      <c r="E41" s="1">
        <v>1959.1024966372865</v>
      </c>
    </row>
    <row r="42" spans="1:5" x14ac:dyDescent="0.3">
      <c r="A42" s="3" t="s">
        <v>40</v>
      </c>
      <c r="B42" s="1">
        <v>1252.2667077671622</v>
      </c>
      <c r="C42" s="1">
        <v>1447.7975460230873</v>
      </c>
      <c r="D42" s="1">
        <v>2024.2731417692576</v>
      </c>
      <c r="E42" s="1">
        <v>1601.2365789503624</v>
      </c>
    </row>
    <row r="43" spans="1:5" x14ac:dyDescent="0.3">
      <c r="A43" s="3" t="s">
        <v>41</v>
      </c>
      <c r="B43" s="1">
        <v>1191.7222975688703</v>
      </c>
      <c r="C43" s="1">
        <v>1453.2060254174394</v>
      </c>
      <c r="D43" s="1">
        <v>2029.6816211636096</v>
      </c>
      <c r="E43" s="1">
        <v>1512.2161602773085</v>
      </c>
    </row>
    <row r="44" spans="1:5" x14ac:dyDescent="0.3">
      <c r="A44" s="3" t="s">
        <v>42</v>
      </c>
      <c r="B44" s="1">
        <v>1333.0828562528118</v>
      </c>
      <c r="C44" s="1">
        <v>1472.3166124694208</v>
      </c>
      <c r="D44" s="1">
        <v>2048.7922082155915</v>
      </c>
      <c r="E44" s="1">
        <v>1668.1395732421324</v>
      </c>
    </row>
    <row r="45" spans="1:5" x14ac:dyDescent="0.3">
      <c r="A45" s="3" t="s">
        <v>43</v>
      </c>
      <c r="B45" s="1">
        <v>1842.1057984548429</v>
      </c>
      <c r="C45" s="1">
        <v>1517.9339173872072</v>
      </c>
      <c r="D45" s="1">
        <v>2094.4095131333779</v>
      </c>
      <c r="E45" s="1">
        <v>2267.5527589050694</v>
      </c>
    </row>
    <row r="46" spans="1:5" x14ac:dyDescent="0.3">
      <c r="A46" s="3" t="s">
        <v>44</v>
      </c>
      <c r="B46" s="1">
        <v>2426.5781664323977</v>
      </c>
      <c r="C46" s="1">
        <v>1590.3398765423549</v>
      </c>
      <c r="D46" s="1">
        <v>2166.8154722885251</v>
      </c>
      <c r="E46" s="1">
        <v>2923.049372463242</v>
      </c>
    </row>
    <row r="47" spans="1:5" x14ac:dyDescent="0.3">
      <c r="A47" s="3" t="s">
        <v>45</v>
      </c>
      <c r="B47" s="1">
        <v>2066.9897389161329</v>
      </c>
      <c r="C47" s="1">
        <v>1539.0415537377116</v>
      </c>
      <c r="D47" s="1">
        <v>2115.5171494838823</v>
      </c>
      <c r="E47" s="1">
        <v>2530.8097477254564</v>
      </c>
    </row>
    <row r="48" spans="1:5" x14ac:dyDescent="0.3">
      <c r="A48" s="3" t="s">
        <v>46</v>
      </c>
      <c r="B48" s="1">
        <v>1405.0858349741209</v>
      </c>
      <c r="C48" s="1">
        <v>1443.9350177327678</v>
      </c>
      <c r="D48" s="1">
        <v>2020.4106134789381</v>
      </c>
      <c r="E48" s="1">
        <v>1809.9169829437751</v>
      </c>
    </row>
    <row r="49" spans="1:6" x14ac:dyDescent="0.3">
      <c r="A49" s="3" t="s">
        <v>47</v>
      </c>
      <c r="B49" s="1">
        <v>1343.9490069742142</v>
      </c>
      <c r="C49" s="1">
        <v>1452.2380438750965</v>
      </c>
      <c r="D49" s="1">
        <v>2028.7136396212668</v>
      </c>
      <c r="E49" s="1">
        <v>1715.3766547552655</v>
      </c>
      <c r="F49" s="4"/>
    </row>
  </sheetData>
  <conditionalFormatting sqref="C3:C49">
    <cfRule type="cellIs" dxfId="3" priority="2" operator="lessThan">
      <formula>1.05*A3</formula>
    </cfRule>
  </conditionalFormatting>
  <conditionalFormatting sqref="D3:D49">
    <cfRule type="cellIs" dxfId="2" priority="1" operator="lessThan">
      <formula>1.05*A3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33FE-6D99-42ED-9E86-0D4DD1D1FD2E}">
  <dimension ref="A2:E49"/>
  <sheetViews>
    <sheetView workbookViewId="0">
      <selection activeCell="G46" sqref="G46"/>
    </sheetView>
  </sheetViews>
  <sheetFormatPr defaultRowHeight="14.4" x14ac:dyDescent="0.3"/>
  <cols>
    <col min="1" max="1" width="7.44140625" bestFit="1" customWidth="1"/>
    <col min="2" max="2" width="11.6640625" bestFit="1" customWidth="1"/>
    <col min="3" max="3" width="12.77734375" bestFit="1" customWidth="1"/>
    <col min="4" max="4" width="12.21875" bestFit="1" customWidth="1"/>
    <col min="5" max="5" width="15.5546875" bestFit="1" customWidth="1"/>
  </cols>
  <sheetData>
    <row r="2" spans="1:5" x14ac:dyDescent="0.3">
      <c r="A2" s="2" t="s">
        <v>0</v>
      </c>
      <c r="B2" s="2" t="s">
        <v>55</v>
      </c>
      <c r="C2" s="2" t="s">
        <v>56</v>
      </c>
      <c r="D2" s="2" t="s">
        <v>57</v>
      </c>
      <c r="E2" s="2" t="s">
        <v>58</v>
      </c>
    </row>
    <row r="3" spans="1:5" x14ac:dyDescent="0.3">
      <c r="A3" s="3" t="s">
        <v>1</v>
      </c>
      <c r="B3" s="1">
        <v>309.37649845256874</v>
      </c>
      <c r="C3" s="1">
        <v>1717.5180686350016</v>
      </c>
      <c r="D3" s="1">
        <v>2161.1110686350012</v>
      </c>
      <c r="E3" s="1">
        <v>851.05532374321217</v>
      </c>
    </row>
    <row r="4" spans="1:5" x14ac:dyDescent="0.3">
      <c r="A4" s="3" t="s">
        <v>2</v>
      </c>
      <c r="B4" s="1">
        <v>271.21327616768167</v>
      </c>
      <c r="C4" s="1">
        <v>1706.5292713117103</v>
      </c>
      <c r="D4" s="1">
        <v>2150.1222713117104</v>
      </c>
      <c r="E4" s="1">
        <v>796.71825909543941</v>
      </c>
    </row>
    <row r="5" spans="1:5" x14ac:dyDescent="0.3">
      <c r="A5" s="3" t="s">
        <v>3</v>
      </c>
      <c r="B5" s="1">
        <v>246.07008663554501</v>
      </c>
      <c r="C5" s="1">
        <v>1697.0729133440113</v>
      </c>
      <c r="D5" s="1">
        <v>2140.6659133440116</v>
      </c>
      <c r="E5" s="1">
        <v>759.37115548485679</v>
      </c>
    </row>
    <row r="6" spans="1:5" x14ac:dyDescent="0.3">
      <c r="A6" s="3" t="s">
        <v>4</v>
      </c>
      <c r="B6" s="1">
        <v>238.94735160138174</v>
      </c>
      <c r="C6" s="1">
        <v>1697.1651867517201</v>
      </c>
      <c r="D6" s="1">
        <v>2140.7581867517201</v>
      </c>
      <c r="E6" s="1">
        <v>750.72656881166233</v>
      </c>
    </row>
    <row r="7" spans="1:5" x14ac:dyDescent="0.3">
      <c r="A7" s="3" t="s">
        <v>5</v>
      </c>
      <c r="B7" s="1">
        <v>222.07192421747897</v>
      </c>
      <c r="C7" s="1">
        <v>1693.3727197381472</v>
      </c>
      <c r="D7" s="1">
        <v>2136.9657197381471</v>
      </c>
      <c r="E7" s="1">
        <v>727.44418315607459</v>
      </c>
    </row>
    <row r="8" spans="1:5" x14ac:dyDescent="0.3">
      <c r="A8" s="3" t="s">
        <v>6</v>
      </c>
      <c r="B8" s="1">
        <v>199.77353777277719</v>
      </c>
      <c r="C8" s="1">
        <v>1686.5360468757688</v>
      </c>
      <c r="D8" s="1">
        <v>2130.1290468757688</v>
      </c>
      <c r="E8" s="1">
        <v>695.40502929109027</v>
      </c>
    </row>
    <row r="9" spans="1:5" x14ac:dyDescent="0.3">
      <c r="A9" s="3" t="s">
        <v>7</v>
      </c>
      <c r="B9" s="1">
        <v>201.18323643056527</v>
      </c>
      <c r="C9" s="1">
        <v>1688.908553790264</v>
      </c>
      <c r="D9" s="1">
        <v>2132.5015537902641</v>
      </c>
      <c r="E9" s="1">
        <v>698.78563544568965</v>
      </c>
    </row>
    <row r="10" spans="1:5" x14ac:dyDescent="0.3">
      <c r="A10" s="3" t="s">
        <v>8</v>
      </c>
      <c r="B10" s="1">
        <v>202.72169374614143</v>
      </c>
      <c r="C10" s="1">
        <v>1688.4605676192543</v>
      </c>
      <c r="D10" s="1">
        <v>2132.053567619254</v>
      </c>
      <c r="E10" s="1">
        <v>700.35384775488842</v>
      </c>
    </row>
    <row r="11" spans="1:5" x14ac:dyDescent="0.3">
      <c r="A11" s="3" t="s">
        <v>9</v>
      </c>
      <c r="B11" s="1">
        <v>218.12279670039737</v>
      </c>
      <c r="C11" s="1">
        <v>1691.8468564420018</v>
      </c>
      <c r="D11" s="1">
        <v>2135.4398564420017</v>
      </c>
      <c r="E11" s="1">
        <v>721.54988981947724</v>
      </c>
    </row>
    <row r="12" spans="1:5" x14ac:dyDescent="0.3">
      <c r="A12" s="3" t="s">
        <v>10</v>
      </c>
      <c r="B12" s="1">
        <v>243.0346120043927</v>
      </c>
      <c r="C12" s="1">
        <v>1698.1368856860308</v>
      </c>
      <c r="D12" s="1">
        <v>2141.7298856860307</v>
      </c>
      <c r="E12" s="1">
        <v>756.40273086645925</v>
      </c>
    </row>
    <row r="13" spans="1:5" x14ac:dyDescent="0.3">
      <c r="A13" s="3" t="s">
        <v>11</v>
      </c>
      <c r="B13" s="1">
        <v>245.96278797775696</v>
      </c>
      <c r="C13" s="1">
        <v>1699.9804064295163</v>
      </c>
      <c r="D13" s="1">
        <v>2143.5734064295161</v>
      </c>
      <c r="E13" s="1">
        <v>761.2705493302575</v>
      </c>
    </row>
    <row r="14" spans="1:5" x14ac:dyDescent="0.3">
      <c r="A14" s="3" t="s">
        <v>12</v>
      </c>
      <c r="B14" s="1">
        <v>229.815765023501</v>
      </c>
      <c r="C14" s="1">
        <v>1693.5701176067687</v>
      </c>
      <c r="D14" s="1">
        <v>2137.1631176067685</v>
      </c>
      <c r="E14" s="1">
        <v>737.05050726566856</v>
      </c>
    </row>
    <row r="15" spans="1:5" x14ac:dyDescent="0.3">
      <c r="A15" s="3" t="s">
        <v>13</v>
      </c>
      <c r="B15" s="1">
        <v>199.40429230500035</v>
      </c>
      <c r="C15" s="1">
        <v>1444.4934873768204</v>
      </c>
      <c r="D15" s="1">
        <v>2092.6214873768204</v>
      </c>
      <c r="E15" s="1">
        <v>687.72902399620511</v>
      </c>
    </row>
    <row r="16" spans="1:5" x14ac:dyDescent="0.3">
      <c r="A16" s="3" t="s">
        <v>14</v>
      </c>
      <c r="B16" s="1">
        <v>177.40930451808666</v>
      </c>
      <c r="C16" s="1">
        <v>1435.5443214289371</v>
      </c>
      <c r="D16" s="1">
        <v>2083.6723214289373</v>
      </c>
      <c r="E16" s="1">
        <v>654.58547628582028</v>
      </c>
    </row>
    <row r="17" spans="1:5" x14ac:dyDescent="0.3">
      <c r="A17" s="3" t="s">
        <v>15</v>
      </c>
      <c r="B17" s="1">
        <v>171.90543968542889</v>
      </c>
      <c r="C17" s="1">
        <v>1434.4004443038014</v>
      </c>
      <c r="D17" s="1">
        <v>2082.5284443038013</v>
      </c>
      <c r="E17" s="1">
        <v>647.05697064002413</v>
      </c>
    </row>
    <row r="18" spans="1:5" x14ac:dyDescent="0.3">
      <c r="A18" s="3" t="s">
        <v>16</v>
      </c>
      <c r="B18" s="1">
        <v>153.9774865296674</v>
      </c>
      <c r="C18" s="1">
        <v>1428.5693060138983</v>
      </c>
      <c r="D18" s="1">
        <v>2076.6973060138985</v>
      </c>
      <c r="E18" s="1">
        <v>621.06384754803685</v>
      </c>
    </row>
    <row r="19" spans="1:5" x14ac:dyDescent="0.3">
      <c r="A19" s="3" t="s">
        <v>17</v>
      </c>
      <c r="B19" s="1">
        <v>138.24733068948214</v>
      </c>
      <c r="C19" s="1">
        <v>1424.9631815529858</v>
      </c>
      <c r="D19" s="1">
        <v>2073.0911815529857</v>
      </c>
      <c r="E19" s="1">
        <v>599.31193676524822</v>
      </c>
    </row>
    <row r="20" spans="1:5" x14ac:dyDescent="0.3">
      <c r="A20" s="3" t="s">
        <v>18</v>
      </c>
      <c r="B20" s="1">
        <v>143.85084975028121</v>
      </c>
      <c r="C20" s="1">
        <v>1428.7393874017914</v>
      </c>
      <c r="D20" s="1">
        <v>2076.8673874017918</v>
      </c>
      <c r="E20" s="1">
        <v>608.80070497464465</v>
      </c>
    </row>
    <row r="21" spans="1:5" x14ac:dyDescent="0.3">
      <c r="A21" s="3" t="s">
        <v>19</v>
      </c>
      <c r="B21" s="1">
        <v>145.595274179928</v>
      </c>
      <c r="C21" s="1">
        <v>1430.2405655926168</v>
      </c>
      <c r="D21" s="1">
        <v>2078.368565592617</v>
      </c>
      <c r="E21" s="1">
        <v>611.98204856564371</v>
      </c>
    </row>
    <row r="22" spans="1:5" x14ac:dyDescent="0.3">
      <c r="A22" s="3" t="s">
        <v>20</v>
      </c>
      <c r="B22" s="1">
        <v>176.90956008843986</v>
      </c>
      <c r="C22" s="1">
        <v>1439.0891432381122</v>
      </c>
      <c r="D22" s="1">
        <v>2087.2171432381119</v>
      </c>
      <c r="E22" s="1">
        <v>656.45013269482138</v>
      </c>
    </row>
    <row r="23" spans="1:5" x14ac:dyDescent="0.3">
      <c r="A23" s="3" t="s">
        <v>21</v>
      </c>
      <c r="B23" s="1">
        <v>209.39378465473979</v>
      </c>
      <c r="C23" s="1">
        <v>1449.338227798102</v>
      </c>
      <c r="D23" s="1">
        <v>2097.4662277981024</v>
      </c>
      <c r="E23" s="1">
        <v>703.32682297859844</v>
      </c>
    </row>
    <row r="24" spans="1:5" x14ac:dyDescent="0.3">
      <c r="A24" s="3" t="s">
        <v>22</v>
      </c>
      <c r="B24" s="1">
        <v>236.12747593209937</v>
      </c>
      <c r="C24" s="1">
        <v>1452.9867777856168</v>
      </c>
      <c r="D24" s="1">
        <v>2101.1147777856163</v>
      </c>
      <c r="E24" s="1">
        <v>738.56248248937868</v>
      </c>
    </row>
    <row r="25" spans="1:5" x14ac:dyDescent="0.3">
      <c r="A25" s="3" t="s">
        <v>23</v>
      </c>
      <c r="B25" s="1">
        <v>235.0253715024526</v>
      </c>
      <c r="C25" s="1">
        <v>1454.0895995947913</v>
      </c>
      <c r="D25" s="1">
        <v>2102.2175995947914</v>
      </c>
      <c r="E25" s="1">
        <v>737.98513889837966</v>
      </c>
    </row>
    <row r="26" spans="1:5" x14ac:dyDescent="0.3">
      <c r="A26" s="3" t="s">
        <v>24</v>
      </c>
      <c r="B26" s="1">
        <v>265.16626586724703</v>
      </c>
      <c r="C26" s="1">
        <v>1462.6378346876263</v>
      </c>
      <c r="D26" s="1">
        <v>2110.765834687626</v>
      </c>
      <c r="E26" s="1">
        <v>780.8087481547584</v>
      </c>
    </row>
    <row r="27" spans="1:5" x14ac:dyDescent="0.3">
      <c r="A27" s="3" t="s">
        <v>25</v>
      </c>
      <c r="B27" s="1">
        <v>324.05649427753929</v>
      </c>
      <c r="C27" s="1">
        <v>1489.6898321795004</v>
      </c>
      <c r="D27" s="1">
        <v>2028.0168321795002</v>
      </c>
      <c r="E27" s="1">
        <v>940.17647483217706</v>
      </c>
    </row>
    <row r="28" spans="1:5" x14ac:dyDescent="0.3">
      <c r="A28" s="3" t="s">
        <v>26</v>
      </c>
      <c r="B28" s="1">
        <v>291.3367039393807</v>
      </c>
      <c r="C28" s="1">
        <v>1480.7140763431803</v>
      </c>
      <c r="D28" s="1">
        <v>2019.0410763431801</v>
      </c>
      <c r="E28" s="1">
        <v>893.90104711200058</v>
      </c>
    </row>
    <row r="29" spans="1:5" x14ac:dyDescent="0.3">
      <c r="A29" s="3" t="s">
        <v>27</v>
      </c>
      <c r="B29" s="1">
        <v>290.34732528159259</v>
      </c>
      <c r="C29" s="1">
        <v>1480.045569428685</v>
      </c>
      <c r="D29" s="1">
        <v>2018.3725694286848</v>
      </c>
      <c r="E29" s="1">
        <v>892.22444095740116</v>
      </c>
    </row>
    <row r="30" spans="1:5" x14ac:dyDescent="0.3">
      <c r="A30" s="3" t="s">
        <v>28</v>
      </c>
      <c r="B30" s="1">
        <v>320.61623964638704</v>
      </c>
      <c r="C30" s="1">
        <v>1489.1128045215198</v>
      </c>
      <c r="D30" s="1">
        <v>2027.4398045215196</v>
      </c>
      <c r="E30" s="1">
        <v>935.56705021377957</v>
      </c>
    </row>
    <row r="31" spans="1:5" x14ac:dyDescent="0.3">
      <c r="A31" s="3" t="s">
        <v>29</v>
      </c>
      <c r="B31" s="1">
        <v>371.99312756995391</v>
      </c>
      <c r="C31" s="1">
        <v>1501.3048768385684</v>
      </c>
      <c r="D31" s="1">
        <v>2039.6318768385681</v>
      </c>
      <c r="E31" s="1">
        <v>1006.9009446169426</v>
      </c>
    </row>
    <row r="32" spans="1:5" x14ac:dyDescent="0.3">
      <c r="A32" s="3" t="s">
        <v>30</v>
      </c>
      <c r="B32" s="1">
        <v>414.12767871413462</v>
      </c>
      <c r="C32" s="1">
        <v>1517.2520305435098</v>
      </c>
      <c r="D32" s="1">
        <v>2055.5790305435098</v>
      </c>
      <c r="E32" s="1">
        <v>1069.5566964467134</v>
      </c>
    </row>
    <row r="33" spans="1:5" x14ac:dyDescent="0.3">
      <c r="A33" s="3" t="s">
        <v>31</v>
      </c>
      <c r="B33" s="1">
        <v>479.20120650452259</v>
      </c>
      <c r="C33" s="1">
        <v>1534.8337065779851</v>
      </c>
      <c r="D33" s="1">
        <v>2073.1607065779849</v>
      </c>
      <c r="E33" s="1">
        <v>1161.4016831688668</v>
      </c>
    </row>
    <row r="34" spans="1:5" x14ac:dyDescent="0.3">
      <c r="A34" s="3" t="s">
        <v>32</v>
      </c>
      <c r="B34" s="1">
        <v>564.59312919589479</v>
      </c>
      <c r="C34" s="1">
        <v>1555.6817129221793</v>
      </c>
      <c r="D34" s="1">
        <v>2094.0087129221788</v>
      </c>
      <c r="E34" s="1">
        <v>1280.3713488832057</v>
      </c>
    </row>
    <row r="35" spans="1:5" x14ac:dyDescent="0.3">
      <c r="A35" s="3" t="s">
        <v>33</v>
      </c>
      <c r="B35" s="1">
        <v>784.37353766954857</v>
      </c>
      <c r="C35" s="1">
        <v>1621.0889208024792</v>
      </c>
      <c r="D35" s="1">
        <v>2159.4159208024789</v>
      </c>
      <c r="E35" s="1">
        <v>1594.7790690692495</v>
      </c>
    </row>
    <row r="36" spans="1:5" x14ac:dyDescent="0.3">
      <c r="A36" s="3" t="s">
        <v>34</v>
      </c>
      <c r="B36" s="1">
        <v>1024.9777570175509</v>
      </c>
      <c r="C36" s="1">
        <v>1681.7839797359834</v>
      </c>
      <c r="D36" s="1">
        <v>2220.1109797359832</v>
      </c>
      <c r="E36" s="1">
        <v>1931.3572867112775</v>
      </c>
    </row>
    <row r="37" spans="1:5" x14ac:dyDescent="0.3">
      <c r="A37" s="3" t="s">
        <v>35</v>
      </c>
      <c r="B37" s="1">
        <v>927.52015714378138</v>
      </c>
      <c r="C37" s="1">
        <v>1668.8433558453719</v>
      </c>
      <c r="D37" s="1">
        <v>2207.1703558453719</v>
      </c>
      <c r="E37" s="1">
        <v>1803.1573163687492</v>
      </c>
    </row>
    <row r="38" spans="1:5" x14ac:dyDescent="0.3">
      <c r="A38" s="3" t="s">
        <v>36</v>
      </c>
      <c r="B38" s="1">
        <v>1234.8557513962423</v>
      </c>
      <c r="C38" s="1">
        <v>1754.9552551751863</v>
      </c>
      <c r="D38" s="1">
        <v>2293.282255175186</v>
      </c>
      <c r="E38" s="1">
        <v>2239.0796520147305</v>
      </c>
    </row>
    <row r="39" spans="1:5" x14ac:dyDescent="0.3">
      <c r="A39" s="3" t="s">
        <v>37</v>
      </c>
      <c r="B39" s="1">
        <v>962.26814598119142</v>
      </c>
      <c r="C39" s="1">
        <v>1890.8941960015923</v>
      </c>
      <c r="D39" s="1">
        <v>2512.479397272778</v>
      </c>
      <c r="E39" s="1">
        <v>1923.9429035690612</v>
      </c>
    </row>
    <row r="40" spans="1:5" x14ac:dyDescent="0.3">
      <c r="A40" s="3" t="s">
        <v>38</v>
      </c>
      <c r="B40" s="1">
        <v>929.29403873046761</v>
      </c>
      <c r="C40" s="1">
        <v>1871.9741252705924</v>
      </c>
      <c r="D40" s="1">
        <v>2493.5593265417783</v>
      </c>
      <c r="E40" s="1">
        <v>1870.4114255944828</v>
      </c>
    </row>
    <row r="41" spans="1:5" x14ac:dyDescent="0.3">
      <c r="A41" s="3" t="s">
        <v>39</v>
      </c>
      <c r="B41" s="1">
        <v>1381.1467337993734</v>
      </c>
      <c r="C41" s="1">
        <v>2014.7389527288042</v>
      </c>
      <c r="D41" s="1">
        <v>2636.3241539999899</v>
      </c>
      <c r="E41" s="1">
        <v>2522.6024023853638</v>
      </c>
    </row>
    <row r="42" spans="1:5" x14ac:dyDescent="0.3">
      <c r="A42" s="3" t="s">
        <v>40</v>
      </c>
      <c r="B42" s="1">
        <v>1077.1986030373582</v>
      </c>
      <c r="C42" s="1">
        <v>1917.8484374386207</v>
      </c>
      <c r="D42" s="1">
        <v>2539.4336387098069</v>
      </c>
      <c r="E42" s="1">
        <v>2083.2941785397784</v>
      </c>
    </row>
    <row r="43" spans="1:5" x14ac:dyDescent="0.3">
      <c r="A43" s="3" t="s">
        <v>41</v>
      </c>
      <c r="B43" s="1">
        <v>989.55831860076296</v>
      </c>
      <c r="C43" s="1">
        <v>1900.1412390746116</v>
      </c>
      <c r="D43" s="1">
        <v>2521.7264403457975</v>
      </c>
      <c r="E43" s="1">
        <v>1963.768956925242</v>
      </c>
    </row>
    <row r="44" spans="1:5" x14ac:dyDescent="0.3">
      <c r="A44" s="3" t="s">
        <v>42</v>
      </c>
      <c r="B44" s="1">
        <v>1120.779115523751</v>
      </c>
      <c r="C44" s="1">
        <v>1943.0000842290674</v>
      </c>
      <c r="D44" s="1">
        <v>2564.5852855002536</v>
      </c>
      <c r="E44" s="1">
        <v>2154.1463242149498</v>
      </c>
    </row>
    <row r="45" spans="1:5" x14ac:dyDescent="0.3">
      <c r="A45" s="3" t="s">
        <v>43</v>
      </c>
      <c r="B45" s="1">
        <v>1646.9410138202186</v>
      </c>
      <c r="C45" s="1">
        <v>2096.2220132483567</v>
      </c>
      <c r="D45" s="1">
        <v>2717.8072145195424</v>
      </c>
      <c r="E45" s="1">
        <v>2904.4990364559758</v>
      </c>
    </row>
    <row r="46" spans="1:5" x14ac:dyDescent="0.3">
      <c r="A46" s="3" t="s">
        <v>44</v>
      </c>
      <c r="B46" s="1">
        <v>2204.7746233940466</v>
      </c>
      <c r="C46" s="1">
        <v>2273.1114922551606</v>
      </c>
      <c r="D46" s="1">
        <v>2894.6966935263463</v>
      </c>
      <c r="E46" s="1">
        <v>3710.1064082077824</v>
      </c>
    </row>
    <row r="47" spans="1:5" x14ac:dyDescent="0.3">
      <c r="A47" s="3" t="s">
        <v>45</v>
      </c>
      <c r="B47" s="1">
        <v>1877.1901861873291</v>
      </c>
      <c r="C47" s="1">
        <v>2163.9603041025985</v>
      </c>
      <c r="D47" s="1">
        <v>2785.5455053737846</v>
      </c>
      <c r="E47" s="1">
        <v>3233.3350304972128</v>
      </c>
    </row>
    <row r="48" spans="1:5" x14ac:dyDescent="0.3">
      <c r="A48" s="3" t="s">
        <v>46</v>
      </c>
      <c r="B48" s="1">
        <v>1275.7703912411798</v>
      </c>
      <c r="C48" s="1">
        <v>1963.0103426671833</v>
      </c>
      <c r="D48" s="1">
        <v>2584.5955439383692</v>
      </c>
      <c r="E48" s="1">
        <v>2357.6306443520348</v>
      </c>
    </row>
    <row r="49" spans="1:5" x14ac:dyDescent="0.3">
      <c r="A49" s="3" t="s">
        <v>47</v>
      </c>
      <c r="B49" s="1">
        <v>1180.7005188844921</v>
      </c>
      <c r="C49" s="1">
        <v>1945.2655820727175</v>
      </c>
      <c r="D49" s="1">
        <v>2566.8507833439039</v>
      </c>
      <c r="E49" s="1">
        <v>2228.9949673461042</v>
      </c>
    </row>
  </sheetData>
  <conditionalFormatting sqref="C3:C49">
    <cfRule type="cellIs" dxfId="1" priority="2" operator="lessThan">
      <formula>1.05*A3</formula>
    </cfRule>
  </conditionalFormatting>
  <conditionalFormatting sqref="D3:D49">
    <cfRule type="cellIs" dxfId="0" priority="1" operator="lessThan">
      <formula>1.05*A3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709A-1668-434B-A82E-33C40D5E832D}">
  <dimension ref="A2:E32"/>
  <sheetViews>
    <sheetView workbookViewId="0">
      <selection activeCell="K12" sqref="K12"/>
    </sheetView>
  </sheetViews>
  <sheetFormatPr defaultRowHeight="14.4" x14ac:dyDescent="0.3"/>
  <cols>
    <col min="1" max="1" width="7.21875" bestFit="1" customWidth="1"/>
    <col min="2" max="4" width="12" bestFit="1" customWidth="1"/>
  </cols>
  <sheetData>
    <row r="2" spans="1:5" x14ac:dyDescent="0.3">
      <c r="A2" s="3"/>
      <c r="B2" s="2" t="s">
        <v>59</v>
      </c>
      <c r="C2" s="2" t="s">
        <v>60</v>
      </c>
      <c r="D2" s="2" t="s">
        <v>61</v>
      </c>
      <c r="E2" s="2"/>
    </row>
    <row r="3" spans="1:5" x14ac:dyDescent="0.3">
      <c r="A3" s="3" t="s">
        <v>62</v>
      </c>
      <c r="B3" s="1">
        <v>690.64954788371324</v>
      </c>
      <c r="C3" s="1">
        <v>194.09126580810886</v>
      </c>
      <c r="D3" s="1">
        <v>187.62155694783871</v>
      </c>
      <c r="E3" s="2" t="s">
        <v>52</v>
      </c>
    </row>
    <row r="4" spans="1:5" x14ac:dyDescent="0.3">
      <c r="A4" s="3" t="s">
        <v>62</v>
      </c>
      <c r="B4" s="1">
        <v>1377.136805293447</v>
      </c>
      <c r="C4" s="1">
        <v>147.68188758376959</v>
      </c>
      <c r="D4" s="1">
        <v>1126.0743928262466</v>
      </c>
      <c r="E4" s="2" t="s">
        <v>53</v>
      </c>
    </row>
    <row r="5" spans="1:5" x14ac:dyDescent="0.3">
      <c r="A5" s="3" t="s">
        <v>62</v>
      </c>
      <c r="B5" s="1">
        <v>93.537058522804614</v>
      </c>
      <c r="C5" s="1">
        <v>0</v>
      </c>
      <c r="D5" s="1">
        <v>0</v>
      </c>
      <c r="E5" s="2" t="s">
        <v>54</v>
      </c>
    </row>
    <row r="6" spans="1:5" x14ac:dyDescent="0.3">
      <c r="A6" s="3" t="s">
        <v>63</v>
      </c>
      <c r="B6" s="1">
        <v>571.54688218423428</v>
      </c>
      <c r="C6" s="1">
        <v>64.697088602703047</v>
      </c>
      <c r="D6" s="1">
        <v>129.39417720540575</v>
      </c>
      <c r="E6" s="2" t="s">
        <v>52</v>
      </c>
    </row>
    <row r="7" spans="1:5" x14ac:dyDescent="0.3">
      <c r="A7" s="3" t="s">
        <v>63</v>
      </c>
      <c r="B7" s="1">
        <v>1387.8755840287758</v>
      </c>
      <c r="C7" s="1">
        <v>166.14212353174139</v>
      </c>
      <c r="D7" s="1">
        <v>978.39250524247564</v>
      </c>
      <c r="E7" s="2" t="s">
        <v>53</v>
      </c>
    </row>
    <row r="8" spans="1:5" x14ac:dyDescent="0.3">
      <c r="A8" s="3" t="s">
        <v>63</v>
      </c>
      <c r="B8" s="1">
        <v>86.794558653023941</v>
      </c>
      <c r="C8" s="1">
        <v>0</v>
      </c>
      <c r="D8" s="1">
        <v>0</v>
      </c>
      <c r="E8" s="2" t="s">
        <v>54</v>
      </c>
    </row>
    <row r="9" spans="1:5" x14ac:dyDescent="0.3">
      <c r="A9" s="3" t="s">
        <v>31</v>
      </c>
      <c r="B9" s="1">
        <v>374.04405153848666</v>
      </c>
      <c r="C9" s="1">
        <v>103.51534176432483</v>
      </c>
      <c r="D9" s="1">
        <v>109.98505062459498</v>
      </c>
      <c r="E9" s="2" t="s">
        <v>52</v>
      </c>
    </row>
    <row r="10" spans="1:5" x14ac:dyDescent="0.3">
      <c r="A10" s="3" t="s">
        <v>31</v>
      </c>
      <c r="B10" s="1">
        <v>1009.1215121166069</v>
      </c>
      <c r="C10" s="1">
        <v>175.37224150572717</v>
      </c>
      <c r="D10" s="1">
        <v>664.56849412696488</v>
      </c>
      <c r="E10" s="2" t="s">
        <v>53</v>
      </c>
    </row>
    <row r="11" spans="1:5" x14ac:dyDescent="0.3">
      <c r="A11" s="3" t="s">
        <v>31</v>
      </c>
      <c r="B11" s="1">
        <v>130.55926120734037</v>
      </c>
      <c r="C11" s="1">
        <v>0</v>
      </c>
      <c r="D11" s="1">
        <v>0</v>
      </c>
      <c r="E11" s="2" t="s">
        <v>54</v>
      </c>
    </row>
    <row r="12" spans="1:5" x14ac:dyDescent="0.3">
      <c r="A12" s="3" t="s">
        <v>34</v>
      </c>
      <c r="B12" s="1">
        <v>64.663358334361476</v>
      </c>
      <c r="C12" s="1">
        <v>103.51534176432469</v>
      </c>
      <c r="D12" s="1">
        <v>109.985050624595</v>
      </c>
      <c r="E12" s="2" t="s">
        <v>52</v>
      </c>
    </row>
    <row r="13" spans="1:5" x14ac:dyDescent="0.3">
      <c r="A13" s="3" t="s">
        <v>34</v>
      </c>
      <c r="B13" s="1">
        <v>567.73838981205529</v>
      </c>
      <c r="C13" s="1">
        <v>175.37224150572717</v>
      </c>
      <c r="D13" s="1">
        <v>664.56849412696477</v>
      </c>
      <c r="E13" s="2" t="s">
        <v>53</v>
      </c>
    </row>
    <row r="14" spans="1:5" x14ac:dyDescent="0.3">
      <c r="A14" s="3" t="s">
        <v>34</v>
      </c>
      <c r="B14" s="1">
        <v>200.32154613874178</v>
      </c>
      <c r="C14" s="1">
        <v>0</v>
      </c>
      <c r="D14" s="1">
        <v>0</v>
      </c>
      <c r="E14" s="2" t="s">
        <v>54</v>
      </c>
    </row>
    <row r="15" spans="1:5" x14ac:dyDescent="0.3">
      <c r="A15" s="3" t="s">
        <v>37</v>
      </c>
      <c r="B15" s="1">
        <v>191.84771494716662</v>
      </c>
      <c r="C15" s="1">
        <v>119.5251297914342</v>
      </c>
      <c r="D15" s="1">
        <v>126.99545040339908</v>
      </c>
      <c r="E15" s="2" t="s">
        <v>52</v>
      </c>
    </row>
    <row r="16" spans="1:5" x14ac:dyDescent="0.3">
      <c r="A16" s="3" t="s">
        <v>37</v>
      </c>
      <c r="B16" s="1">
        <v>822.72711689240555</v>
      </c>
      <c r="C16" s="1">
        <v>202.49549072165439</v>
      </c>
      <c r="D16" s="1">
        <v>767.35133326100845</v>
      </c>
      <c r="E16" s="2" t="s">
        <v>53</v>
      </c>
    </row>
    <row r="17" spans="1:5" x14ac:dyDescent="0.3">
      <c r="A17" s="3" t="s">
        <v>37</v>
      </c>
      <c r="B17" s="1">
        <v>194.04403769229725</v>
      </c>
      <c r="C17" s="1">
        <v>0</v>
      </c>
      <c r="D17" s="1">
        <v>0</v>
      </c>
      <c r="E17" s="2" t="s">
        <v>54</v>
      </c>
    </row>
    <row r="18" spans="1:5" x14ac:dyDescent="0.3">
      <c r="A18" s="3" t="s">
        <v>40</v>
      </c>
      <c r="B18" s="1">
        <v>130.52792940982985</v>
      </c>
      <c r="C18" s="1">
        <v>119.5251297914342</v>
      </c>
      <c r="D18" s="1">
        <v>126.99545040339879</v>
      </c>
      <c r="E18" s="2" t="s">
        <v>52</v>
      </c>
    </row>
    <row r="19" spans="1:5" x14ac:dyDescent="0.3">
      <c r="A19" s="3" t="s">
        <v>40</v>
      </c>
      <c r="B19" s="1">
        <v>735.2442228591384</v>
      </c>
      <c r="C19" s="1">
        <v>202.49549072165485</v>
      </c>
      <c r="D19" s="1">
        <v>767.35133326100788</v>
      </c>
      <c r="E19" s="2" t="s">
        <v>53</v>
      </c>
    </row>
    <row r="20" spans="1:5" x14ac:dyDescent="0.3">
      <c r="A20" s="3" t="s">
        <v>40</v>
      </c>
      <c r="B20" s="1">
        <v>212.91633385186105</v>
      </c>
      <c r="C20" s="1">
        <v>0</v>
      </c>
      <c r="D20" s="1">
        <v>0</v>
      </c>
      <c r="E20" s="2" t="s">
        <v>54</v>
      </c>
    </row>
    <row r="21" spans="1:5" x14ac:dyDescent="0.3">
      <c r="A21" s="3" t="s">
        <v>43</v>
      </c>
      <c r="B21" s="1">
        <v>-216.40312487826148</v>
      </c>
      <c r="C21" s="1">
        <v>119.5251297914339</v>
      </c>
      <c r="D21" s="1">
        <v>126.99545040339906</v>
      </c>
      <c r="E21" s="2" t="s">
        <v>52</v>
      </c>
    </row>
    <row r="22" spans="1:5" x14ac:dyDescent="0.3">
      <c r="A22" s="3" t="s">
        <v>43</v>
      </c>
      <c r="B22" s="1">
        <v>240.28925207479523</v>
      </c>
      <c r="C22" s="1">
        <v>202.49549072165485</v>
      </c>
      <c r="D22" s="1">
        <v>767.35133326100799</v>
      </c>
      <c r="E22" s="2" t="s">
        <v>53</v>
      </c>
    </row>
    <row r="23" spans="1:5" x14ac:dyDescent="0.3">
      <c r="A23" s="3" t="s">
        <v>43</v>
      </c>
      <c r="B23" s="1">
        <v>259.57715707762446</v>
      </c>
      <c r="C23" s="1">
        <v>0</v>
      </c>
      <c r="D23" s="1">
        <v>0</v>
      </c>
      <c r="E23" s="2" t="s">
        <v>54</v>
      </c>
    </row>
    <row r="24" spans="1:5" x14ac:dyDescent="0.3">
      <c r="A24" s="3" t="s">
        <v>44</v>
      </c>
      <c r="B24" s="1">
        <v>-558.23650860483497</v>
      </c>
      <c r="C24" s="1">
        <v>119.52512979143421</v>
      </c>
      <c r="D24" s="1">
        <v>126.99545040339905</v>
      </c>
      <c r="E24" s="2" t="s">
        <v>52</v>
      </c>
    </row>
    <row r="25" spans="1:5" x14ac:dyDescent="0.3">
      <c r="A25" s="3" t="s">
        <v>44</v>
      </c>
      <c r="B25" s="1">
        <v>-247.39304204178333</v>
      </c>
      <c r="C25" s="1">
        <v>202.49549072165487</v>
      </c>
      <c r="D25" s="1">
        <v>767.35133326100845</v>
      </c>
      <c r="E25" s="2" t="s">
        <v>53</v>
      </c>
    </row>
    <row r="26" spans="1:5" x14ac:dyDescent="0.3">
      <c r="A26" s="3" t="s">
        <v>44</v>
      </c>
      <c r="B26" s="1">
        <v>302.91104699868481</v>
      </c>
      <c r="C26" s="1">
        <v>0</v>
      </c>
      <c r="D26" s="1">
        <v>0</v>
      </c>
      <c r="E26" s="2" t="s">
        <v>54</v>
      </c>
    </row>
    <row r="27" spans="1:5" x14ac:dyDescent="0.3">
      <c r="A27" s="3" t="s">
        <v>45</v>
      </c>
      <c r="B27" s="1">
        <v>-352.43537061309826</v>
      </c>
      <c r="C27" s="1">
        <v>119.52512979143421</v>
      </c>
      <c r="D27" s="1">
        <v>126.99545040339905</v>
      </c>
      <c r="E27" s="2" t="s">
        <v>52</v>
      </c>
    </row>
    <row r="28" spans="1:5" x14ac:dyDescent="0.3">
      <c r="A28" s="3" t="s">
        <v>45</v>
      </c>
      <c r="B28" s="1">
        <v>46.216581493094743</v>
      </c>
      <c r="C28" s="1">
        <v>202.49549072165487</v>
      </c>
      <c r="D28" s="1">
        <v>767.35133326100799</v>
      </c>
      <c r="E28" s="2" t="s">
        <v>53</v>
      </c>
    </row>
    <row r="29" spans="1:5" x14ac:dyDescent="0.3">
      <c r="A29" s="3" t="s">
        <v>45</v>
      </c>
      <c r="B29" s="1">
        <v>282.9896331966587</v>
      </c>
      <c r="C29" s="1">
        <v>0</v>
      </c>
      <c r="D29" s="1">
        <v>0</v>
      </c>
      <c r="E29" s="2" t="s">
        <v>54</v>
      </c>
    </row>
    <row r="30" spans="1:5" x14ac:dyDescent="0.3">
      <c r="A30" s="3" t="s">
        <v>47</v>
      </c>
      <c r="B30" s="1">
        <v>72.289076702858722</v>
      </c>
      <c r="C30" s="1">
        <v>119.52512979143421</v>
      </c>
      <c r="D30" s="1">
        <v>126.99545040339908</v>
      </c>
      <c r="E30" s="2" t="s">
        <v>52</v>
      </c>
    </row>
    <row r="31" spans="1:5" x14ac:dyDescent="0.3">
      <c r="A31" s="3" t="s">
        <v>47</v>
      </c>
      <c r="B31" s="1">
        <v>652.15679299719295</v>
      </c>
      <c r="C31" s="1">
        <v>202.49549072165445</v>
      </c>
      <c r="D31" s="1">
        <v>767.35133326100845</v>
      </c>
      <c r="E31" s="2" t="s">
        <v>53</v>
      </c>
    </row>
    <row r="32" spans="1:5" x14ac:dyDescent="0.3">
      <c r="A32" s="3" t="s">
        <v>47</v>
      </c>
      <c r="B32" s="1">
        <v>226.61845502199594</v>
      </c>
      <c r="C32" s="1">
        <v>0</v>
      </c>
      <c r="D32" s="1">
        <v>0</v>
      </c>
      <c r="E32" s="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07CE-F6F3-4520-85D0-4D7DD90F0B04}">
  <dimension ref="A2:E32"/>
  <sheetViews>
    <sheetView tabSelected="1" workbookViewId="0">
      <selection activeCell="K19" sqref="K19"/>
    </sheetView>
  </sheetViews>
  <sheetFormatPr defaultRowHeight="14.4" x14ac:dyDescent="0.3"/>
  <sheetData>
    <row r="2" spans="1:5" x14ac:dyDescent="0.3">
      <c r="A2" s="3"/>
      <c r="B2" s="2" t="s">
        <v>59</v>
      </c>
      <c r="C2" s="2" t="s">
        <v>60</v>
      </c>
      <c r="D2" s="2" t="s">
        <v>61</v>
      </c>
      <c r="E2" s="2"/>
    </row>
    <row r="3" spans="1:5" x14ac:dyDescent="0.3">
      <c r="A3" s="3" t="s">
        <v>62</v>
      </c>
      <c r="B3" s="1">
        <f>AVERAGE([1]Methanol!K2:K13)</f>
        <v>1673.425355813288</v>
      </c>
      <c r="C3" s="1">
        <f>B3-AVERAGE('[1]Methanol high low'!K2:K13)</f>
        <v>474.54180985108815</v>
      </c>
      <c r="D3" s="1">
        <f>AVERAGE('[1]Methanol high low'!L2:L13)-B3</f>
        <v>462.57159221076768</v>
      </c>
      <c r="E3" s="2" t="s">
        <v>52</v>
      </c>
    </row>
    <row r="4" spans="1:5" x14ac:dyDescent="0.3">
      <c r="A4" s="3" t="s">
        <v>62</v>
      </c>
      <c r="B4" s="1">
        <f>AVERAGE([1]Methanol!L2:L13)</f>
        <v>7710.4993345141693</v>
      </c>
      <c r="C4" s="1">
        <f>B4-AVERAGE('[1]Methanol high low'!M2:M13)</f>
        <v>1084.9190283400785</v>
      </c>
      <c r="D4" s="1">
        <f>AVERAGE('[1]Methanol high low'!N2:N13)-B4</f>
        <v>5569.534412955466</v>
      </c>
      <c r="E4" s="2" t="s">
        <v>53</v>
      </c>
    </row>
    <row r="5" spans="1:5" x14ac:dyDescent="0.3">
      <c r="A5" s="3" t="s">
        <v>62</v>
      </c>
      <c r="B5" s="1">
        <f>AVERAGE([1]Methanol!T2:T13)</f>
        <v>2868.8390043701252</v>
      </c>
      <c r="C5" s="1">
        <v>0</v>
      </c>
      <c r="D5" s="1">
        <v>0</v>
      </c>
      <c r="E5" s="2" t="s">
        <v>54</v>
      </c>
    </row>
    <row r="6" spans="1:5" x14ac:dyDescent="0.3">
      <c r="A6" s="3" t="s">
        <v>63</v>
      </c>
      <c r="B6" s="1">
        <f>AVERAGE([1]Methanol!K14:K25)</f>
        <v>1434.906437673945</v>
      </c>
      <c r="C6" s="1">
        <f>B6-AVERAGE('[1]Methanol high low'!K14:K25)</f>
        <v>232.99026581628073</v>
      </c>
      <c r="D6" s="1">
        <f>AVERAGE('[1]Methanol high low'!L14:L25)-B6</f>
        <v>352.69244221948793</v>
      </c>
      <c r="E6" s="2" t="s">
        <v>52</v>
      </c>
    </row>
    <row r="7" spans="1:5" x14ac:dyDescent="0.3">
      <c r="A7" s="3" t="s">
        <v>63</v>
      </c>
      <c r="B7" s="1">
        <f>AVERAGE([1]Methanol!L14:L25)</f>
        <v>7695.5519031957629</v>
      </c>
      <c r="C7" s="1">
        <f>B7-AVERAGE('[1]Methanol high low'!M14:M25)</f>
        <v>1161.9453524599712</v>
      </c>
      <c r="D7" s="1">
        <f>AVERAGE('[1]Methanol high low'!N14:N25)-B7</f>
        <v>4885.0222755368923</v>
      </c>
      <c r="E7" s="2" t="s">
        <v>53</v>
      </c>
    </row>
    <row r="8" spans="1:5" x14ac:dyDescent="0.3">
      <c r="A8" s="3" t="s">
        <v>63</v>
      </c>
      <c r="B8" s="1">
        <f>AVERAGE([1]Methanol!T14:T25)</f>
        <v>2712.8515441426516</v>
      </c>
      <c r="C8" s="1">
        <v>0</v>
      </c>
      <c r="D8" s="1">
        <v>0</v>
      </c>
      <c r="E8" s="2" t="s">
        <v>54</v>
      </c>
    </row>
    <row r="9" spans="1:5" x14ac:dyDescent="0.3">
      <c r="A9" s="3" t="s">
        <v>31</v>
      </c>
      <c r="B9" s="1">
        <f>[1]Methanol!K32</f>
        <v>1209.2010310119847</v>
      </c>
      <c r="C9" s="1">
        <f>B9-'[1]Methanol high low'!K32</f>
        <v>326.05546363469239</v>
      </c>
      <c r="D9" s="1">
        <f>-(B9-'[1]Methanol high low'!L32)</f>
        <v>338.02568127501263</v>
      </c>
      <c r="E9" s="2" t="s">
        <v>52</v>
      </c>
    </row>
    <row r="10" spans="1:5" x14ac:dyDescent="0.3">
      <c r="A10" s="3" t="s">
        <v>31</v>
      </c>
      <c r="B10" s="1">
        <f>[1]Methanol!L32</f>
        <v>6453.2773282326398</v>
      </c>
      <c r="C10" s="1">
        <f>B10-'[1]Methanol high low'!M32</f>
        <v>1279.3377317938712</v>
      </c>
      <c r="D10" s="1">
        <f>-B10+'[1]Methanol high low'!N32</f>
        <v>3521.6454241015654</v>
      </c>
      <c r="E10" s="2" t="s">
        <v>53</v>
      </c>
    </row>
    <row r="11" spans="1:5" x14ac:dyDescent="0.3">
      <c r="A11" s="3" t="s">
        <v>31</v>
      </c>
      <c r="B11" s="1">
        <f>[1]Methanol!T32</f>
        <v>3832.5869475524946</v>
      </c>
      <c r="C11" s="1">
        <v>0</v>
      </c>
      <c r="D11" s="1">
        <v>0</v>
      </c>
      <c r="E11" s="2" t="s">
        <v>54</v>
      </c>
    </row>
    <row r="12" spans="1:5" x14ac:dyDescent="0.3">
      <c r="A12" s="3" t="s">
        <v>34</v>
      </c>
      <c r="B12" s="1">
        <f>[1]Methanol!K35</f>
        <v>752.35535248388612</v>
      </c>
      <c r="C12" s="1">
        <f>B12-'[1]Methanol high low'!K35</f>
        <v>326.05546363469279</v>
      </c>
      <c r="D12" s="1">
        <f>-(B12-'[1]Methanol high low'!L35)</f>
        <v>338.02568127501274</v>
      </c>
      <c r="E12" s="2" t="s">
        <v>52</v>
      </c>
    </row>
    <row r="13" spans="1:5" x14ac:dyDescent="0.3">
      <c r="A13" s="3" t="s">
        <v>34</v>
      </c>
      <c r="B13" s="1">
        <f>[1]Methanol!L35</f>
        <v>4838.596043394462</v>
      </c>
      <c r="C13" s="1">
        <f>B13-'[1]Methanol high low'!M35</f>
        <v>1279.3377317938712</v>
      </c>
      <c r="D13" s="1">
        <f>-B13+'[1]Methanol high low'!N35</f>
        <v>3521.6454241015635</v>
      </c>
      <c r="E13" s="2" t="s">
        <v>53</v>
      </c>
    </row>
    <row r="14" spans="1:5" x14ac:dyDescent="0.3">
      <c r="A14" s="3" t="s">
        <v>34</v>
      </c>
      <c r="B14" s="1">
        <f>[1]Methanol!T35</f>
        <v>5092.0198297400366</v>
      </c>
      <c r="C14" s="1">
        <v>0</v>
      </c>
      <c r="D14" s="1">
        <v>0</v>
      </c>
      <c r="E14" s="2" t="s">
        <v>54</v>
      </c>
    </row>
    <row r="15" spans="1:5" x14ac:dyDescent="0.3">
      <c r="A15" s="3" t="s">
        <v>37</v>
      </c>
      <c r="B15" s="1">
        <f>[1]Methanol!K38</f>
        <v>1063.7182703555566</v>
      </c>
      <c r="C15" s="1">
        <f>B15-'[1]Methanol high low'!K38</f>
        <v>376.48353322226126</v>
      </c>
      <c r="D15" s="1">
        <f>-(B15-'[1]Methanol high low'!L38)</f>
        <v>390.30507689593696</v>
      </c>
      <c r="E15" s="2" t="s">
        <v>52</v>
      </c>
    </row>
    <row r="16" spans="1:5" x14ac:dyDescent="0.3">
      <c r="A16" s="3" t="s">
        <v>37</v>
      </c>
      <c r="B16" s="1">
        <f>[1]Methanol!L38</f>
        <v>6276.1589121116849</v>
      </c>
      <c r="C16" s="1">
        <f>B16-'[1]Methanol high low'!M38</f>
        <v>1477.2014064145314</v>
      </c>
      <c r="D16" s="1">
        <f>-B16+'[1]Methanol high low'!N38</f>
        <v>4066.306686727441</v>
      </c>
      <c r="E16" s="2" t="s">
        <v>53</v>
      </c>
    </row>
    <row r="17" spans="1:5" x14ac:dyDescent="0.3">
      <c r="A17" s="3" t="s">
        <v>37</v>
      </c>
      <c r="B17" s="1">
        <f>[1]Methanol!T38</f>
        <v>5402.6671774599408</v>
      </c>
      <c r="C17" s="1">
        <v>0</v>
      </c>
      <c r="D17" s="1">
        <v>0</v>
      </c>
      <c r="E17" s="2" t="s">
        <v>54</v>
      </c>
    </row>
    <row r="18" spans="1:5" x14ac:dyDescent="0.3">
      <c r="A18" s="3" t="s">
        <v>40</v>
      </c>
      <c r="B18" s="1">
        <f>[1]Methanol!K41</f>
        <v>962.94368201748284</v>
      </c>
      <c r="C18" s="1">
        <f>B18-'[1]Methanol high low'!K41</f>
        <v>376.48353322226114</v>
      </c>
      <c r="D18" s="1">
        <f>-(B18-'[1]Methanol high low'!L41)</f>
        <v>390.30507689593719</v>
      </c>
      <c r="E18" s="2" t="s">
        <v>52</v>
      </c>
    </row>
    <row r="19" spans="1:5" x14ac:dyDescent="0.3">
      <c r="A19" s="3" t="s">
        <v>40</v>
      </c>
      <c r="B19" s="1">
        <f>[1]Methanol!L41</f>
        <v>5919.9799015078879</v>
      </c>
      <c r="C19" s="1">
        <f>B19-'[1]Methanol high low'!M41</f>
        <v>1477.2014064145324</v>
      </c>
      <c r="D19" s="1">
        <f>-B19+'[1]Methanol high low'!N41</f>
        <v>4066.306686727441</v>
      </c>
      <c r="E19" s="2" t="s">
        <v>53</v>
      </c>
    </row>
    <row r="20" spans="1:5" x14ac:dyDescent="0.3">
      <c r="A20" s="3" t="s">
        <v>40</v>
      </c>
      <c r="B20" s="1">
        <f>[1]Methanol!T41</f>
        <v>5652.2223342832576</v>
      </c>
      <c r="C20" s="1">
        <v>0</v>
      </c>
      <c r="D20" s="1">
        <v>0</v>
      </c>
      <c r="E20" s="2" t="s">
        <v>54</v>
      </c>
    </row>
    <row r="21" spans="1:5" x14ac:dyDescent="0.3">
      <c r="A21" s="3" t="s">
        <v>43</v>
      </c>
      <c r="B21" s="1">
        <f>[1]Methanol!K44</f>
        <v>514.64032007805054</v>
      </c>
      <c r="C21" s="1">
        <f>B21-'[1]Methanol high low'!K44</f>
        <v>376.4835332222612</v>
      </c>
      <c r="D21" s="1">
        <f>-(B21-'[1]Methanol high low'!L44)</f>
        <v>390.30507689593662</v>
      </c>
      <c r="E21" s="2" t="s">
        <v>52</v>
      </c>
    </row>
    <row r="22" spans="1:5" x14ac:dyDescent="0.3">
      <c r="A22" s="3" t="s">
        <v>43</v>
      </c>
      <c r="B22" s="1">
        <f>[1]Methanol!L44</f>
        <v>4335.4906910903792</v>
      </c>
      <c r="C22" s="1">
        <f>B22-'[1]Methanol high low'!M44</f>
        <v>1477.2014064145314</v>
      </c>
      <c r="D22" s="1">
        <f>-B22+'[1]Methanol high low'!N44</f>
        <v>4066.3066867274429</v>
      </c>
      <c r="E22" s="2" t="s">
        <v>53</v>
      </c>
    </row>
    <row r="23" spans="1:5" x14ac:dyDescent="0.3">
      <c r="A23" s="3" t="s">
        <v>43</v>
      </c>
      <c r="B23" s="1">
        <f>[1]Methanol!T44</f>
        <v>7064.9327114368361</v>
      </c>
      <c r="C23" s="1">
        <v>0</v>
      </c>
      <c r="D23" s="1">
        <v>0</v>
      </c>
      <c r="E23" s="2" t="s">
        <v>54</v>
      </c>
    </row>
    <row r="24" spans="1:5" x14ac:dyDescent="0.3">
      <c r="A24" s="3" t="s">
        <v>44</v>
      </c>
      <c r="B24" s="1">
        <f>[1]Methanol!K45</f>
        <v>78.278200299099652</v>
      </c>
      <c r="C24" s="1">
        <f>B24-'[1]Methanol high low'!K45</f>
        <v>376.48353322226114</v>
      </c>
      <c r="D24" s="1">
        <f>-(B24-'[1]Methanol high low'!L45)</f>
        <v>390.30507689593725</v>
      </c>
      <c r="E24" s="2" t="s">
        <v>52</v>
      </c>
    </row>
    <row r="25" spans="1:5" x14ac:dyDescent="0.3">
      <c r="A25" s="3" t="s">
        <v>44</v>
      </c>
      <c r="B25" s="1">
        <f>[1]Methanol!L45</f>
        <v>2793.2067616692289</v>
      </c>
      <c r="C25" s="1">
        <f>B25-'[1]Methanol high low'!M45</f>
        <v>1477.201406414531</v>
      </c>
      <c r="D25" s="1">
        <f>-B25+'[1]Methanol high low'!N45</f>
        <v>4066.3066867274415</v>
      </c>
      <c r="E25" s="2" t="s">
        <v>53</v>
      </c>
    </row>
    <row r="26" spans="1:5" x14ac:dyDescent="0.3">
      <c r="A26" s="3" t="s">
        <v>44</v>
      </c>
      <c r="B26" s="1">
        <f>[1]Methanol!T45</f>
        <v>8456.9201394030079</v>
      </c>
      <c r="C26" s="1">
        <v>0</v>
      </c>
      <c r="D26" s="1">
        <v>0</v>
      </c>
      <c r="E26" s="2" t="s">
        <v>54</v>
      </c>
    </row>
    <row r="27" spans="1:5" x14ac:dyDescent="0.3">
      <c r="A27" s="3" t="s">
        <v>45</v>
      </c>
      <c r="B27" s="1">
        <f>[1]Methanol!K46</f>
        <v>328.48810757762811</v>
      </c>
      <c r="C27" s="1">
        <f>B27-'[1]Methanol high low'!K46</f>
        <v>376.4835332222612</v>
      </c>
      <c r="D27" s="1">
        <f>-(B27-'[1]Methanol high low'!L46)</f>
        <v>390.30507689593725</v>
      </c>
      <c r="E27" s="2" t="s">
        <v>52</v>
      </c>
    </row>
    <row r="28" spans="1:5" x14ac:dyDescent="0.3">
      <c r="A28" s="3" t="s">
        <v>45</v>
      </c>
      <c r="B28" s="1">
        <f>[1]Methanol!L46</f>
        <v>3677.5518995403049</v>
      </c>
      <c r="C28" s="1">
        <f>B28-'[1]Methanol high low'!M46</f>
        <v>1477.2014064145328</v>
      </c>
      <c r="D28" s="1">
        <f>-B28+'[1]Methanol high low'!N46</f>
        <v>4066.3066867274415</v>
      </c>
      <c r="E28" s="2" t="s">
        <v>53</v>
      </c>
    </row>
    <row r="29" spans="1:5" x14ac:dyDescent="0.3">
      <c r="A29" s="3" t="s">
        <v>45</v>
      </c>
      <c r="B29" s="1">
        <f>[1]Methanol!T46</f>
        <v>7618.7912601678836</v>
      </c>
      <c r="C29" s="1">
        <v>0</v>
      </c>
      <c r="D29" s="1">
        <v>0</v>
      </c>
      <c r="E29" s="2" t="s">
        <v>54</v>
      </c>
    </row>
    <row r="30" spans="1:5" x14ac:dyDescent="0.3">
      <c r="A30" s="3" t="s">
        <v>47</v>
      </c>
      <c r="B30" s="1">
        <f>[1]Methanol!K48</f>
        <v>875.7904503874289</v>
      </c>
      <c r="C30" s="1">
        <f>B30-'[1]Methanol high low'!K48</f>
        <v>376.4835332222612</v>
      </c>
      <c r="D30" s="1">
        <f>'[1]Methanol high low'!L48-B30</f>
        <v>390.30507689593753</v>
      </c>
      <c r="E30" s="2" t="s">
        <v>52</v>
      </c>
    </row>
    <row r="31" spans="1:5" x14ac:dyDescent="0.3">
      <c r="A31" s="3" t="s">
        <v>47</v>
      </c>
      <c r="B31" s="1">
        <f>[1]Methanol!L48</f>
        <v>5611.9443905239332</v>
      </c>
      <c r="C31" s="1">
        <f>B31-'[1]Methanol high low'!M48</f>
        <v>1477.2014064145333</v>
      </c>
      <c r="D31" s="1">
        <f>'[1]Methanol high low'!N48-B31</f>
        <v>4066.306686727441</v>
      </c>
      <c r="E31" s="2" t="s">
        <v>53</v>
      </c>
    </row>
    <row r="32" spans="1:5" x14ac:dyDescent="0.3">
      <c r="A32" s="3" t="s">
        <v>47</v>
      </c>
      <c r="B32" s="1">
        <f>[1]Methanol!T48</f>
        <v>5889.2946542787176</v>
      </c>
      <c r="C32" s="1">
        <v>0</v>
      </c>
      <c r="D32" s="1">
        <v>0</v>
      </c>
      <c r="E32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 1a, 1b</vt:lpstr>
      <vt:lpstr>Figure 2a, 2b, 2c</vt:lpstr>
      <vt:lpstr>Figure 2d, 2e, 2f</vt:lpstr>
      <vt:lpstr>Figure 4a</vt:lpstr>
      <vt:lpstr>Figure 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2023-08-14T12:42:51Z</dcterms:created>
  <dcterms:modified xsi:type="dcterms:W3CDTF">2023-08-14T12:54:01Z</dcterms:modified>
</cp:coreProperties>
</file>