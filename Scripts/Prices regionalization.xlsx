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Fossil vs. green chemicals\Scripts\"/>
    </mc:Choice>
  </mc:AlternateContent>
  <xr:revisionPtr revIDLastSave="0" documentId="13_ncr:1_{6738AC1D-DBF8-434C-9A0C-775775C9AA5B}" xr6:coauthVersionLast="36" xr6:coauthVersionMax="36" xr10:uidLastSave="{00000000-0000-0000-0000-000000000000}"/>
  <bookViews>
    <workbookView xWindow="0" yWindow="0" windowWidth="17280" windowHeight="8088" activeTab="1" xr2:uid="{00000000-000D-0000-FFFF-FFFF00000000}"/>
  </bookViews>
  <sheets>
    <sheet name="Wind LCOH countries" sheetId="1" r:id="rId1"/>
    <sheet name="Solar LCOH countries" sheetId="5" r:id="rId2"/>
    <sheet name="Wind LCOH 2022" sheetId="12" r:id="rId3"/>
    <sheet name="Solar LCOH 2022" sheetId="13" r:id="rId4"/>
    <sheet name="Grid electricity prices" sheetId="2" r:id="rId5"/>
    <sheet name="BAU ammonia" sheetId="3" r:id="rId6"/>
    <sheet name="Wind ammonia" sheetId="4" r:id="rId7"/>
    <sheet name="Solar ammonia" sheetId="6" r:id="rId8"/>
    <sheet name="BAU methanol" sheetId="7" r:id="rId9"/>
    <sheet name="Wind methanol" sheetId="8" r:id="rId10"/>
    <sheet name="Solar methanol" sheetId="9" r:id="rId11"/>
    <sheet name="US" sheetId="10" r:id="rId12"/>
    <sheet name="PPP" sheetId="11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5" l="1"/>
  <c r="E11" i="5"/>
  <c r="B11" i="5"/>
  <c r="B12" i="1"/>
  <c r="H12" i="1"/>
  <c r="E12" i="1"/>
  <c r="S48" i="9" l="1"/>
  <c r="R48" i="9"/>
  <c r="Q48" i="9"/>
  <c r="P48" i="9"/>
  <c r="O48" i="9"/>
  <c r="N48" i="9"/>
  <c r="M48" i="9"/>
  <c r="S47" i="9"/>
  <c r="R47" i="9"/>
  <c r="Q47" i="9"/>
  <c r="P47" i="9"/>
  <c r="O47" i="9"/>
  <c r="N47" i="9"/>
  <c r="M47" i="9"/>
  <c r="S46" i="9"/>
  <c r="R46" i="9"/>
  <c r="Q46" i="9"/>
  <c r="P46" i="9"/>
  <c r="O46" i="9"/>
  <c r="N46" i="9"/>
  <c r="M46" i="9"/>
  <c r="S45" i="9"/>
  <c r="R45" i="9"/>
  <c r="Q45" i="9"/>
  <c r="P45" i="9"/>
  <c r="O45" i="9"/>
  <c r="N45" i="9"/>
  <c r="M45" i="9"/>
  <c r="S44" i="9"/>
  <c r="R44" i="9"/>
  <c r="Q44" i="9"/>
  <c r="P44" i="9"/>
  <c r="O44" i="9"/>
  <c r="N44" i="9"/>
  <c r="M44" i="9"/>
  <c r="S43" i="9"/>
  <c r="R43" i="9"/>
  <c r="Q43" i="9"/>
  <c r="P43" i="9"/>
  <c r="O43" i="9"/>
  <c r="N43" i="9"/>
  <c r="M43" i="9"/>
  <c r="S42" i="9"/>
  <c r="R42" i="9"/>
  <c r="Q42" i="9"/>
  <c r="P42" i="9"/>
  <c r="O42" i="9"/>
  <c r="N42" i="9"/>
  <c r="M42" i="9"/>
  <c r="S41" i="9"/>
  <c r="R41" i="9"/>
  <c r="Q41" i="9"/>
  <c r="P41" i="9"/>
  <c r="O41" i="9"/>
  <c r="N41" i="9"/>
  <c r="M41" i="9"/>
  <c r="S40" i="9"/>
  <c r="R40" i="9"/>
  <c r="Q40" i="9"/>
  <c r="P40" i="9"/>
  <c r="O40" i="9"/>
  <c r="N40" i="9"/>
  <c r="M40" i="9"/>
  <c r="S39" i="9"/>
  <c r="R39" i="9"/>
  <c r="Q39" i="9"/>
  <c r="P39" i="9"/>
  <c r="O39" i="9"/>
  <c r="N39" i="9"/>
  <c r="M39" i="9"/>
  <c r="S38" i="9"/>
  <c r="R38" i="9"/>
  <c r="Q38" i="9"/>
  <c r="P38" i="9"/>
  <c r="O38" i="9"/>
  <c r="N38" i="9"/>
  <c r="M38" i="9"/>
  <c r="S37" i="9"/>
  <c r="R37" i="9"/>
  <c r="Q37" i="9"/>
  <c r="P37" i="9"/>
  <c r="O37" i="9"/>
  <c r="N37" i="9"/>
  <c r="M37" i="9"/>
  <c r="S36" i="9"/>
  <c r="R36" i="9"/>
  <c r="Q36" i="9"/>
  <c r="P36" i="9"/>
  <c r="O36" i="9"/>
  <c r="N36" i="9"/>
  <c r="M36" i="9"/>
  <c r="S35" i="9"/>
  <c r="R35" i="9"/>
  <c r="Q35" i="9"/>
  <c r="P35" i="9"/>
  <c r="O35" i="9"/>
  <c r="N35" i="9"/>
  <c r="M35" i="9"/>
  <c r="S34" i="9"/>
  <c r="R34" i="9"/>
  <c r="Q34" i="9"/>
  <c r="P34" i="9"/>
  <c r="O34" i="9"/>
  <c r="N34" i="9"/>
  <c r="M34" i="9"/>
  <c r="S33" i="9"/>
  <c r="R33" i="9"/>
  <c r="Q33" i="9"/>
  <c r="P33" i="9"/>
  <c r="O33" i="9"/>
  <c r="N33" i="9"/>
  <c r="M33" i="9"/>
  <c r="S32" i="9"/>
  <c r="R32" i="9"/>
  <c r="Q32" i="9"/>
  <c r="P32" i="9"/>
  <c r="O32" i="9"/>
  <c r="N32" i="9"/>
  <c r="M32" i="9"/>
  <c r="S31" i="9"/>
  <c r="R31" i="9"/>
  <c r="Q31" i="9"/>
  <c r="P31" i="9"/>
  <c r="O31" i="9"/>
  <c r="N31" i="9"/>
  <c r="M31" i="9"/>
  <c r="S30" i="9"/>
  <c r="R30" i="9"/>
  <c r="Q30" i="9"/>
  <c r="P30" i="9"/>
  <c r="O30" i="9"/>
  <c r="N30" i="9"/>
  <c r="M30" i="9"/>
  <c r="S29" i="9"/>
  <c r="R29" i="9"/>
  <c r="Q29" i="9"/>
  <c r="P29" i="9"/>
  <c r="O29" i="9"/>
  <c r="N29" i="9"/>
  <c r="M29" i="9"/>
  <c r="S28" i="9"/>
  <c r="R28" i="9"/>
  <c r="Q28" i="9"/>
  <c r="P28" i="9"/>
  <c r="O28" i="9"/>
  <c r="N28" i="9"/>
  <c r="M28" i="9"/>
  <c r="S27" i="9"/>
  <c r="R27" i="9"/>
  <c r="Q27" i="9"/>
  <c r="P27" i="9"/>
  <c r="O27" i="9"/>
  <c r="N27" i="9"/>
  <c r="M27" i="9"/>
  <c r="S26" i="9"/>
  <c r="R26" i="9"/>
  <c r="Q26" i="9"/>
  <c r="P26" i="9"/>
  <c r="O26" i="9"/>
  <c r="N26" i="9"/>
  <c r="M26" i="9"/>
  <c r="S25" i="9"/>
  <c r="R25" i="9"/>
  <c r="Q25" i="9"/>
  <c r="P25" i="9"/>
  <c r="O25" i="9"/>
  <c r="N25" i="9"/>
  <c r="M25" i="9"/>
  <c r="S24" i="9"/>
  <c r="R24" i="9"/>
  <c r="Q24" i="9"/>
  <c r="P24" i="9"/>
  <c r="O24" i="9"/>
  <c r="N24" i="9"/>
  <c r="M24" i="9"/>
  <c r="S23" i="9"/>
  <c r="R23" i="9"/>
  <c r="Q23" i="9"/>
  <c r="P23" i="9"/>
  <c r="O23" i="9"/>
  <c r="N23" i="9"/>
  <c r="M23" i="9"/>
  <c r="S22" i="9"/>
  <c r="R22" i="9"/>
  <c r="Q22" i="9"/>
  <c r="P22" i="9"/>
  <c r="O22" i="9"/>
  <c r="N22" i="9"/>
  <c r="M22" i="9"/>
  <c r="S21" i="9"/>
  <c r="R21" i="9"/>
  <c r="Q21" i="9"/>
  <c r="P21" i="9"/>
  <c r="O21" i="9"/>
  <c r="N21" i="9"/>
  <c r="M21" i="9"/>
  <c r="S20" i="9"/>
  <c r="R20" i="9"/>
  <c r="Q20" i="9"/>
  <c r="P20" i="9"/>
  <c r="O20" i="9"/>
  <c r="N20" i="9"/>
  <c r="M20" i="9"/>
  <c r="S19" i="9"/>
  <c r="R19" i="9"/>
  <c r="Q19" i="9"/>
  <c r="P19" i="9"/>
  <c r="O19" i="9"/>
  <c r="N19" i="9"/>
  <c r="M19" i="9"/>
  <c r="S18" i="9"/>
  <c r="R18" i="9"/>
  <c r="Q18" i="9"/>
  <c r="P18" i="9"/>
  <c r="O18" i="9"/>
  <c r="N18" i="9"/>
  <c r="M18" i="9"/>
  <c r="S17" i="9"/>
  <c r="R17" i="9"/>
  <c r="Q17" i="9"/>
  <c r="P17" i="9"/>
  <c r="O17" i="9"/>
  <c r="N17" i="9"/>
  <c r="M17" i="9"/>
  <c r="S16" i="9"/>
  <c r="R16" i="9"/>
  <c r="Q16" i="9"/>
  <c r="P16" i="9"/>
  <c r="O16" i="9"/>
  <c r="N16" i="9"/>
  <c r="M16" i="9"/>
  <c r="S15" i="9"/>
  <c r="R15" i="9"/>
  <c r="Q15" i="9"/>
  <c r="P15" i="9"/>
  <c r="O15" i="9"/>
  <c r="N15" i="9"/>
  <c r="M15" i="9"/>
  <c r="S14" i="9"/>
  <c r="R14" i="9"/>
  <c r="Q14" i="9"/>
  <c r="P14" i="9"/>
  <c r="O14" i="9"/>
  <c r="N14" i="9"/>
  <c r="M14" i="9"/>
  <c r="S13" i="9"/>
  <c r="R13" i="9"/>
  <c r="Q13" i="9"/>
  <c r="P13" i="9"/>
  <c r="O13" i="9"/>
  <c r="N13" i="9"/>
  <c r="M13" i="9"/>
  <c r="S12" i="9"/>
  <c r="R12" i="9"/>
  <c r="Q12" i="9"/>
  <c r="P12" i="9"/>
  <c r="O12" i="9"/>
  <c r="N12" i="9"/>
  <c r="M12" i="9"/>
  <c r="S11" i="9"/>
  <c r="R11" i="9"/>
  <c r="Q11" i="9"/>
  <c r="P11" i="9"/>
  <c r="O11" i="9"/>
  <c r="N11" i="9"/>
  <c r="M11" i="9"/>
  <c r="S10" i="9"/>
  <c r="R10" i="9"/>
  <c r="Q10" i="9"/>
  <c r="P10" i="9"/>
  <c r="O10" i="9"/>
  <c r="N10" i="9"/>
  <c r="M10" i="9"/>
  <c r="S9" i="9"/>
  <c r="R9" i="9"/>
  <c r="Q9" i="9"/>
  <c r="P9" i="9"/>
  <c r="O9" i="9"/>
  <c r="N9" i="9"/>
  <c r="M9" i="9"/>
  <c r="S8" i="9"/>
  <c r="R8" i="9"/>
  <c r="Q8" i="9"/>
  <c r="P8" i="9"/>
  <c r="O8" i="9"/>
  <c r="N8" i="9"/>
  <c r="M8" i="9"/>
  <c r="S7" i="9"/>
  <c r="R7" i="9"/>
  <c r="Q7" i="9"/>
  <c r="P7" i="9"/>
  <c r="O7" i="9"/>
  <c r="N7" i="9"/>
  <c r="M7" i="9"/>
  <c r="S6" i="9"/>
  <c r="R6" i="9"/>
  <c r="Q6" i="9"/>
  <c r="P6" i="9"/>
  <c r="O6" i="9"/>
  <c r="N6" i="9"/>
  <c r="M6" i="9"/>
  <c r="S5" i="9"/>
  <c r="R5" i="9"/>
  <c r="Q5" i="9"/>
  <c r="P5" i="9"/>
  <c r="O5" i="9"/>
  <c r="N5" i="9"/>
  <c r="M5" i="9"/>
  <c r="S4" i="9"/>
  <c r="R4" i="9"/>
  <c r="Q4" i="9"/>
  <c r="P4" i="9"/>
  <c r="O4" i="9"/>
  <c r="N4" i="9"/>
  <c r="M4" i="9"/>
  <c r="S3" i="9"/>
  <c r="R3" i="9"/>
  <c r="Q3" i="9"/>
  <c r="P3" i="9"/>
  <c r="O3" i="9"/>
  <c r="N3" i="9"/>
  <c r="M3" i="9"/>
  <c r="S2" i="9"/>
  <c r="R2" i="9"/>
  <c r="Q2" i="9"/>
  <c r="P2" i="9"/>
  <c r="O2" i="9"/>
  <c r="N2" i="9"/>
  <c r="M2" i="9"/>
  <c r="S48" i="8"/>
  <c r="R48" i="8"/>
  <c r="Q48" i="8"/>
  <c r="P48" i="8"/>
  <c r="O48" i="8"/>
  <c r="N48" i="8"/>
  <c r="M48" i="8"/>
  <c r="S47" i="8"/>
  <c r="R47" i="8"/>
  <c r="Q47" i="8"/>
  <c r="P47" i="8"/>
  <c r="O47" i="8"/>
  <c r="N47" i="8"/>
  <c r="M47" i="8"/>
  <c r="S46" i="8"/>
  <c r="R46" i="8"/>
  <c r="Q46" i="8"/>
  <c r="P46" i="8"/>
  <c r="O46" i="8"/>
  <c r="N46" i="8"/>
  <c r="M46" i="8"/>
  <c r="S45" i="8"/>
  <c r="R45" i="8"/>
  <c r="Q45" i="8"/>
  <c r="P45" i="8"/>
  <c r="O45" i="8"/>
  <c r="N45" i="8"/>
  <c r="M45" i="8"/>
  <c r="S44" i="8"/>
  <c r="R44" i="8"/>
  <c r="Q44" i="8"/>
  <c r="P44" i="8"/>
  <c r="O44" i="8"/>
  <c r="N44" i="8"/>
  <c r="M44" i="8"/>
  <c r="S43" i="8"/>
  <c r="R43" i="8"/>
  <c r="Q43" i="8"/>
  <c r="P43" i="8"/>
  <c r="O43" i="8"/>
  <c r="N43" i="8"/>
  <c r="M43" i="8"/>
  <c r="S42" i="8"/>
  <c r="R42" i="8"/>
  <c r="Q42" i="8"/>
  <c r="P42" i="8"/>
  <c r="O42" i="8"/>
  <c r="N42" i="8"/>
  <c r="M42" i="8"/>
  <c r="S41" i="8"/>
  <c r="R41" i="8"/>
  <c r="Q41" i="8"/>
  <c r="P41" i="8"/>
  <c r="O41" i="8"/>
  <c r="N41" i="8"/>
  <c r="M41" i="8"/>
  <c r="S40" i="8"/>
  <c r="R40" i="8"/>
  <c r="Q40" i="8"/>
  <c r="P40" i="8"/>
  <c r="O40" i="8"/>
  <c r="N40" i="8"/>
  <c r="M40" i="8"/>
  <c r="S39" i="8"/>
  <c r="R39" i="8"/>
  <c r="Q39" i="8"/>
  <c r="P39" i="8"/>
  <c r="O39" i="8"/>
  <c r="N39" i="8"/>
  <c r="M39" i="8"/>
  <c r="S38" i="8"/>
  <c r="R38" i="8"/>
  <c r="Q38" i="8"/>
  <c r="P38" i="8"/>
  <c r="O38" i="8"/>
  <c r="N38" i="8"/>
  <c r="M38" i="8"/>
  <c r="S37" i="8"/>
  <c r="R37" i="8"/>
  <c r="Q37" i="8"/>
  <c r="P37" i="8"/>
  <c r="O37" i="8"/>
  <c r="N37" i="8"/>
  <c r="M37" i="8"/>
  <c r="S36" i="8"/>
  <c r="R36" i="8"/>
  <c r="Q36" i="8"/>
  <c r="P36" i="8"/>
  <c r="O36" i="8"/>
  <c r="N36" i="8"/>
  <c r="M36" i="8"/>
  <c r="S35" i="8"/>
  <c r="R35" i="8"/>
  <c r="Q35" i="8"/>
  <c r="P35" i="8"/>
  <c r="O35" i="8"/>
  <c r="N35" i="8"/>
  <c r="M35" i="8"/>
  <c r="S34" i="8"/>
  <c r="R34" i="8"/>
  <c r="Q34" i="8"/>
  <c r="P34" i="8"/>
  <c r="O34" i="8"/>
  <c r="N34" i="8"/>
  <c r="M34" i="8"/>
  <c r="S33" i="8"/>
  <c r="R33" i="8"/>
  <c r="Q33" i="8"/>
  <c r="P33" i="8"/>
  <c r="O33" i="8"/>
  <c r="N33" i="8"/>
  <c r="M33" i="8"/>
  <c r="S32" i="8"/>
  <c r="R32" i="8"/>
  <c r="Q32" i="8"/>
  <c r="P32" i="8"/>
  <c r="O32" i="8"/>
  <c r="N32" i="8"/>
  <c r="M32" i="8"/>
  <c r="S31" i="8"/>
  <c r="R31" i="8"/>
  <c r="Q31" i="8"/>
  <c r="P31" i="8"/>
  <c r="O31" i="8"/>
  <c r="N31" i="8"/>
  <c r="M31" i="8"/>
  <c r="S30" i="8"/>
  <c r="R30" i="8"/>
  <c r="Q30" i="8"/>
  <c r="P30" i="8"/>
  <c r="O30" i="8"/>
  <c r="N30" i="8"/>
  <c r="M30" i="8"/>
  <c r="S29" i="8"/>
  <c r="R29" i="8"/>
  <c r="Q29" i="8"/>
  <c r="P29" i="8"/>
  <c r="O29" i="8"/>
  <c r="N29" i="8"/>
  <c r="M29" i="8"/>
  <c r="S28" i="8"/>
  <c r="R28" i="8"/>
  <c r="Q28" i="8"/>
  <c r="P28" i="8"/>
  <c r="O28" i="8"/>
  <c r="N28" i="8"/>
  <c r="M28" i="8"/>
  <c r="S27" i="8"/>
  <c r="R27" i="8"/>
  <c r="Q27" i="8"/>
  <c r="P27" i="8"/>
  <c r="O27" i="8"/>
  <c r="N27" i="8"/>
  <c r="M27" i="8"/>
  <c r="S26" i="8"/>
  <c r="R26" i="8"/>
  <c r="Q26" i="8"/>
  <c r="P26" i="8"/>
  <c r="O26" i="8"/>
  <c r="N26" i="8"/>
  <c r="M26" i="8"/>
  <c r="S25" i="8"/>
  <c r="R25" i="8"/>
  <c r="Q25" i="8"/>
  <c r="P25" i="8"/>
  <c r="O25" i="8"/>
  <c r="N25" i="8"/>
  <c r="M25" i="8"/>
  <c r="S24" i="8"/>
  <c r="R24" i="8"/>
  <c r="Q24" i="8"/>
  <c r="P24" i="8"/>
  <c r="O24" i="8"/>
  <c r="N24" i="8"/>
  <c r="M24" i="8"/>
  <c r="S23" i="8"/>
  <c r="R23" i="8"/>
  <c r="Q23" i="8"/>
  <c r="P23" i="8"/>
  <c r="O23" i="8"/>
  <c r="N23" i="8"/>
  <c r="M23" i="8"/>
  <c r="S22" i="8"/>
  <c r="R22" i="8"/>
  <c r="Q22" i="8"/>
  <c r="P22" i="8"/>
  <c r="O22" i="8"/>
  <c r="N22" i="8"/>
  <c r="M22" i="8"/>
  <c r="S21" i="8"/>
  <c r="R21" i="8"/>
  <c r="Q21" i="8"/>
  <c r="P21" i="8"/>
  <c r="O21" i="8"/>
  <c r="N21" i="8"/>
  <c r="M21" i="8"/>
  <c r="S20" i="8"/>
  <c r="R20" i="8"/>
  <c r="Q20" i="8"/>
  <c r="P20" i="8"/>
  <c r="O20" i="8"/>
  <c r="N20" i="8"/>
  <c r="M20" i="8"/>
  <c r="S19" i="8"/>
  <c r="R19" i="8"/>
  <c r="Q19" i="8"/>
  <c r="P19" i="8"/>
  <c r="O19" i="8"/>
  <c r="N19" i="8"/>
  <c r="M19" i="8"/>
  <c r="S18" i="8"/>
  <c r="R18" i="8"/>
  <c r="Q18" i="8"/>
  <c r="P18" i="8"/>
  <c r="O18" i="8"/>
  <c r="N18" i="8"/>
  <c r="M18" i="8"/>
  <c r="S17" i="8"/>
  <c r="R17" i="8"/>
  <c r="Q17" i="8"/>
  <c r="P17" i="8"/>
  <c r="O17" i="8"/>
  <c r="N17" i="8"/>
  <c r="M17" i="8"/>
  <c r="S16" i="8"/>
  <c r="R16" i="8"/>
  <c r="Q16" i="8"/>
  <c r="P16" i="8"/>
  <c r="O16" i="8"/>
  <c r="N16" i="8"/>
  <c r="M16" i="8"/>
  <c r="S15" i="8"/>
  <c r="R15" i="8"/>
  <c r="Q15" i="8"/>
  <c r="P15" i="8"/>
  <c r="O15" i="8"/>
  <c r="N15" i="8"/>
  <c r="M15" i="8"/>
  <c r="S14" i="8"/>
  <c r="R14" i="8"/>
  <c r="Q14" i="8"/>
  <c r="P14" i="8"/>
  <c r="O14" i="8"/>
  <c r="N14" i="8"/>
  <c r="M14" i="8"/>
  <c r="S13" i="8"/>
  <c r="R13" i="8"/>
  <c r="Q13" i="8"/>
  <c r="P13" i="8"/>
  <c r="O13" i="8"/>
  <c r="N13" i="8"/>
  <c r="M13" i="8"/>
  <c r="S12" i="8"/>
  <c r="R12" i="8"/>
  <c r="Q12" i="8"/>
  <c r="P12" i="8"/>
  <c r="O12" i="8"/>
  <c r="N12" i="8"/>
  <c r="M12" i="8"/>
  <c r="S11" i="8"/>
  <c r="R11" i="8"/>
  <c r="Q11" i="8"/>
  <c r="P11" i="8"/>
  <c r="O11" i="8"/>
  <c r="N11" i="8"/>
  <c r="M11" i="8"/>
  <c r="S10" i="8"/>
  <c r="R10" i="8"/>
  <c r="Q10" i="8"/>
  <c r="P10" i="8"/>
  <c r="O10" i="8"/>
  <c r="N10" i="8"/>
  <c r="M10" i="8"/>
  <c r="S9" i="8"/>
  <c r="R9" i="8"/>
  <c r="Q9" i="8"/>
  <c r="P9" i="8"/>
  <c r="O9" i="8"/>
  <c r="N9" i="8"/>
  <c r="M9" i="8"/>
  <c r="S8" i="8"/>
  <c r="R8" i="8"/>
  <c r="Q8" i="8"/>
  <c r="P8" i="8"/>
  <c r="O8" i="8"/>
  <c r="N8" i="8"/>
  <c r="M8" i="8"/>
  <c r="S7" i="8"/>
  <c r="R7" i="8"/>
  <c r="Q7" i="8"/>
  <c r="P7" i="8"/>
  <c r="O7" i="8"/>
  <c r="N7" i="8"/>
  <c r="M7" i="8"/>
  <c r="S6" i="8"/>
  <c r="R6" i="8"/>
  <c r="Q6" i="8"/>
  <c r="P6" i="8"/>
  <c r="O6" i="8"/>
  <c r="N6" i="8"/>
  <c r="M6" i="8"/>
  <c r="S5" i="8"/>
  <c r="R5" i="8"/>
  <c r="Q5" i="8"/>
  <c r="P5" i="8"/>
  <c r="O5" i="8"/>
  <c r="N5" i="8"/>
  <c r="M5" i="8"/>
  <c r="S4" i="8"/>
  <c r="R4" i="8"/>
  <c r="Q4" i="8"/>
  <c r="P4" i="8"/>
  <c r="O4" i="8"/>
  <c r="N4" i="8"/>
  <c r="M4" i="8"/>
  <c r="S3" i="8"/>
  <c r="R3" i="8"/>
  <c r="Q3" i="8"/>
  <c r="P3" i="8"/>
  <c r="O3" i="8"/>
  <c r="N3" i="8"/>
  <c r="M3" i="8"/>
  <c r="S2" i="8"/>
  <c r="R2" i="8"/>
  <c r="Q2" i="8"/>
  <c r="P2" i="8"/>
  <c r="O2" i="8"/>
  <c r="N2" i="8"/>
  <c r="M2" i="8"/>
  <c r="U48" i="7"/>
  <c r="T48" i="7"/>
  <c r="S48" i="7"/>
  <c r="R48" i="7"/>
  <c r="Q48" i="7"/>
  <c r="P48" i="7"/>
  <c r="O48" i="7"/>
  <c r="N48" i="7"/>
  <c r="M48" i="7"/>
  <c r="U47" i="7"/>
  <c r="T47" i="7"/>
  <c r="S47" i="7"/>
  <c r="R47" i="7"/>
  <c r="Q47" i="7"/>
  <c r="P47" i="7"/>
  <c r="O47" i="7"/>
  <c r="N47" i="7"/>
  <c r="M47" i="7"/>
  <c r="U46" i="7"/>
  <c r="T46" i="7"/>
  <c r="S46" i="7"/>
  <c r="R46" i="7"/>
  <c r="Q46" i="7"/>
  <c r="P46" i="7"/>
  <c r="O46" i="7"/>
  <c r="N46" i="7"/>
  <c r="M46" i="7"/>
  <c r="U45" i="7"/>
  <c r="T45" i="7"/>
  <c r="S45" i="7"/>
  <c r="R45" i="7"/>
  <c r="Q45" i="7"/>
  <c r="P45" i="7"/>
  <c r="O45" i="7"/>
  <c r="N45" i="7"/>
  <c r="M45" i="7"/>
  <c r="U44" i="7"/>
  <c r="T44" i="7"/>
  <c r="S44" i="7"/>
  <c r="R44" i="7"/>
  <c r="Q44" i="7"/>
  <c r="P44" i="7"/>
  <c r="O44" i="7"/>
  <c r="N44" i="7"/>
  <c r="M44" i="7"/>
  <c r="U43" i="7"/>
  <c r="T43" i="7"/>
  <c r="S43" i="7"/>
  <c r="R43" i="7"/>
  <c r="Q43" i="7"/>
  <c r="P43" i="7"/>
  <c r="O43" i="7"/>
  <c r="N43" i="7"/>
  <c r="M43" i="7"/>
  <c r="U42" i="7"/>
  <c r="T42" i="7"/>
  <c r="S42" i="7"/>
  <c r="R42" i="7"/>
  <c r="Q42" i="7"/>
  <c r="P42" i="7"/>
  <c r="O42" i="7"/>
  <c r="N42" i="7"/>
  <c r="M42" i="7"/>
  <c r="U41" i="7"/>
  <c r="T41" i="7"/>
  <c r="S41" i="7"/>
  <c r="R41" i="7"/>
  <c r="Q41" i="7"/>
  <c r="P41" i="7"/>
  <c r="O41" i="7"/>
  <c r="N41" i="7"/>
  <c r="M41" i="7"/>
  <c r="U40" i="7"/>
  <c r="T40" i="7"/>
  <c r="S40" i="7"/>
  <c r="R40" i="7"/>
  <c r="Q40" i="7"/>
  <c r="P40" i="7"/>
  <c r="O40" i="7"/>
  <c r="N40" i="7"/>
  <c r="M40" i="7"/>
  <c r="U39" i="7"/>
  <c r="T39" i="7"/>
  <c r="S39" i="7"/>
  <c r="R39" i="7"/>
  <c r="Q39" i="7"/>
  <c r="P39" i="7"/>
  <c r="O39" i="7"/>
  <c r="N39" i="7"/>
  <c r="M39" i="7"/>
  <c r="U38" i="7"/>
  <c r="T38" i="7"/>
  <c r="S38" i="7"/>
  <c r="R38" i="7"/>
  <c r="Q38" i="7"/>
  <c r="P38" i="7"/>
  <c r="O38" i="7"/>
  <c r="N38" i="7"/>
  <c r="M38" i="7"/>
  <c r="U37" i="7"/>
  <c r="T37" i="7"/>
  <c r="S37" i="7"/>
  <c r="R37" i="7"/>
  <c r="Q37" i="7"/>
  <c r="P37" i="7"/>
  <c r="O37" i="7"/>
  <c r="N37" i="7"/>
  <c r="M37" i="7"/>
  <c r="U36" i="7"/>
  <c r="T36" i="7"/>
  <c r="S36" i="7"/>
  <c r="R36" i="7"/>
  <c r="Q36" i="7"/>
  <c r="P36" i="7"/>
  <c r="O36" i="7"/>
  <c r="N36" i="7"/>
  <c r="M36" i="7"/>
  <c r="U35" i="7"/>
  <c r="T35" i="7"/>
  <c r="S35" i="7"/>
  <c r="R35" i="7"/>
  <c r="Q35" i="7"/>
  <c r="P35" i="7"/>
  <c r="O35" i="7"/>
  <c r="N35" i="7"/>
  <c r="M35" i="7"/>
  <c r="U34" i="7"/>
  <c r="T34" i="7"/>
  <c r="S34" i="7"/>
  <c r="R34" i="7"/>
  <c r="Q34" i="7"/>
  <c r="P34" i="7"/>
  <c r="O34" i="7"/>
  <c r="N34" i="7"/>
  <c r="M34" i="7"/>
  <c r="U33" i="7"/>
  <c r="T33" i="7"/>
  <c r="S33" i="7"/>
  <c r="R33" i="7"/>
  <c r="Q33" i="7"/>
  <c r="P33" i="7"/>
  <c r="O33" i="7"/>
  <c r="N33" i="7"/>
  <c r="M33" i="7"/>
  <c r="U32" i="7"/>
  <c r="T32" i="7"/>
  <c r="S32" i="7"/>
  <c r="R32" i="7"/>
  <c r="Q32" i="7"/>
  <c r="P32" i="7"/>
  <c r="O32" i="7"/>
  <c r="N32" i="7"/>
  <c r="M32" i="7"/>
  <c r="U31" i="7"/>
  <c r="T31" i="7"/>
  <c r="S31" i="7"/>
  <c r="R31" i="7"/>
  <c r="Q31" i="7"/>
  <c r="P31" i="7"/>
  <c r="O31" i="7"/>
  <c r="N31" i="7"/>
  <c r="M31" i="7"/>
  <c r="U30" i="7"/>
  <c r="T30" i="7"/>
  <c r="S30" i="7"/>
  <c r="R30" i="7"/>
  <c r="Q30" i="7"/>
  <c r="P30" i="7"/>
  <c r="O30" i="7"/>
  <c r="N30" i="7"/>
  <c r="M30" i="7"/>
  <c r="U29" i="7"/>
  <c r="T29" i="7"/>
  <c r="S29" i="7"/>
  <c r="R29" i="7"/>
  <c r="Q29" i="7"/>
  <c r="P29" i="7"/>
  <c r="O29" i="7"/>
  <c r="N29" i="7"/>
  <c r="M29" i="7"/>
  <c r="U28" i="7"/>
  <c r="T28" i="7"/>
  <c r="S28" i="7"/>
  <c r="R28" i="7"/>
  <c r="Q28" i="7"/>
  <c r="P28" i="7"/>
  <c r="O28" i="7"/>
  <c r="N28" i="7"/>
  <c r="M28" i="7"/>
  <c r="U27" i="7"/>
  <c r="T27" i="7"/>
  <c r="S27" i="7"/>
  <c r="R27" i="7"/>
  <c r="Q27" i="7"/>
  <c r="P27" i="7"/>
  <c r="O27" i="7"/>
  <c r="N27" i="7"/>
  <c r="M27" i="7"/>
  <c r="U26" i="7"/>
  <c r="T26" i="7"/>
  <c r="S26" i="7"/>
  <c r="R26" i="7"/>
  <c r="Q26" i="7"/>
  <c r="P26" i="7"/>
  <c r="O26" i="7"/>
  <c r="N26" i="7"/>
  <c r="M26" i="7"/>
  <c r="U25" i="7"/>
  <c r="T25" i="7"/>
  <c r="S25" i="7"/>
  <c r="R25" i="7"/>
  <c r="Q25" i="7"/>
  <c r="P25" i="7"/>
  <c r="O25" i="7"/>
  <c r="N25" i="7"/>
  <c r="M25" i="7"/>
  <c r="U24" i="7"/>
  <c r="T24" i="7"/>
  <c r="S24" i="7"/>
  <c r="R24" i="7"/>
  <c r="Q24" i="7"/>
  <c r="P24" i="7"/>
  <c r="O24" i="7"/>
  <c r="N24" i="7"/>
  <c r="M24" i="7"/>
  <c r="U23" i="7"/>
  <c r="T23" i="7"/>
  <c r="S23" i="7"/>
  <c r="R23" i="7"/>
  <c r="Q23" i="7"/>
  <c r="P23" i="7"/>
  <c r="O23" i="7"/>
  <c r="N23" i="7"/>
  <c r="M23" i="7"/>
  <c r="U22" i="7"/>
  <c r="T22" i="7"/>
  <c r="S22" i="7"/>
  <c r="R22" i="7"/>
  <c r="Q22" i="7"/>
  <c r="P22" i="7"/>
  <c r="O22" i="7"/>
  <c r="N22" i="7"/>
  <c r="M22" i="7"/>
  <c r="U21" i="7"/>
  <c r="T21" i="7"/>
  <c r="S21" i="7"/>
  <c r="R21" i="7"/>
  <c r="Q21" i="7"/>
  <c r="P21" i="7"/>
  <c r="O21" i="7"/>
  <c r="N21" i="7"/>
  <c r="M21" i="7"/>
  <c r="U20" i="7"/>
  <c r="T20" i="7"/>
  <c r="S20" i="7"/>
  <c r="R20" i="7"/>
  <c r="Q20" i="7"/>
  <c r="P20" i="7"/>
  <c r="O20" i="7"/>
  <c r="N20" i="7"/>
  <c r="M20" i="7"/>
  <c r="U19" i="7"/>
  <c r="T19" i="7"/>
  <c r="S19" i="7"/>
  <c r="R19" i="7"/>
  <c r="Q19" i="7"/>
  <c r="P19" i="7"/>
  <c r="O19" i="7"/>
  <c r="N19" i="7"/>
  <c r="M19" i="7"/>
  <c r="U18" i="7"/>
  <c r="T18" i="7"/>
  <c r="S18" i="7"/>
  <c r="R18" i="7"/>
  <c r="Q18" i="7"/>
  <c r="P18" i="7"/>
  <c r="O18" i="7"/>
  <c r="N18" i="7"/>
  <c r="M18" i="7"/>
  <c r="U17" i="7"/>
  <c r="T17" i="7"/>
  <c r="S17" i="7"/>
  <c r="R17" i="7"/>
  <c r="Q17" i="7"/>
  <c r="P17" i="7"/>
  <c r="O17" i="7"/>
  <c r="N17" i="7"/>
  <c r="M17" i="7"/>
  <c r="U16" i="7"/>
  <c r="T16" i="7"/>
  <c r="S16" i="7"/>
  <c r="R16" i="7"/>
  <c r="Q16" i="7"/>
  <c r="P16" i="7"/>
  <c r="O16" i="7"/>
  <c r="N16" i="7"/>
  <c r="M16" i="7"/>
  <c r="U15" i="7"/>
  <c r="T15" i="7"/>
  <c r="S15" i="7"/>
  <c r="R15" i="7"/>
  <c r="Q15" i="7"/>
  <c r="P15" i="7"/>
  <c r="O15" i="7"/>
  <c r="N15" i="7"/>
  <c r="M15" i="7"/>
  <c r="U14" i="7"/>
  <c r="T14" i="7"/>
  <c r="S14" i="7"/>
  <c r="R14" i="7"/>
  <c r="Q14" i="7"/>
  <c r="P14" i="7"/>
  <c r="O14" i="7"/>
  <c r="N14" i="7"/>
  <c r="M14" i="7"/>
  <c r="U13" i="7"/>
  <c r="T13" i="7"/>
  <c r="S13" i="7"/>
  <c r="R13" i="7"/>
  <c r="Q13" i="7"/>
  <c r="P13" i="7"/>
  <c r="O13" i="7"/>
  <c r="N13" i="7"/>
  <c r="M13" i="7"/>
  <c r="U12" i="7"/>
  <c r="T12" i="7"/>
  <c r="S12" i="7"/>
  <c r="R12" i="7"/>
  <c r="Q12" i="7"/>
  <c r="P12" i="7"/>
  <c r="O12" i="7"/>
  <c r="N12" i="7"/>
  <c r="M12" i="7"/>
  <c r="U11" i="7"/>
  <c r="T11" i="7"/>
  <c r="S11" i="7"/>
  <c r="R11" i="7"/>
  <c r="Q11" i="7"/>
  <c r="P11" i="7"/>
  <c r="O11" i="7"/>
  <c r="N11" i="7"/>
  <c r="M11" i="7"/>
  <c r="U10" i="7"/>
  <c r="T10" i="7"/>
  <c r="S10" i="7"/>
  <c r="R10" i="7"/>
  <c r="Q10" i="7"/>
  <c r="P10" i="7"/>
  <c r="O10" i="7"/>
  <c r="N10" i="7"/>
  <c r="M10" i="7"/>
  <c r="U9" i="7"/>
  <c r="T9" i="7"/>
  <c r="S9" i="7"/>
  <c r="R9" i="7"/>
  <c r="Q9" i="7"/>
  <c r="P9" i="7"/>
  <c r="O9" i="7"/>
  <c r="N9" i="7"/>
  <c r="M9" i="7"/>
  <c r="U8" i="7"/>
  <c r="T8" i="7"/>
  <c r="S8" i="7"/>
  <c r="R8" i="7"/>
  <c r="Q8" i="7"/>
  <c r="P8" i="7"/>
  <c r="O8" i="7"/>
  <c r="N8" i="7"/>
  <c r="M8" i="7"/>
  <c r="U7" i="7"/>
  <c r="T7" i="7"/>
  <c r="S7" i="7"/>
  <c r="R7" i="7"/>
  <c r="Q7" i="7"/>
  <c r="P7" i="7"/>
  <c r="O7" i="7"/>
  <c r="N7" i="7"/>
  <c r="M7" i="7"/>
  <c r="U6" i="7"/>
  <c r="T6" i="7"/>
  <c r="S6" i="7"/>
  <c r="R6" i="7"/>
  <c r="Q6" i="7"/>
  <c r="P6" i="7"/>
  <c r="O6" i="7"/>
  <c r="N6" i="7"/>
  <c r="M6" i="7"/>
  <c r="U5" i="7"/>
  <c r="T5" i="7"/>
  <c r="S5" i="7"/>
  <c r="R5" i="7"/>
  <c r="Q5" i="7"/>
  <c r="P5" i="7"/>
  <c r="O5" i="7"/>
  <c r="N5" i="7"/>
  <c r="M5" i="7"/>
  <c r="U4" i="7"/>
  <c r="T4" i="7"/>
  <c r="S4" i="7"/>
  <c r="R4" i="7"/>
  <c r="Q4" i="7"/>
  <c r="P4" i="7"/>
  <c r="O4" i="7"/>
  <c r="N4" i="7"/>
  <c r="M4" i="7"/>
  <c r="U3" i="7"/>
  <c r="T3" i="7"/>
  <c r="S3" i="7"/>
  <c r="R3" i="7"/>
  <c r="Q3" i="7"/>
  <c r="P3" i="7"/>
  <c r="O3" i="7"/>
  <c r="N3" i="7"/>
  <c r="M3" i="7"/>
  <c r="U2" i="7"/>
  <c r="T2" i="7"/>
  <c r="S2" i="7"/>
  <c r="R2" i="7"/>
  <c r="Q2" i="7"/>
  <c r="P2" i="7"/>
  <c r="O2" i="7"/>
  <c r="N2" i="7"/>
  <c r="M2" i="7"/>
  <c r="M3" i="6"/>
  <c r="N3" i="6"/>
  <c r="O3" i="6"/>
  <c r="P3" i="6"/>
  <c r="Q3" i="6"/>
  <c r="R3" i="6"/>
  <c r="S3" i="6"/>
  <c r="M4" i="6"/>
  <c r="N4" i="6"/>
  <c r="O4" i="6"/>
  <c r="P4" i="6"/>
  <c r="Q4" i="6"/>
  <c r="R4" i="6"/>
  <c r="S4" i="6"/>
  <c r="M5" i="6"/>
  <c r="N5" i="6"/>
  <c r="O5" i="6"/>
  <c r="P5" i="6"/>
  <c r="Q5" i="6"/>
  <c r="R5" i="6"/>
  <c r="S5" i="6"/>
  <c r="M6" i="6"/>
  <c r="N6" i="6"/>
  <c r="O6" i="6"/>
  <c r="P6" i="6"/>
  <c r="Q6" i="6"/>
  <c r="R6" i="6"/>
  <c r="S6" i="6"/>
  <c r="M7" i="6"/>
  <c r="N7" i="6"/>
  <c r="O7" i="6"/>
  <c r="P7" i="6"/>
  <c r="Q7" i="6"/>
  <c r="R7" i="6"/>
  <c r="S7" i="6"/>
  <c r="M8" i="6"/>
  <c r="N8" i="6"/>
  <c r="O8" i="6"/>
  <c r="P8" i="6"/>
  <c r="Q8" i="6"/>
  <c r="R8" i="6"/>
  <c r="S8" i="6"/>
  <c r="M9" i="6"/>
  <c r="N9" i="6"/>
  <c r="O9" i="6"/>
  <c r="P9" i="6"/>
  <c r="Q9" i="6"/>
  <c r="R9" i="6"/>
  <c r="S9" i="6"/>
  <c r="M10" i="6"/>
  <c r="N10" i="6"/>
  <c r="O10" i="6"/>
  <c r="P10" i="6"/>
  <c r="Q10" i="6"/>
  <c r="R10" i="6"/>
  <c r="S10" i="6"/>
  <c r="M11" i="6"/>
  <c r="N11" i="6"/>
  <c r="O11" i="6"/>
  <c r="P11" i="6"/>
  <c r="Q11" i="6"/>
  <c r="R11" i="6"/>
  <c r="S11" i="6"/>
  <c r="M12" i="6"/>
  <c r="N12" i="6"/>
  <c r="O12" i="6"/>
  <c r="P12" i="6"/>
  <c r="Q12" i="6"/>
  <c r="R12" i="6"/>
  <c r="S12" i="6"/>
  <c r="M13" i="6"/>
  <c r="N13" i="6"/>
  <c r="O13" i="6"/>
  <c r="P13" i="6"/>
  <c r="Q13" i="6"/>
  <c r="R13" i="6"/>
  <c r="S13" i="6"/>
  <c r="M14" i="6"/>
  <c r="N14" i="6"/>
  <c r="O14" i="6"/>
  <c r="P14" i="6"/>
  <c r="Q14" i="6"/>
  <c r="R14" i="6"/>
  <c r="S14" i="6"/>
  <c r="M15" i="6"/>
  <c r="N15" i="6"/>
  <c r="O15" i="6"/>
  <c r="P15" i="6"/>
  <c r="Q15" i="6"/>
  <c r="R15" i="6"/>
  <c r="S15" i="6"/>
  <c r="M16" i="6"/>
  <c r="N16" i="6"/>
  <c r="O16" i="6"/>
  <c r="P16" i="6"/>
  <c r="Q16" i="6"/>
  <c r="R16" i="6"/>
  <c r="S16" i="6"/>
  <c r="M17" i="6"/>
  <c r="N17" i="6"/>
  <c r="O17" i="6"/>
  <c r="P17" i="6"/>
  <c r="Q17" i="6"/>
  <c r="R17" i="6"/>
  <c r="S17" i="6"/>
  <c r="M18" i="6"/>
  <c r="N18" i="6"/>
  <c r="O18" i="6"/>
  <c r="P18" i="6"/>
  <c r="Q18" i="6"/>
  <c r="R18" i="6"/>
  <c r="S18" i="6"/>
  <c r="M19" i="6"/>
  <c r="N19" i="6"/>
  <c r="O19" i="6"/>
  <c r="P19" i="6"/>
  <c r="Q19" i="6"/>
  <c r="R19" i="6"/>
  <c r="S19" i="6"/>
  <c r="M20" i="6"/>
  <c r="N20" i="6"/>
  <c r="O20" i="6"/>
  <c r="P20" i="6"/>
  <c r="Q20" i="6"/>
  <c r="R20" i="6"/>
  <c r="S20" i="6"/>
  <c r="M21" i="6"/>
  <c r="N21" i="6"/>
  <c r="O21" i="6"/>
  <c r="P21" i="6"/>
  <c r="Q21" i="6"/>
  <c r="R21" i="6"/>
  <c r="S21" i="6"/>
  <c r="M22" i="6"/>
  <c r="N22" i="6"/>
  <c r="O22" i="6"/>
  <c r="P22" i="6"/>
  <c r="Q22" i="6"/>
  <c r="R22" i="6"/>
  <c r="S22" i="6"/>
  <c r="M23" i="6"/>
  <c r="N23" i="6"/>
  <c r="O23" i="6"/>
  <c r="P23" i="6"/>
  <c r="Q23" i="6"/>
  <c r="R23" i="6"/>
  <c r="S23" i="6"/>
  <c r="M24" i="6"/>
  <c r="N24" i="6"/>
  <c r="O24" i="6"/>
  <c r="P24" i="6"/>
  <c r="Q24" i="6"/>
  <c r="R24" i="6"/>
  <c r="S24" i="6"/>
  <c r="M25" i="6"/>
  <c r="N25" i="6"/>
  <c r="O25" i="6"/>
  <c r="P25" i="6"/>
  <c r="Q25" i="6"/>
  <c r="R25" i="6"/>
  <c r="S25" i="6"/>
  <c r="M26" i="6"/>
  <c r="N26" i="6"/>
  <c r="O26" i="6"/>
  <c r="P26" i="6"/>
  <c r="Q26" i="6"/>
  <c r="R26" i="6"/>
  <c r="S26" i="6"/>
  <c r="M27" i="6"/>
  <c r="N27" i="6"/>
  <c r="O27" i="6"/>
  <c r="P27" i="6"/>
  <c r="Q27" i="6"/>
  <c r="R27" i="6"/>
  <c r="S27" i="6"/>
  <c r="M28" i="6"/>
  <c r="N28" i="6"/>
  <c r="O28" i="6"/>
  <c r="P28" i="6"/>
  <c r="Q28" i="6"/>
  <c r="R28" i="6"/>
  <c r="S28" i="6"/>
  <c r="M29" i="6"/>
  <c r="N29" i="6"/>
  <c r="O29" i="6"/>
  <c r="P29" i="6"/>
  <c r="Q29" i="6"/>
  <c r="R29" i="6"/>
  <c r="S29" i="6"/>
  <c r="M30" i="6"/>
  <c r="N30" i="6"/>
  <c r="O30" i="6"/>
  <c r="P30" i="6"/>
  <c r="Q30" i="6"/>
  <c r="R30" i="6"/>
  <c r="S30" i="6"/>
  <c r="M31" i="6"/>
  <c r="N31" i="6"/>
  <c r="O31" i="6"/>
  <c r="P31" i="6"/>
  <c r="Q31" i="6"/>
  <c r="R31" i="6"/>
  <c r="S31" i="6"/>
  <c r="M32" i="6"/>
  <c r="N32" i="6"/>
  <c r="O32" i="6"/>
  <c r="P32" i="6"/>
  <c r="Q32" i="6"/>
  <c r="R32" i="6"/>
  <c r="S32" i="6"/>
  <c r="M33" i="6"/>
  <c r="N33" i="6"/>
  <c r="O33" i="6"/>
  <c r="P33" i="6"/>
  <c r="Q33" i="6"/>
  <c r="R33" i="6"/>
  <c r="S33" i="6"/>
  <c r="M34" i="6"/>
  <c r="N34" i="6"/>
  <c r="O34" i="6"/>
  <c r="P34" i="6"/>
  <c r="Q34" i="6"/>
  <c r="R34" i="6"/>
  <c r="S34" i="6"/>
  <c r="M35" i="6"/>
  <c r="N35" i="6"/>
  <c r="O35" i="6"/>
  <c r="P35" i="6"/>
  <c r="Q35" i="6"/>
  <c r="R35" i="6"/>
  <c r="S35" i="6"/>
  <c r="M36" i="6"/>
  <c r="N36" i="6"/>
  <c r="O36" i="6"/>
  <c r="P36" i="6"/>
  <c r="Q36" i="6"/>
  <c r="R36" i="6"/>
  <c r="S36" i="6"/>
  <c r="M37" i="6"/>
  <c r="N37" i="6"/>
  <c r="O37" i="6"/>
  <c r="P37" i="6"/>
  <c r="Q37" i="6"/>
  <c r="R37" i="6"/>
  <c r="S37" i="6"/>
  <c r="M38" i="6"/>
  <c r="N38" i="6"/>
  <c r="O38" i="6"/>
  <c r="P38" i="6"/>
  <c r="Q38" i="6"/>
  <c r="R38" i="6"/>
  <c r="S38" i="6"/>
  <c r="M39" i="6"/>
  <c r="N39" i="6"/>
  <c r="O39" i="6"/>
  <c r="P39" i="6"/>
  <c r="Q39" i="6"/>
  <c r="R39" i="6"/>
  <c r="S39" i="6"/>
  <c r="M40" i="6"/>
  <c r="N40" i="6"/>
  <c r="O40" i="6"/>
  <c r="P40" i="6"/>
  <c r="Q40" i="6"/>
  <c r="R40" i="6"/>
  <c r="S40" i="6"/>
  <c r="M41" i="6"/>
  <c r="N41" i="6"/>
  <c r="O41" i="6"/>
  <c r="P41" i="6"/>
  <c r="Q41" i="6"/>
  <c r="R41" i="6"/>
  <c r="S41" i="6"/>
  <c r="M42" i="6"/>
  <c r="N42" i="6"/>
  <c r="O42" i="6"/>
  <c r="P42" i="6"/>
  <c r="Q42" i="6"/>
  <c r="R42" i="6"/>
  <c r="S42" i="6"/>
  <c r="M43" i="6"/>
  <c r="N43" i="6"/>
  <c r="O43" i="6"/>
  <c r="P43" i="6"/>
  <c r="Q43" i="6"/>
  <c r="R43" i="6"/>
  <c r="S43" i="6"/>
  <c r="M44" i="6"/>
  <c r="N44" i="6"/>
  <c r="O44" i="6"/>
  <c r="P44" i="6"/>
  <c r="Q44" i="6"/>
  <c r="R44" i="6"/>
  <c r="S44" i="6"/>
  <c r="M45" i="6"/>
  <c r="N45" i="6"/>
  <c r="O45" i="6"/>
  <c r="P45" i="6"/>
  <c r="Q45" i="6"/>
  <c r="R45" i="6"/>
  <c r="S45" i="6"/>
  <c r="M46" i="6"/>
  <c r="N46" i="6"/>
  <c r="O46" i="6"/>
  <c r="P46" i="6"/>
  <c r="Q46" i="6"/>
  <c r="R46" i="6"/>
  <c r="S46" i="6"/>
  <c r="M47" i="6"/>
  <c r="N47" i="6"/>
  <c r="O47" i="6"/>
  <c r="P47" i="6"/>
  <c r="Q47" i="6"/>
  <c r="R47" i="6"/>
  <c r="S47" i="6"/>
  <c r="M48" i="6"/>
  <c r="N48" i="6"/>
  <c r="O48" i="6"/>
  <c r="P48" i="6"/>
  <c r="Q48" i="6"/>
  <c r="R48" i="6"/>
  <c r="S48" i="6"/>
  <c r="N2" i="6"/>
  <c r="O2" i="6"/>
  <c r="P2" i="6"/>
  <c r="Q2" i="6"/>
  <c r="R2" i="6"/>
  <c r="S2" i="6"/>
  <c r="M2" i="6"/>
  <c r="M3" i="4"/>
  <c r="N3" i="4"/>
  <c r="O3" i="4"/>
  <c r="P3" i="4"/>
  <c r="Q3" i="4"/>
  <c r="R3" i="4"/>
  <c r="S3" i="4"/>
  <c r="T3" i="4"/>
  <c r="M4" i="4"/>
  <c r="N4" i="4"/>
  <c r="O4" i="4"/>
  <c r="P4" i="4"/>
  <c r="Q4" i="4"/>
  <c r="R4" i="4"/>
  <c r="S4" i="4"/>
  <c r="T4" i="4"/>
  <c r="M5" i="4"/>
  <c r="N5" i="4"/>
  <c r="O5" i="4"/>
  <c r="P5" i="4"/>
  <c r="Q5" i="4"/>
  <c r="R5" i="4"/>
  <c r="S5" i="4"/>
  <c r="T5" i="4"/>
  <c r="M6" i="4"/>
  <c r="N6" i="4"/>
  <c r="O6" i="4"/>
  <c r="P6" i="4"/>
  <c r="Q6" i="4"/>
  <c r="R6" i="4"/>
  <c r="S6" i="4"/>
  <c r="T6" i="4"/>
  <c r="M7" i="4"/>
  <c r="N7" i="4"/>
  <c r="O7" i="4"/>
  <c r="P7" i="4"/>
  <c r="Q7" i="4"/>
  <c r="R7" i="4"/>
  <c r="S7" i="4"/>
  <c r="T7" i="4"/>
  <c r="M8" i="4"/>
  <c r="N8" i="4"/>
  <c r="O8" i="4"/>
  <c r="P8" i="4"/>
  <c r="Q8" i="4"/>
  <c r="R8" i="4"/>
  <c r="S8" i="4"/>
  <c r="T8" i="4"/>
  <c r="M9" i="4"/>
  <c r="N9" i="4"/>
  <c r="O9" i="4"/>
  <c r="P9" i="4"/>
  <c r="Q9" i="4"/>
  <c r="R9" i="4"/>
  <c r="S9" i="4"/>
  <c r="T9" i="4"/>
  <c r="M10" i="4"/>
  <c r="N10" i="4"/>
  <c r="O10" i="4"/>
  <c r="P10" i="4"/>
  <c r="Q10" i="4"/>
  <c r="R10" i="4"/>
  <c r="S10" i="4"/>
  <c r="T10" i="4"/>
  <c r="M11" i="4"/>
  <c r="N11" i="4"/>
  <c r="O11" i="4"/>
  <c r="P11" i="4"/>
  <c r="Q11" i="4"/>
  <c r="R11" i="4"/>
  <c r="S11" i="4"/>
  <c r="T11" i="4"/>
  <c r="M12" i="4"/>
  <c r="N12" i="4"/>
  <c r="O12" i="4"/>
  <c r="P12" i="4"/>
  <c r="Q12" i="4"/>
  <c r="R12" i="4"/>
  <c r="S12" i="4"/>
  <c r="T12" i="4"/>
  <c r="M13" i="4"/>
  <c r="N13" i="4"/>
  <c r="O13" i="4"/>
  <c r="P13" i="4"/>
  <c r="Q13" i="4"/>
  <c r="R13" i="4"/>
  <c r="S13" i="4"/>
  <c r="T13" i="4"/>
  <c r="M14" i="4"/>
  <c r="N14" i="4"/>
  <c r="O14" i="4"/>
  <c r="P14" i="4"/>
  <c r="Q14" i="4"/>
  <c r="R14" i="4"/>
  <c r="S14" i="4"/>
  <c r="T14" i="4"/>
  <c r="M15" i="4"/>
  <c r="N15" i="4"/>
  <c r="O15" i="4"/>
  <c r="P15" i="4"/>
  <c r="Q15" i="4"/>
  <c r="R15" i="4"/>
  <c r="S15" i="4"/>
  <c r="T15" i="4"/>
  <c r="M16" i="4"/>
  <c r="N16" i="4"/>
  <c r="O16" i="4"/>
  <c r="P16" i="4"/>
  <c r="Q16" i="4"/>
  <c r="R16" i="4"/>
  <c r="S16" i="4"/>
  <c r="T16" i="4"/>
  <c r="M17" i="4"/>
  <c r="N17" i="4"/>
  <c r="O17" i="4"/>
  <c r="P17" i="4"/>
  <c r="Q17" i="4"/>
  <c r="R17" i="4"/>
  <c r="S17" i="4"/>
  <c r="T17" i="4"/>
  <c r="M18" i="4"/>
  <c r="N18" i="4"/>
  <c r="O18" i="4"/>
  <c r="P18" i="4"/>
  <c r="Q18" i="4"/>
  <c r="R18" i="4"/>
  <c r="S18" i="4"/>
  <c r="T18" i="4"/>
  <c r="M19" i="4"/>
  <c r="N19" i="4"/>
  <c r="O19" i="4"/>
  <c r="P19" i="4"/>
  <c r="Q19" i="4"/>
  <c r="R19" i="4"/>
  <c r="S19" i="4"/>
  <c r="T19" i="4"/>
  <c r="M20" i="4"/>
  <c r="N20" i="4"/>
  <c r="O20" i="4"/>
  <c r="P20" i="4"/>
  <c r="Q20" i="4"/>
  <c r="R20" i="4"/>
  <c r="S20" i="4"/>
  <c r="T20" i="4"/>
  <c r="M21" i="4"/>
  <c r="N21" i="4"/>
  <c r="O21" i="4"/>
  <c r="P21" i="4"/>
  <c r="Q21" i="4"/>
  <c r="R21" i="4"/>
  <c r="S21" i="4"/>
  <c r="T21" i="4"/>
  <c r="M22" i="4"/>
  <c r="N22" i="4"/>
  <c r="O22" i="4"/>
  <c r="P22" i="4"/>
  <c r="Q22" i="4"/>
  <c r="R22" i="4"/>
  <c r="S22" i="4"/>
  <c r="T22" i="4"/>
  <c r="M23" i="4"/>
  <c r="N23" i="4"/>
  <c r="O23" i="4"/>
  <c r="P23" i="4"/>
  <c r="Q23" i="4"/>
  <c r="R23" i="4"/>
  <c r="S23" i="4"/>
  <c r="T23" i="4"/>
  <c r="M24" i="4"/>
  <c r="N24" i="4"/>
  <c r="O24" i="4"/>
  <c r="P24" i="4"/>
  <c r="Q24" i="4"/>
  <c r="R24" i="4"/>
  <c r="S24" i="4"/>
  <c r="T24" i="4"/>
  <c r="M25" i="4"/>
  <c r="N25" i="4"/>
  <c r="O25" i="4"/>
  <c r="P25" i="4"/>
  <c r="Q25" i="4"/>
  <c r="R25" i="4"/>
  <c r="S25" i="4"/>
  <c r="T25" i="4"/>
  <c r="M26" i="4"/>
  <c r="N26" i="4"/>
  <c r="O26" i="4"/>
  <c r="P26" i="4"/>
  <c r="Q26" i="4"/>
  <c r="R26" i="4"/>
  <c r="S26" i="4"/>
  <c r="T26" i="4"/>
  <c r="M27" i="4"/>
  <c r="N27" i="4"/>
  <c r="O27" i="4"/>
  <c r="P27" i="4"/>
  <c r="Q27" i="4"/>
  <c r="R27" i="4"/>
  <c r="S27" i="4"/>
  <c r="T27" i="4"/>
  <c r="M28" i="4"/>
  <c r="N28" i="4"/>
  <c r="O28" i="4"/>
  <c r="P28" i="4"/>
  <c r="Q28" i="4"/>
  <c r="R28" i="4"/>
  <c r="S28" i="4"/>
  <c r="T28" i="4"/>
  <c r="M29" i="4"/>
  <c r="N29" i="4"/>
  <c r="O29" i="4"/>
  <c r="P29" i="4"/>
  <c r="Q29" i="4"/>
  <c r="R29" i="4"/>
  <c r="S29" i="4"/>
  <c r="T29" i="4"/>
  <c r="M30" i="4"/>
  <c r="N30" i="4"/>
  <c r="O30" i="4"/>
  <c r="P30" i="4"/>
  <c r="Q30" i="4"/>
  <c r="R30" i="4"/>
  <c r="S30" i="4"/>
  <c r="T30" i="4"/>
  <c r="M31" i="4"/>
  <c r="N31" i="4"/>
  <c r="O31" i="4"/>
  <c r="P31" i="4"/>
  <c r="Q31" i="4"/>
  <c r="R31" i="4"/>
  <c r="S31" i="4"/>
  <c r="T31" i="4"/>
  <c r="M32" i="4"/>
  <c r="N32" i="4"/>
  <c r="O32" i="4"/>
  <c r="P32" i="4"/>
  <c r="Q32" i="4"/>
  <c r="R32" i="4"/>
  <c r="S32" i="4"/>
  <c r="T32" i="4"/>
  <c r="M33" i="4"/>
  <c r="N33" i="4"/>
  <c r="O33" i="4"/>
  <c r="P33" i="4"/>
  <c r="Q33" i="4"/>
  <c r="R33" i="4"/>
  <c r="S33" i="4"/>
  <c r="T33" i="4"/>
  <c r="M34" i="4"/>
  <c r="N34" i="4"/>
  <c r="O34" i="4"/>
  <c r="P34" i="4"/>
  <c r="Q34" i="4"/>
  <c r="R34" i="4"/>
  <c r="S34" i="4"/>
  <c r="T34" i="4"/>
  <c r="M35" i="4"/>
  <c r="N35" i="4"/>
  <c r="O35" i="4"/>
  <c r="P35" i="4"/>
  <c r="Q35" i="4"/>
  <c r="R35" i="4"/>
  <c r="S35" i="4"/>
  <c r="T35" i="4"/>
  <c r="M36" i="4"/>
  <c r="N36" i="4"/>
  <c r="O36" i="4"/>
  <c r="P36" i="4"/>
  <c r="Q36" i="4"/>
  <c r="R36" i="4"/>
  <c r="S36" i="4"/>
  <c r="T36" i="4"/>
  <c r="M37" i="4"/>
  <c r="N37" i="4"/>
  <c r="O37" i="4"/>
  <c r="P37" i="4"/>
  <c r="Q37" i="4"/>
  <c r="R37" i="4"/>
  <c r="S37" i="4"/>
  <c r="T37" i="4"/>
  <c r="M38" i="4"/>
  <c r="N38" i="4"/>
  <c r="O38" i="4"/>
  <c r="P38" i="4"/>
  <c r="Q38" i="4"/>
  <c r="R38" i="4"/>
  <c r="S38" i="4"/>
  <c r="T38" i="4"/>
  <c r="M39" i="4"/>
  <c r="N39" i="4"/>
  <c r="O39" i="4"/>
  <c r="P39" i="4"/>
  <c r="Q39" i="4"/>
  <c r="R39" i="4"/>
  <c r="S39" i="4"/>
  <c r="T39" i="4"/>
  <c r="M40" i="4"/>
  <c r="N40" i="4"/>
  <c r="O40" i="4"/>
  <c r="P40" i="4"/>
  <c r="Q40" i="4"/>
  <c r="R40" i="4"/>
  <c r="S40" i="4"/>
  <c r="T40" i="4"/>
  <c r="M41" i="4"/>
  <c r="N41" i="4"/>
  <c r="O41" i="4"/>
  <c r="P41" i="4"/>
  <c r="Q41" i="4"/>
  <c r="R41" i="4"/>
  <c r="S41" i="4"/>
  <c r="T41" i="4"/>
  <c r="M42" i="4"/>
  <c r="N42" i="4"/>
  <c r="O42" i="4"/>
  <c r="P42" i="4"/>
  <c r="Q42" i="4"/>
  <c r="R42" i="4"/>
  <c r="S42" i="4"/>
  <c r="T42" i="4"/>
  <c r="M43" i="4"/>
  <c r="N43" i="4"/>
  <c r="O43" i="4"/>
  <c r="P43" i="4"/>
  <c r="Q43" i="4"/>
  <c r="R43" i="4"/>
  <c r="S43" i="4"/>
  <c r="T43" i="4"/>
  <c r="M44" i="4"/>
  <c r="N44" i="4"/>
  <c r="O44" i="4"/>
  <c r="P44" i="4"/>
  <c r="Q44" i="4"/>
  <c r="R44" i="4"/>
  <c r="S44" i="4"/>
  <c r="T44" i="4"/>
  <c r="M45" i="4"/>
  <c r="N45" i="4"/>
  <c r="O45" i="4"/>
  <c r="P45" i="4"/>
  <c r="Q45" i="4"/>
  <c r="R45" i="4"/>
  <c r="S45" i="4"/>
  <c r="T45" i="4"/>
  <c r="M46" i="4"/>
  <c r="N46" i="4"/>
  <c r="O46" i="4"/>
  <c r="P46" i="4"/>
  <c r="Q46" i="4"/>
  <c r="R46" i="4"/>
  <c r="S46" i="4"/>
  <c r="T46" i="4"/>
  <c r="M47" i="4"/>
  <c r="N47" i="4"/>
  <c r="O47" i="4"/>
  <c r="P47" i="4"/>
  <c r="Q47" i="4"/>
  <c r="R47" i="4"/>
  <c r="S47" i="4"/>
  <c r="T47" i="4"/>
  <c r="M48" i="4"/>
  <c r="N48" i="4"/>
  <c r="O48" i="4"/>
  <c r="P48" i="4"/>
  <c r="Q48" i="4"/>
  <c r="R48" i="4"/>
  <c r="S48" i="4"/>
  <c r="T48" i="4"/>
  <c r="N2" i="4"/>
  <c r="O2" i="4"/>
  <c r="P2" i="4"/>
  <c r="Q2" i="4"/>
  <c r="R2" i="4"/>
  <c r="S2" i="4"/>
  <c r="T2" i="4"/>
  <c r="M2" i="4"/>
  <c r="M3" i="3"/>
  <c r="N3" i="3"/>
  <c r="O3" i="3"/>
  <c r="P3" i="3"/>
  <c r="Q3" i="3"/>
  <c r="R3" i="3"/>
  <c r="S3" i="3"/>
  <c r="T3" i="3"/>
  <c r="U3" i="3"/>
  <c r="M4" i="3"/>
  <c r="N4" i="3"/>
  <c r="O4" i="3"/>
  <c r="P4" i="3"/>
  <c r="Q4" i="3"/>
  <c r="R4" i="3"/>
  <c r="S4" i="3"/>
  <c r="T4" i="3"/>
  <c r="U4" i="3"/>
  <c r="M5" i="3"/>
  <c r="N5" i="3"/>
  <c r="O5" i="3"/>
  <c r="P5" i="3"/>
  <c r="Q5" i="3"/>
  <c r="R5" i="3"/>
  <c r="S5" i="3"/>
  <c r="T5" i="3"/>
  <c r="U5" i="3"/>
  <c r="M6" i="3"/>
  <c r="N6" i="3"/>
  <c r="O6" i="3"/>
  <c r="P6" i="3"/>
  <c r="Q6" i="3"/>
  <c r="R6" i="3"/>
  <c r="S6" i="3"/>
  <c r="T6" i="3"/>
  <c r="U6" i="3"/>
  <c r="M7" i="3"/>
  <c r="N7" i="3"/>
  <c r="O7" i="3"/>
  <c r="P7" i="3"/>
  <c r="Q7" i="3"/>
  <c r="R7" i="3"/>
  <c r="S7" i="3"/>
  <c r="T7" i="3"/>
  <c r="U7" i="3"/>
  <c r="M8" i="3"/>
  <c r="N8" i="3"/>
  <c r="O8" i="3"/>
  <c r="P8" i="3"/>
  <c r="Q8" i="3"/>
  <c r="R8" i="3"/>
  <c r="S8" i="3"/>
  <c r="T8" i="3"/>
  <c r="U8" i="3"/>
  <c r="M9" i="3"/>
  <c r="N9" i="3"/>
  <c r="O9" i="3"/>
  <c r="P9" i="3"/>
  <c r="Q9" i="3"/>
  <c r="R9" i="3"/>
  <c r="S9" i="3"/>
  <c r="T9" i="3"/>
  <c r="U9" i="3"/>
  <c r="M10" i="3"/>
  <c r="N10" i="3"/>
  <c r="O10" i="3"/>
  <c r="P10" i="3"/>
  <c r="Q10" i="3"/>
  <c r="R10" i="3"/>
  <c r="S10" i="3"/>
  <c r="T10" i="3"/>
  <c r="U10" i="3"/>
  <c r="M11" i="3"/>
  <c r="N11" i="3"/>
  <c r="O11" i="3"/>
  <c r="P11" i="3"/>
  <c r="Q11" i="3"/>
  <c r="R11" i="3"/>
  <c r="S11" i="3"/>
  <c r="T11" i="3"/>
  <c r="U11" i="3"/>
  <c r="M12" i="3"/>
  <c r="N12" i="3"/>
  <c r="O12" i="3"/>
  <c r="P12" i="3"/>
  <c r="Q12" i="3"/>
  <c r="R12" i="3"/>
  <c r="S12" i="3"/>
  <c r="T12" i="3"/>
  <c r="U12" i="3"/>
  <c r="M13" i="3"/>
  <c r="N13" i="3"/>
  <c r="O13" i="3"/>
  <c r="P13" i="3"/>
  <c r="Q13" i="3"/>
  <c r="R13" i="3"/>
  <c r="S13" i="3"/>
  <c r="T13" i="3"/>
  <c r="U13" i="3"/>
  <c r="M14" i="3"/>
  <c r="N14" i="3"/>
  <c r="O14" i="3"/>
  <c r="P14" i="3"/>
  <c r="Q14" i="3"/>
  <c r="R14" i="3"/>
  <c r="S14" i="3"/>
  <c r="T14" i="3"/>
  <c r="U14" i="3"/>
  <c r="M15" i="3"/>
  <c r="N15" i="3"/>
  <c r="O15" i="3"/>
  <c r="P15" i="3"/>
  <c r="Q15" i="3"/>
  <c r="R15" i="3"/>
  <c r="S15" i="3"/>
  <c r="T15" i="3"/>
  <c r="U15" i="3"/>
  <c r="M16" i="3"/>
  <c r="N16" i="3"/>
  <c r="O16" i="3"/>
  <c r="P16" i="3"/>
  <c r="Q16" i="3"/>
  <c r="R16" i="3"/>
  <c r="S16" i="3"/>
  <c r="T16" i="3"/>
  <c r="U16" i="3"/>
  <c r="M17" i="3"/>
  <c r="N17" i="3"/>
  <c r="O17" i="3"/>
  <c r="P17" i="3"/>
  <c r="Q17" i="3"/>
  <c r="R17" i="3"/>
  <c r="S17" i="3"/>
  <c r="T17" i="3"/>
  <c r="U17" i="3"/>
  <c r="M18" i="3"/>
  <c r="N18" i="3"/>
  <c r="O18" i="3"/>
  <c r="P18" i="3"/>
  <c r="Q18" i="3"/>
  <c r="R18" i="3"/>
  <c r="S18" i="3"/>
  <c r="T18" i="3"/>
  <c r="U18" i="3"/>
  <c r="M19" i="3"/>
  <c r="N19" i="3"/>
  <c r="O19" i="3"/>
  <c r="P19" i="3"/>
  <c r="Q19" i="3"/>
  <c r="R19" i="3"/>
  <c r="S19" i="3"/>
  <c r="T19" i="3"/>
  <c r="U19" i="3"/>
  <c r="M20" i="3"/>
  <c r="N20" i="3"/>
  <c r="O20" i="3"/>
  <c r="P20" i="3"/>
  <c r="Q20" i="3"/>
  <c r="R20" i="3"/>
  <c r="S20" i="3"/>
  <c r="T20" i="3"/>
  <c r="U20" i="3"/>
  <c r="M21" i="3"/>
  <c r="N21" i="3"/>
  <c r="O21" i="3"/>
  <c r="P21" i="3"/>
  <c r="Q21" i="3"/>
  <c r="R21" i="3"/>
  <c r="S21" i="3"/>
  <c r="T21" i="3"/>
  <c r="U21" i="3"/>
  <c r="M22" i="3"/>
  <c r="N22" i="3"/>
  <c r="O22" i="3"/>
  <c r="P22" i="3"/>
  <c r="Q22" i="3"/>
  <c r="R22" i="3"/>
  <c r="S22" i="3"/>
  <c r="T22" i="3"/>
  <c r="U22" i="3"/>
  <c r="M23" i="3"/>
  <c r="N23" i="3"/>
  <c r="O23" i="3"/>
  <c r="P23" i="3"/>
  <c r="Q23" i="3"/>
  <c r="R23" i="3"/>
  <c r="S23" i="3"/>
  <c r="T23" i="3"/>
  <c r="U23" i="3"/>
  <c r="M24" i="3"/>
  <c r="N24" i="3"/>
  <c r="O24" i="3"/>
  <c r="P24" i="3"/>
  <c r="Q24" i="3"/>
  <c r="R24" i="3"/>
  <c r="S24" i="3"/>
  <c r="T24" i="3"/>
  <c r="U24" i="3"/>
  <c r="M25" i="3"/>
  <c r="N25" i="3"/>
  <c r="O25" i="3"/>
  <c r="P25" i="3"/>
  <c r="Q25" i="3"/>
  <c r="R25" i="3"/>
  <c r="S25" i="3"/>
  <c r="T25" i="3"/>
  <c r="U25" i="3"/>
  <c r="M26" i="3"/>
  <c r="N26" i="3"/>
  <c r="O26" i="3"/>
  <c r="P26" i="3"/>
  <c r="Q26" i="3"/>
  <c r="R26" i="3"/>
  <c r="S26" i="3"/>
  <c r="T26" i="3"/>
  <c r="U26" i="3"/>
  <c r="M27" i="3"/>
  <c r="N27" i="3"/>
  <c r="O27" i="3"/>
  <c r="P27" i="3"/>
  <c r="Q27" i="3"/>
  <c r="R27" i="3"/>
  <c r="S27" i="3"/>
  <c r="T27" i="3"/>
  <c r="U27" i="3"/>
  <c r="M28" i="3"/>
  <c r="N28" i="3"/>
  <c r="O28" i="3"/>
  <c r="P28" i="3"/>
  <c r="Q28" i="3"/>
  <c r="R28" i="3"/>
  <c r="S28" i="3"/>
  <c r="T28" i="3"/>
  <c r="U28" i="3"/>
  <c r="M29" i="3"/>
  <c r="N29" i="3"/>
  <c r="O29" i="3"/>
  <c r="P29" i="3"/>
  <c r="Q29" i="3"/>
  <c r="R29" i="3"/>
  <c r="S29" i="3"/>
  <c r="T29" i="3"/>
  <c r="U29" i="3"/>
  <c r="M30" i="3"/>
  <c r="N30" i="3"/>
  <c r="O30" i="3"/>
  <c r="P30" i="3"/>
  <c r="Q30" i="3"/>
  <c r="R30" i="3"/>
  <c r="S30" i="3"/>
  <c r="T30" i="3"/>
  <c r="U30" i="3"/>
  <c r="M31" i="3"/>
  <c r="N31" i="3"/>
  <c r="O31" i="3"/>
  <c r="P31" i="3"/>
  <c r="Q31" i="3"/>
  <c r="R31" i="3"/>
  <c r="S31" i="3"/>
  <c r="T31" i="3"/>
  <c r="U31" i="3"/>
  <c r="M32" i="3"/>
  <c r="N32" i="3"/>
  <c r="O32" i="3"/>
  <c r="P32" i="3"/>
  <c r="Q32" i="3"/>
  <c r="R32" i="3"/>
  <c r="S32" i="3"/>
  <c r="T32" i="3"/>
  <c r="U32" i="3"/>
  <c r="M33" i="3"/>
  <c r="N33" i="3"/>
  <c r="O33" i="3"/>
  <c r="P33" i="3"/>
  <c r="Q33" i="3"/>
  <c r="R33" i="3"/>
  <c r="S33" i="3"/>
  <c r="T33" i="3"/>
  <c r="U33" i="3"/>
  <c r="M34" i="3"/>
  <c r="N34" i="3"/>
  <c r="O34" i="3"/>
  <c r="P34" i="3"/>
  <c r="Q34" i="3"/>
  <c r="R34" i="3"/>
  <c r="S34" i="3"/>
  <c r="T34" i="3"/>
  <c r="U34" i="3"/>
  <c r="M35" i="3"/>
  <c r="N35" i="3"/>
  <c r="O35" i="3"/>
  <c r="P35" i="3"/>
  <c r="Q35" i="3"/>
  <c r="R35" i="3"/>
  <c r="S35" i="3"/>
  <c r="T35" i="3"/>
  <c r="U35" i="3"/>
  <c r="M36" i="3"/>
  <c r="N36" i="3"/>
  <c r="O36" i="3"/>
  <c r="P36" i="3"/>
  <c r="Q36" i="3"/>
  <c r="R36" i="3"/>
  <c r="S36" i="3"/>
  <c r="T36" i="3"/>
  <c r="U36" i="3"/>
  <c r="M37" i="3"/>
  <c r="N37" i="3"/>
  <c r="O37" i="3"/>
  <c r="P37" i="3"/>
  <c r="Q37" i="3"/>
  <c r="R37" i="3"/>
  <c r="S37" i="3"/>
  <c r="T37" i="3"/>
  <c r="U37" i="3"/>
  <c r="M38" i="3"/>
  <c r="N38" i="3"/>
  <c r="O38" i="3"/>
  <c r="P38" i="3"/>
  <c r="Q38" i="3"/>
  <c r="R38" i="3"/>
  <c r="S38" i="3"/>
  <c r="T38" i="3"/>
  <c r="U38" i="3"/>
  <c r="M39" i="3"/>
  <c r="N39" i="3"/>
  <c r="O39" i="3"/>
  <c r="P39" i="3"/>
  <c r="Q39" i="3"/>
  <c r="R39" i="3"/>
  <c r="S39" i="3"/>
  <c r="T39" i="3"/>
  <c r="U39" i="3"/>
  <c r="M40" i="3"/>
  <c r="N40" i="3"/>
  <c r="O40" i="3"/>
  <c r="P40" i="3"/>
  <c r="Q40" i="3"/>
  <c r="R40" i="3"/>
  <c r="S40" i="3"/>
  <c r="T40" i="3"/>
  <c r="U40" i="3"/>
  <c r="M41" i="3"/>
  <c r="N41" i="3"/>
  <c r="O41" i="3"/>
  <c r="P41" i="3"/>
  <c r="Q41" i="3"/>
  <c r="R41" i="3"/>
  <c r="S41" i="3"/>
  <c r="T41" i="3"/>
  <c r="U41" i="3"/>
  <c r="M42" i="3"/>
  <c r="N42" i="3"/>
  <c r="O42" i="3"/>
  <c r="P42" i="3"/>
  <c r="Q42" i="3"/>
  <c r="R42" i="3"/>
  <c r="S42" i="3"/>
  <c r="T42" i="3"/>
  <c r="U42" i="3"/>
  <c r="M43" i="3"/>
  <c r="N43" i="3"/>
  <c r="O43" i="3"/>
  <c r="P43" i="3"/>
  <c r="Q43" i="3"/>
  <c r="R43" i="3"/>
  <c r="S43" i="3"/>
  <c r="T43" i="3"/>
  <c r="U43" i="3"/>
  <c r="M44" i="3"/>
  <c r="N44" i="3"/>
  <c r="O44" i="3"/>
  <c r="P44" i="3"/>
  <c r="Q44" i="3"/>
  <c r="R44" i="3"/>
  <c r="S44" i="3"/>
  <c r="T44" i="3"/>
  <c r="U44" i="3"/>
  <c r="M45" i="3"/>
  <c r="N45" i="3"/>
  <c r="O45" i="3"/>
  <c r="P45" i="3"/>
  <c r="Q45" i="3"/>
  <c r="R45" i="3"/>
  <c r="S45" i="3"/>
  <c r="T45" i="3"/>
  <c r="U45" i="3"/>
  <c r="M46" i="3"/>
  <c r="N46" i="3"/>
  <c r="O46" i="3"/>
  <c r="P46" i="3"/>
  <c r="Q46" i="3"/>
  <c r="R46" i="3"/>
  <c r="S46" i="3"/>
  <c r="T46" i="3"/>
  <c r="U46" i="3"/>
  <c r="M47" i="3"/>
  <c r="N47" i="3"/>
  <c r="O47" i="3"/>
  <c r="P47" i="3"/>
  <c r="Q47" i="3"/>
  <c r="R47" i="3"/>
  <c r="S47" i="3"/>
  <c r="T47" i="3"/>
  <c r="U47" i="3"/>
  <c r="M48" i="3"/>
  <c r="N48" i="3"/>
  <c r="O48" i="3"/>
  <c r="P48" i="3"/>
  <c r="Q48" i="3"/>
  <c r="R48" i="3"/>
  <c r="S48" i="3"/>
  <c r="T48" i="3"/>
  <c r="U48" i="3"/>
  <c r="M2" i="3"/>
  <c r="N2" i="3"/>
  <c r="O2" i="3"/>
  <c r="P2" i="3"/>
  <c r="Q2" i="3"/>
  <c r="R2" i="3"/>
  <c r="S2" i="3"/>
  <c r="T2" i="3"/>
  <c r="U2" i="3"/>
  <c r="W20" i="1" l="1"/>
  <c r="W19" i="1"/>
  <c r="W18" i="1"/>
  <c r="W17" i="1"/>
  <c r="W16" i="1"/>
  <c r="W15" i="1"/>
  <c r="W14" i="1"/>
  <c r="W13" i="1"/>
  <c r="V20" i="1"/>
  <c r="U20" i="1"/>
  <c r="V19" i="1"/>
  <c r="U19" i="1"/>
  <c r="V18" i="1"/>
  <c r="U18" i="1"/>
  <c r="V17" i="1"/>
  <c r="U17" i="1"/>
  <c r="V16" i="1"/>
  <c r="U16" i="1"/>
  <c r="V15" i="1"/>
  <c r="U15" i="1"/>
  <c r="V14" i="1"/>
  <c r="U14" i="1"/>
  <c r="V13" i="1"/>
  <c r="U13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T20" i="1"/>
  <c r="T19" i="1"/>
  <c r="T18" i="1"/>
  <c r="T17" i="1"/>
  <c r="T16" i="1"/>
  <c r="T15" i="1"/>
  <c r="T14" i="1"/>
  <c r="T13" i="1"/>
  <c r="Q20" i="1"/>
  <c r="Q19" i="1"/>
  <c r="Q18" i="1"/>
  <c r="Q17" i="1"/>
  <c r="Q16" i="1"/>
  <c r="Q15" i="1"/>
  <c r="Q14" i="1"/>
  <c r="Q13" i="1"/>
  <c r="P14" i="1"/>
  <c r="P15" i="1"/>
  <c r="P16" i="1"/>
  <c r="P17" i="1"/>
  <c r="P18" i="1"/>
  <c r="P19" i="1"/>
  <c r="P20" i="1"/>
  <c r="P13" i="1"/>
  <c r="O20" i="1"/>
  <c r="O19" i="1"/>
  <c r="O18" i="1"/>
  <c r="O17" i="1"/>
  <c r="O16" i="1"/>
  <c r="O15" i="1"/>
  <c r="O14" i="1"/>
  <c r="O13" i="1"/>
  <c r="N20" i="1"/>
  <c r="N19" i="1"/>
  <c r="N18" i="1"/>
  <c r="N17" i="1"/>
  <c r="N16" i="1"/>
  <c r="N15" i="1"/>
  <c r="N14" i="1"/>
  <c r="N13" i="1"/>
  <c r="L38" i="9"/>
  <c r="K38" i="9"/>
  <c r="L38" i="8"/>
  <c r="K17" i="11" l="1"/>
  <c r="J17" i="11"/>
  <c r="I17" i="11"/>
  <c r="H17" i="11"/>
  <c r="G17" i="11"/>
  <c r="F17" i="11"/>
  <c r="E17" i="11"/>
  <c r="D17" i="11"/>
  <c r="C17" i="11"/>
  <c r="B17" i="11"/>
  <c r="K16" i="11"/>
  <c r="J16" i="11"/>
  <c r="I16" i="11"/>
  <c r="H16" i="11"/>
  <c r="G16" i="11"/>
  <c r="F16" i="11"/>
  <c r="E16" i="11"/>
  <c r="D16" i="11"/>
  <c r="C16" i="11"/>
  <c r="B16" i="11"/>
  <c r="K15" i="11"/>
  <c r="J15" i="11"/>
  <c r="I15" i="11"/>
  <c r="H15" i="11"/>
  <c r="G15" i="11"/>
  <c r="F15" i="11"/>
  <c r="E15" i="11"/>
  <c r="D15" i="11"/>
  <c r="C15" i="11"/>
  <c r="B15" i="11"/>
  <c r="K14" i="11"/>
  <c r="J14" i="11"/>
  <c r="I14" i="11"/>
  <c r="H14" i="11"/>
  <c r="G14" i="11"/>
  <c r="F14" i="11"/>
  <c r="E14" i="11"/>
  <c r="D14" i="11"/>
  <c r="C14" i="11"/>
  <c r="B2" i="11"/>
  <c r="B14" i="11" s="1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O5" i="10"/>
  <c r="N5" i="10"/>
  <c r="D5" i="10"/>
  <c r="D4" i="10"/>
  <c r="D3" i="10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D2" i="10"/>
  <c r="A3" i="9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<sst xmlns="http://schemas.openxmlformats.org/spreadsheetml/2006/main" count="631" uniqueCount="83">
  <si>
    <t>Country</t>
  </si>
  <si>
    <t>Denmark</t>
  </si>
  <si>
    <t>Germany</t>
  </si>
  <si>
    <t>France</t>
  </si>
  <si>
    <t>Sweden</t>
  </si>
  <si>
    <t>Italy</t>
  </si>
  <si>
    <t>Spain</t>
  </si>
  <si>
    <t>LCOE</t>
  </si>
  <si>
    <t>CF</t>
  </si>
  <si>
    <t>LCOH</t>
  </si>
  <si>
    <t>Europe</t>
  </si>
  <si>
    <t>Jan '19</t>
  </si>
  <si>
    <t>Feb '19</t>
  </si>
  <si>
    <t>Mar '19</t>
  </si>
  <si>
    <t>Apr '19</t>
  </si>
  <si>
    <t>May '19</t>
  </si>
  <si>
    <t>Jun '19</t>
  </si>
  <si>
    <t>Jul '19</t>
  </si>
  <si>
    <t>Aug '19</t>
  </si>
  <si>
    <t>Sep '19</t>
  </si>
  <si>
    <t>Oct '19</t>
  </si>
  <si>
    <t>Nov '19</t>
  </si>
  <si>
    <t>Dec '19</t>
  </si>
  <si>
    <t>Jan '20</t>
  </si>
  <si>
    <t>Feb '20</t>
  </si>
  <si>
    <t>Mar '20</t>
  </si>
  <si>
    <t>Apr '20</t>
  </si>
  <si>
    <t>May '20</t>
  </si>
  <si>
    <t>Jun '20</t>
  </si>
  <si>
    <t>Jul '20</t>
  </si>
  <si>
    <t>Aug '20</t>
  </si>
  <si>
    <t>Sep '20</t>
  </si>
  <si>
    <t>Oct '20</t>
  </si>
  <si>
    <t>Nov '20</t>
  </si>
  <si>
    <t>Dec '20</t>
  </si>
  <si>
    <t>Jan '21</t>
  </si>
  <si>
    <t>Feb '21</t>
  </si>
  <si>
    <t>Mar '21</t>
  </si>
  <si>
    <t>Apr '21</t>
  </si>
  <si>
    <t>May '21</t>
  </si>
  <si>
    <t>Jun '21</t>
  </si>
  <si>
    <t>Jul '21</t>
  </si>
  <si>
    <t>Aug '21</t>
  </si>
  <si>
    <t>Sep '21</t>
  </si>
  <si>
    <t>Oct '21</t>
  </si>
  <si>
    <t>Nov '21</t>
  </si>
  <si>
    <t>Dec '21</t>
  </si>
  <si>
    <t>Jan '22</t>
  </si>
  <si>
    <t>Feb '22</t>
  </si>
  <si>
    <t>Mar '22</t>
  </si>
  <si>
    <t>Apr '22</t>
  </si>
  <si>
    <t>May '22</t>
  </si>
  <si>
    <t>Jun '22</t>
  </si>
  <si>
    <t>Jul '22</t>
  </si>
  <si>
    <t>Aug '22</t>
  </si>
  <si>
    <t>Sep '22</t>
  </si>
  <si>
    <t>Oct '22</t>
  </si>
  <si>
    <t>Nov '22</t>
  </si>
  <si>
    <t>Electricity prices [$/MWh]</t>
  </si>
  <si>
    <t>LCOE [$/kWh]</t>
  </si>
  <si>
    <t>LCOH [$/kg]</t>
  </si>
  <si>
    <t>$/ton</t>
  </si>
  <si>
    <t>Index</t>
  </si>
  <si>
    <t>Netherlands</t>
  </si>
  <si>
    <t>Turkey</t>
  </si>
  <si>
    <t>$/mmbtu</t>
  </si>
  <si>
    <t>Time</t>
  </si>
  <si>
    <t>Wind</t>
  </si>
  <si>
    <t>Solar</t>
  </si>
  <si>
    <t>NGPrice</t>
  </si>
  <si>
    <t>ElectricityPrice</t>
  </si>
  <si>
    <t>BAUAmmonia</t>
  </si>
  <si>
    <t>WindAmmonia</t>
  </si>
  <si>
    <t>SolarAmmonia</t>
  </si>
  <si>
    <t>BAUMethanol</t>
  </si>
  <si>
    <t>WindMethanol</t>
  </si>
  <si>
    <t>SolarMethanol</t>
  </si>
  <si>
    <t>US</t>
  </si>
  <si>
    <t>LCU/USD</t>
  </si>
  <si>
    <t>USD/USD</t>
  </si>
  <si>
    <t>Only inflation</t>
  </si>
  <si>
    <t>Only natural gas</t>
  </si>
  <si>
    <t>Both inflation and natural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</si>
</sst>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/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4" xfId="0" applyBorder="1"/>
    <xf numFmtId="0" fontId="0" fillId="0" borderId="0" xfId="0" applyAlignment="1">
      <alignment horizontal="center"/>
    </xf>
    <xf numFmtId="2" fontId="0" fillId="0" borderId="0" xfId="0" applyNumberFormat="1"/>
    <xf numFmtId="166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Wind hydrogen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Inflation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'Wind LCOH 2022'!$A$2:$A$12</c:f>
              <c:strCache>
                <c:ptCount val="11"/>
                <c:pt idx="0">
                  <c:v>Jan '22</c:v>
                </c:pt>
                <c:pt idx="1">
                  <c:v>Feb '22</c:v>
                </c:pt>
                <c:pt idx="2">
                  <c:v>Mar '22</c:v>
                </c:pt>
                <c:pt idx="3">
                  <c:v>Apr '22</c:v>
                </c:pt>
                <c:pt idx="4">
                  <c:v>May '22</c:v>
                </c:pt>
                <c:pt idx="5">
                  <c:v>Jun '22</c:v>
                </c:pt>
                <c:pt idx="6">
                  <c:v>Jul '22</c:v>
                </c:pt>
                <c:pt idx="7">
                  <c:v>Aug '22</c:v>
                </c:pt>
                <c:pt idx="8">
                  <c:v>Sep '22</c:v>
                </c:pt>
                <c:pt idx="9">
                  <c:v>Oct '22</c:v>
                </c:pt>
                <c:pt idx="10">
                  <c:v>Nov '22</c:v>
                </c:pt>
              </c:strCache>
            </c:strRef>
          </c:cat>
          <c:val>
            <c:numRef>
              <c:f>'Wind LCOH 2022'!$I$2:$I$12</c:f>
              <c:numCache>
                <c:formatCode>0.0000</c:formatCode>
                <c:ptCount val="11"/>
                <c:pt idx="0">
                  <c:v>6.0595152292610779</c:v>
                </c:pt>
                <c:pt idx="1">
                  <c:v>6.073570022608787</c:v>
                </c:pt>
                <c:pt idx="2">
                  <c:v>6.0840794626795969</c:v>
                </c:pt>
                <c:pt idx="3">
                  <c:v>6.113455246973909</c:v>
                </c:pt>
                <c:pt idx="4">
                  <c:v>6.1535683869068301</c:v>
                </c:pt>
                <c:pt idx="5">
                  <c:v>6.1822097765937842</c:v>
                </c:pt>
                <c:pt idx="6">
                  <c:v>6.1996290378471226</c:v>
                </c:pt>
                <c:pt idx="7">
                  <c:v>6.2076603483315287</c:v>
                </c:pt>
                <c:pt idx="8">
                  <c:v>6.2112057016084279</c:v>
                </c:pt>
                <c:pt idx="9">
                  <c:v>6.2101674195773358</c:v>
                </c:pt>
                <c:pt idx="10">
                  <c:v>6.2082128709201356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BC-4BF5-81CD-AD896759CEE0}"/>
            </c:ext>
          </c:extLst>
        </c:ser>
        <c:ser>
          <c:idx val="1"/>
          <c:order val="1"/>
          <c:tx>
            <c:v>NG price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'Wind LCOH 2022'!$I$13:$I$23</c:f>
              <c:numCache>
                <c:formatCode>0.0000</c:formatCode>
                <c:ptCount val="11"/>
                <c:pt idx="0">
                  <c:v>5.4740716409665193</c:v>
                </c:pt>
                <c:pt idx="1">
                  <c:v>5.4744347252575922</c:v>
                </c:pt>
                <c:pt idx="2">
                  <c:v>5.5433753550250042</c:v>
                </c:pt>
                <c:pt idx="3">
                  <c:v>5.4924981687384546</c:v>
                </c:pt>
                <c:pt idx="4">
                  <c:v>5.4707584968104817</c:v>
                </c:pt>
                <c:pt idx="5">
                  <c:v>5.4843741577257044</c:v>
                </c:pt>
                <c:pt idx="6">
                  <c:v>5.5549940523393273</c:v>
                </c:pt>
                <c:pt idx="7">
                  <c:v>5.6266578142897838</c:v>
                </c:pt>
                <c:pt idx="8">
                  <c:v>5.5433753550250042</c:v>
                </c:pt>
                <c:pt idx="9">
                  <c:v>5.4149796725944519</c:v>
                </c:pt>
                <c:pt idx="10">
                  <c:v>5.415569684567445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BC-4BF5-81CD-AD896759CEE0}"/>
            </c:ext>
          </c:extLst>
        </c:ser>
        <c:ser>
          <c:idx val="2"/>
          <c:order val="2"/>
          <c:tx>
            <c:v>Inflation and NG price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'Wind LCOH 2022'!$I$24:$I$34</c:f>
              <c:numCache>
                <c:formatCode>0.0000</c:formatCode>
                <c:ptCount val="11"/>
                <c:pt idx="0">
                  <c:v>6.150603795651552</c:v>
                </c:pt>
                <c:pt idx="1">
                  <c:v>6.1655861719250762</c:v>
                </c:pt>
                <c:pt idx="2">
                  <c:v>6.2449994696495681</c:v>
                </c:pt>
                <c:pt idx="3">
                  <c:v>6.2227138423414967</c:v>
                </c:pt>
                <c:pt idx="4">
                  <c:v>6.2396947384975237</c:v>
                </c:pt>
                <c:pt idx="5">
                  <c:v>6.2807941809932109</c:v>
                </c:pt>
                <c:pt idx="6">
                  <c:v>6.3671513082216116</c:v>
                </c:pt>
                <c:pt idx="7">
                  <c:v>6.4447194345643872</c:v>
                </c:pt>
                <c:pt idx="8">
                  <c:v>6.3597316472391725</c:v>
                </c:pt>
                <c:pt idx="9">
                  <c:v>6.2245584712274056</c:v>
                </c:pt>
                <c:pt idx="10">
                  <c:v>6.2256455918116629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BC-4BF5-81CD-AD896759C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3752831"/>
        <c:axId val="1589179247"/>
      </c:lineChart>
      <c:catAx>
        <c:axId val="1643752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89179247"/>
        <c:crosses val="autoZero"/>
        <c:auto val="1"/>
        <c:lblAlgn val="ctr"/>
        <c:lblOffset val="100"/>
        <c:noMultiLvlLbl val="0"/>
      </c:catAx>
      <c:valAx>
        <c:axId val="1589179247"/>
        <c:scaling>
          <c:orientation val="minMax"/>
          <c:max val="6.6"/>
          <c:min val="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LCOH [$</a:t>
                </a:r>
                <a:r>
                  <a:rPr lang="de-CH" baseline="0"/>
                  <a:t> </a:t>
                </a:r>
                <a:r>
                  <a:rPr lang="de-CH"/>
                  <a:t>kg</a:t>
                </a:r>
                <a:r>
                  <a:rPr lang="de-CH" baseline="30000"/>
                  <a:t>-1</a:t>
                </a:r>
                <a:r>
                  <a:rPr lang="de-CH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4375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Solar hydrogen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Inflation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'Wind LCOH 2022'!$A$2:$A$12</c:f>
              <c:strCache>
                <c:ptCount val="11"/>
                <c:pt idx="0">
                  <c:v>Jan '22</c:v>
                </c:pt>
                <c:pt idx="1">
                  <c:v>Feb '22</c:v>
                </c:pt>
                <c:pt idx="2">
                  <c:v>Mar '22</c:v>
                </c:pt>
                <c:pt idx="3">
                  <c:v>Apr '22</c:v>
                </c:pt>
                <c:pt idx="4">
                  <c:v>May '22</c:v>
                </c:pt>
                <c:pt idx="5">
                  <c:v>Jun '22</c:v>
                </c:pt>
                <c:pt idx="6">
                  <c:v>Jul '22</c:v>
                </c:pt>
                <c:pt idx="7">
                  <c:v>Aug '22</c:v>
                </c:pt>
                <c:pt idx="8">
                  <c:v>Sep '22</c:v>
                </c:pt>
                <c:pt idx="9">
                  <c:v>Oct '22</c:v>
                </c:pt>
                <c:pt idx="10">
                  <c:v>Nov '22</c:v>
                </c:pt>
              </c:strCache>
            </c:strRef>
          </c:cat>
          <c:val>
            <c:numRef>
              <c:f>'Solar LCOH 2022'!$H$2:$H$12</c:f>
              <c:numCache>
                <c:formatCode>0.0000</c:formatCode>
                <c:ptCount val="11"/>
                <c:pt idx="0">
                  <c:v>9.2513300410706787</c:v>
                </c:pt>
                <c:pt idx="1">
                  <c:v>9.2727881160154872</c:v>
                </c:pt>
                <c:pt idx="2">
                  <c:v>9.2888333432264734</c:v>
                </c:pt>
                <c:pt idx="3">
                  <c:v>9.3336826530210324</c:v>
                </c:pt>
                <c:pt idx="4">
                  <c:v>9.3949251588094622</c:v>
                </c:pt>
                <c:pt idx="5">
                  <c:v>9.4386532358591584</c:v>
                </c:pt>
                <c:pt idx="6">
                  <c:v>9.4652479928370887</c:v>
                </c:pt>
                <c:pt idx="7">
                  <c:v>9.4775097499484104</c:v>
                </c:pt>
                <c:pt idx="8">
                  <c:v>9.4829225976822347</c:v>
                </c:pt>
                <c:pt idx="9">
                  <c:v>9.4813374065601863</c:v>
                </c:pt>
                <c:pt idx="10">
                  <c:v>9.4783533106341995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9B-4A34-AE05-F336D272DCF7}"/>
            </c:ext>
          </c:extLst>
        </c:ser>
        <c:ser>
          <c:idx val="1"/>
          <c:order val="1"/>
          <c:tx>
            <c:v>NG price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'Solar LCOH 2022'!$H$13:$H$23</c:f>
              <c:numCache>
                <c:formatCode>0.0000</c:formatCode>
                <c:ptCount val="11"/>
                <c:pt idx="0">
                  <c:v>8.3206843569337785</c:v>
                </c:pt>
                <c:pt idx="1">
                  <c:v>8.3210983486660606</c:v>
                </c:pt>
                <c:pt idx="2">
                  <c:v>8.3997050288332584</c:v>
                </c:pt>
                <c:pt idx="3">
                  <c:v>8.3416944373471313</c:v>
                </c:pt>
                <c:pt idx="4">
                  <c:v>8.3169066823766986</c:v>
                </c:pt>
                <c:pt idx="5">
                  <c:v>8.3324313723373038</c:v>
                </c:pt>
                <c:pt idx="6">
                  <c:v>8.4129527642663078</c:v>
                </c:pt>
                <c:pt idx="7">
                  <c:v>8.4946643824256256</c:v>
                </c:pt>
                <c:pt idx="8">
                  <c:v>8.3997050288332584</c:v>
                </c:pt>
                <c:pt idx="9">
                  <c:v>8.253307202504752</c:v>
                </c:pt>
                <c:pt idx="10">
                  <c:v>8.2539799390697119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9B-4A34-AE05-F336D272DCF7}"/>
            </c:ext>
          </c:extLst>
        </c:ser>
        <c:ser>
          <c:idx val="2"/>
          <c:order val="2"/>
          <c:tx>
            <c:v>Inflation and NG price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'Solar LCOH 2022'!$H$24:$H$34</c:f>
              <c:numCache>
                <c:formatCode>0.0000</c:formatCode>
                <c:ptCount val="11"/>
                <c:pt idx="0">
                  <c:v>9.3551899830134921</c:v>
                </c:pt>
                <c:pt idx="1">
                  <c:v>9.3777056957348073</c:v>
                </c:pt>
                <c:pt idx="2">
                  <c:v>9.4723156752426938</c:v>
                </c:pt>
                <c:pt idx="3">
                  <c:v>9.4582602133153362</c:v>
                </c:pt>
                <c:pt idx="4">
                  <c:v>9.4931271421144849</c:v>
                </c:pt>
                <c:pt idx="5">
                  <c:v>9.5510599947217294</c:v>
                </c:pt>
                <c:pt idx="6">
                  <c:v>9.6562582805678048</c:v>
                </c:pt>
                <c:pt idx="7">
                  <c:v>9.747806494192</c:v>
                </c:pt>
                <c:pt idx="8">
                  <c:v>9.6522731177473311</c:v>
                </c:pt>
                <c:pt idx="9">
                  <c:v>9.497746203493767</c:v>
                </c:pt>
                <c:pt idx="10">
                  <c:v>9.4982302441665372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9B-4A34-AE05-F336D272D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3752831"/>
        <c:axId val="1589179247"/>
      </c:lineChart>
      <c:catAx>
        <c:axId val="1643752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89179247"/>
        <c:crosses val="autoZero"/>
        <c:auto val="1"/>
        <c:lblAlgn val="ctr"/>
        <c:lblOffset val="100"/>
        <c:noMultiLvlLbl val="0"/>
      </c:catAx>
      <c:valAx>
        <c:axId val="1589179247"/>
        <c:scaling>
          <c:orientation val="minMax"/>
          <c:max val="11"/>
          <c:min val="8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LCOH [$</a:t>
                </a:r>
                <a:r>
                  <a:rPr lang="de-CH" baseline="0"/>
                  <a:t> </a:t>
                </a:r>
                <a:r>
                  <a:rPr lang="de-CH"/>
                  <a:t>kg</a:t>
                </a:r>
                <a:r>
                  <a:rPr lang="de-CH" baseline="30000"/>
                  <a:t>-1</a:t>
                </a:r>
                <a:r>
                  <a:rPr lang="de-CH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4375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186856</xdr:colOff>
      <xdr:row>2</xdr:row>
      <xdr:rowOff>34787</xdr:rowOff>
    </xdr:from>
    <xdr:to>
      <xdr:col>26</xdr:col>
      <xdr:colOff>376859</xdr:colOff>
      <xdr:row>24</xdr:row>
      <xdr:rowOff>23357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B68518-FE97-4CBC-9A9F-C718C9D42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114300</xdr:rowOff>
    </xdr:from>
    <xdr:to>
      <xdr:col>29</xdr:col>
      <xdr:colOff>182880</xdr:colOff>
      <xdr:row>24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E5868C-D252-44A8-A1A1-3BE678360C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26875-4982-4231-B0B7-7E278382FE74}">
  <dimension ref="A1:X20"/>
  <sheetViews>
    <sheetView workbookViewId="0">
      <selection activeCell="D45" sqref="D45"/>
    </sheetView>
  </sheetViews>
  <sheetFormatPr defaultRowHeight="14.4" x14ac:dyDescent="0.3"/>
  <cols>
    <col min="1" max="1" width="8.33203125" bestFit="1" customWidth="1"/>
    <col min="2" max="2" width="12.5546875" bestFit="1" customWidth="1"/>
    <col min="4" max="4" width="10.88671875" bestFit="1" customWidth="1"/>
    <col min="7" max="7" width="6.6640625" customWidth="1"/>
    <col min="10" max="10" width="6.6640625" customWidth="1"/>
    <col min="11" max="11" width="6.6640625" bestFit="1" customWidth="1"/>
  </cols>
  <sheetData>
    <row r="1" spans="1:24" x14ac:dyDescent="0.3">
      <c r="B1" s="34">
        <v>2019</v>
      </c>
      <c r="C1" s="34"/>
      <c r="D1" s="34"/>
      <c r="E1" s="34">
        <v>2020</v>
      </c>
      <c r="F1" s="34"/>
      <c r="G1" s="34"/>
      <c r="H1" s="34">
        <v>2021</v>
      </c>
      <c r="I1" s="34"/>
      <c r="J1" s="34"/>
      <c r="K1" s="2">
        <v>2022</v>
      </c>
    </row>
    <row r="2" spans="1:24" x14ac:dyDescent="0.3">
      <c r="A2" s="1" t="s">
        <v>0</v>
      </c>
      <c r="B2" s="1" t="s">
        <v>59</v>
      </c>
      <c r="C2" s="1" t="s">
        <v>8</v>
      </c>
      <c r="D2" s="2" t="s">
        <v>60</v>
      </c>
      <c r="E2" s="1" t="s">
        <v>7</v>
      </c>
      <c r="F2" s="1" t="s">
        <v>8</v>
      </c>
      <c r="G2" s="2" t="s">
        <v>9</v>
      </c>
      <c r="H2" s="1" t="s">
        <v>7</v>
      </c>
      <c r="I2" s="1" t="s">
        <v>8</v>
      </c>
      <c r="J2" s="2" t="s">
        <v>9</v>
      </c>
      <c r="K2" s="2" t="s">
        <v>9</v>
      </c>
    </row>
    <row r="3" spans="1:24" x14ac:dyDescent="0.3">
      <c r="A3" s="1" t="s">
        <v>1</v>
      </c>
      <c r="B3" s="1">
        <v>6.3799999999999996E-2</v>
      </c>
      <c r="C3" s="1">
        <v>39</v>
      </c>
      <c r="D3" s="4">
        <v>6.5778074000963436</v>
      </c>
      <c r="E3" s="4">
        <v>4.8099999999999997E-2</v>
      </c>
      <c r="F3" s="1">
        <v>39</v>
      </c>
      <c r="G3" s="4">
        <v>5.7143074000963416</v>
      </c>
      <c r="H3" s="1">
        <v>4.65E-2</v>
      </c>
      <c r="I3" s="1">
        <v>39</v>
      </c>
      <c r="J3" s="4">
        <v>5.6263074000963433</v>
      </c>
      <c r="K3" s="4">
        <v>6.4964778242637857</v>
      </c>
      <c r="N3">
        <v>6.3799999999999996E-2</v>
      </c>
      <c r="O3">
        <v>39</v>
      </c>
      <c r="P3">
        <v>6.5778074000963436</v>
      </c>
      <c r="Q3">
        <v>4.8099999999999997E-2</v>
      </c>
      <c r="R3">
        <v>39</v>
      </c>
      <c r="S3">
        <v>5.7143074000963416</v>
      </c>
      <c r="T3">
        <v>4.65E-2</v>
      </c>
      <c r="U3">
        <v>39</v>
      </c>
      <c r="V3">
        <v>5.6263074000963433</v>
      </c>
      <c r="W3">
        <v>6.4964778242637857</v>
      </c>
    </row>
    <row r="4" spans="1:24" x14ac:dyDescent="0.3">
      <c r="A4" s="1" t="s">
        <v>2</v>
      </c>
      <c r="B4" s="1">
        <v>6.9400000000000003E-2</v>
      </c>
      <c r="C4" s="1">
        <v>31</v>
      </c>
      <c r="D4" s="4">
        <v>7.3598265282260176</v>
      </c>
      <c r="E4" s="4">
        <v>0.05</v>
      </c>
      <c r="F4" s="1">
        <v>34</v>
      </c>
      <c r="G4" s="4">
        <v>6.0253108619260738</v>
      </c>
      <c r="H4" s="1">
        <v>3.95E-2</v>
      </c>
      <c r="I4" s="1">
        <v>28</v>
      </c>
      <c r="J4" s="4">
        <v>5.9720228676942115</v>
      </c>
      <c r="K4" s="4">
        <v>6.8956619976553917</v>
      </c>
      <c r="N4">
        <v>6.9400000000000003E-2</v>
      </c>
      <c r="O4">
        <v>31</v>
      </c>
      <c r="P4">
        <v>7.3598265282260176</v>
      </c>
      <c r="Q4">
        <v>0.05</v>
      </c>
      <c r="R4">
        <v>34</v>
      </c>
      <c r="S4">
        <v>6.0253108619260738</v>
      </c>
      <c r="T4">
        <v>3.95E-2</v>
      </c>
      <c r="U4">
        <v>28</v>
      </c>
      <c r="V4">
        <v>5.9720228676942115</v>
      </c>
      <c r="W4">
        <v>6.8956619976553917</v>
      </c>
    </row>
    <row r="5" spans="1:24" x14ac:dyDescent="0.3">
      <c r="A5" s="1" t="s">
        <v>3</v>
      </c>
      <c r="B5" s="1">
        <v>6.5299999999999997E-2</v>
      </c>
      <c r="C5" s="1">
        <v>33</v>
      </c>
      <c r="D5" s="4">
        <v>6.9660627062268636</v>
      </c>
      <c r="E5" s="4">
        <v>4.8000000000000001E-2</v>
      </c>
      <c r="F5" s="1">
        <v>32</v>
      </c>
      <c r="G5" s="4">
        <v>6.1349924664624798</v>
      </c>
      <c r="H5" s="2">
        <v>5.1200000000000002E-2</v>
      </c>
      <c r="I5" s="1">
        <v>36</v>
      </c>
      <c r="J5" s="4">
        <v>5.9772454192037721</v>
      </c>
      <c r="K5" s="4">
        <v>6.9016922742924907</v>
      </c>
      <c r="N5">
        <v>6.5299999999999997E-2</v>
      </c>
      <c r="O5">
        <v>33</v>
      </c>
      <c r="P5">
        <v>6.9660627062268636</v>
      </c>
      <c r="Q5">
        <v>4.8000000000000001E-2</v>
      </c>
      <c r="R5">
        <v>32</v>
      </c>
      <c r="S5">
        <v>6.1349924664624798</v>
      </c>
      <c r="T5">
        <v>5.1200000000000002E-2</v>
      </c>
      <c r="U5">
        <v>36</v>
      </c>
      <c r="V5">
        <v>5.9772454192037721</v>
      </c>
      <c r="W5">
        <v>6.9016922742924907</v>
      </c>
    </row>
    <row r="6" spans="1:24" x14ac:dyDescent="0.3">
      <c r="A6" s="1" t="s">
        <v>4</v>
      </c>
      <c r="B6" s="1">
        <v>4.58E-2</v>
      </c>
      <c r="C6" s="1">
        <v>38</v>
      </c>
      <c r="D6" s="4">
        <v>5.5863722583920241</v>
      </c>
      <c r="E6" s="4">
        <v>0.04</v>
      </c>
      <c r="F6" s="1">
        <v>38</v>
      </c>
      <c r="G6" s="4">
        <v>5.2673722583920242</v>
      </c>
      <c r="H6" s="1">
        <v>3.6400000000000002E-2</v>
      </c>
      <c r="I6" s="1">
        <v>37</v>
      </c>
      <c r="J6" s="4">
        <v>5.1522742113215392</v>
      </c>
      <c r="K6" s="4">
        <v>5.9491301804454206</v>
      </c>
      <c r="N6">
        <v>4.58E-2</v>
      </c>
      <c r="O6">
        <v>38</v>
      </c>
      <c r="P6">
        <v>5.5863722583920241</v>
      </c>
      <c r="Q6">
        <v>0.04</v>
      </c>
      <c r="R6">
        <v>38</v>
      </c>
      <c r="S6">
        <v>5.2673722583920242</v>
      </c>
      <c r="T6">
        <v>3.6400000000000002E-2</v>
      </c>
      <c r="U6">
        <v>37</v>
      </c>
      <c r="V6">
        <v>5.1522742113215392</v>
      </c>
      <c r="W6">
        <v>5.9491301804454206</v>
      </c>
    </row>
    <row r="7" spans="1:24" x14ac:dyDescent="0.3">
      <c r="A7" s="1" t="s">
        <v>5</v>
      </c>
      <c r="B7" s="4">
        <v>6.6000000000000003E-2</v>
      </c>
      <c r="C7" s="1">
        <v>33</v>
      </c>
      <c r="D7" s="4">
        <v>7.0045627062268645</v>
      </c>
      <c r="E7" s="4">
        <v>5.3999999999999999E-2</v>
      </c>
      <c r="F7" s="1">
        <v>33</v>
      </c>
      <c r="G7" s="4">
        <v>6.3445627062268626</v>
      </c>
      <c r="H7" s="2">
        <v>4.19E-2</v>
      </c>
      <c r="I7" s="1">
        <v>33</v>
      </c>
      <c r="J7" s="4">
        <v>5.6790627062268637</v>
      </c>
      <c r="K7" s="4">
        <v>6.5573923196899164</v>
      </c>
      <c r="N7">
        <v>6.6000000000000003E-2</v>
      </c>
      <c r="O7">
        <v>33</v>
      </c>
      <c r="P7">
        <v>7.0045627062268645</v>
      </c>
      <c r="Q7">
        <v>5.3999999999999999E-2</v>
      </c>
      <c r="R7">
        <v>33</v>
      </c>
      <c r="S7">
        <v>6.3445627062268626</v>
      </c>
      <c r="T7">
        <v>4.19E-2</v>
      </c>
      <c r="U7">
        <v>33</v>
      </c>
      <c r="V7">
        <v>5.6790627062268637</v>
      </c>
      <c r="W7">
        <v>6.5573923196899164</v>
      </c>
    </row>
    <row r="8" spans="1:24" x14ac:dyDescent="0.3">
      <c r="A8" s="1" t="s">
        <v>64</v>
      </c>
      <c r="B8" s="4">
        <v>6.6000000000000003E-2</v>
      </c>
      <c r="C8" s="1">
        <v>34</v>
      </c>
      <c r="D8" s="4">
        <v>6.9053108619260746</v>
      </c>
      <c r="E8" s="4">
        <v>4.2000000000000003E-2</v>
      </c>
      <c r="F8" s="1">
        <v>37</v>
      </c>
      <c r="G8" s="4">
        <v>5.4602742113215399</v>
      </c>
      <c r="H8" s="4">
        <v>0.05</v>
      </c>
      <c r="I8" s="1">
        <v>39</v>
      </c>
      <c r="J8" s="4">
        <v>5.8188074000963423</v>
      </c>
      <c r="K8" s="4">
        <v>6.7187500700264966</v>
      </c>
      <c r="N8">
        <v>6.6000000000000003E-2</v>
      </c>
      <c r="O8">
        <v>34</v>
      </c>
      <c r="P8">
        <v>6.9053108619260746</v>
      </c>
      <c r="Q8">
        <v>4.2000000000000003E-2</v>
      </c>
      <c r="R8">
        <v>37</v>
      </c>
      <c r="S8">
        <v>5.4602742113215399</v>
      </c>
      <c r="T8">
        <v>0.05</v>
      </c>
      <c r="U8">
        <v>39</v>
      </c>
      <c r="V8">
        <v>5.8188074000963423</v>
      </c>
      <c r="W8">
        <v>6.7187500700264966</v>
      </c>
    </row>
    <row r="9" spans="1:24" x14ac:dyDescent="0.3">
      <c r="A9" s="1" t="s">
        <v>6</v>
      </c>
      <c r="B9" s="4">
        <v>6.7000000000000004E-2</v>
      </c>
      <c r="C9" s="1">
        <v>39</v>
      </c>
      <c r="D9" s="4">
        <v>6.7538074000963437</v>
      </c>
      <c r="E9" s="4">
        <v>4.1700000000000001E-2</v>
      </c>
      <c r="F9" s="1">
        <v>38</v>
      </c>
      <c r="G9" s="4">
        <v>5.3608722583920239</v>
      </c>
      <c r="H9" s="1">
        <v>2.7300000000000001E-2</v>
      </c>
      <c r="I9" s="1">
        <v>43</v>
      </c>
      <c r="J9" s="4">
        <v>4.4629109804087284</v>
      </c>
      <c r="K9" s="4">
        <v>5.1531493311922816</v>
      </c>
      <c r="N9">
        <v>6.7000000000000004E-2</v>
      </c>
      <c r="O9">
        <v>39</v>
      </c>
      <c r="P9">
        <v>6.7538074000963437</v>
      </c>
      <c r="Q9">
        <v>4.1700000000000001E-2</v>
      </c>
      <c r="R9">
        <v>38</v>
      </c>
      <c r="S9">
        <v>5.3608722583920239</v>
      </c>
      <c r="T9">
        <v>2.7300000000000001E-2</v>
      </c>
      <c r="U9">
        <v>43</v>
      </c>
      <c r="V9">
        <v>4.4629109804087284</v>
      </c>
      <c r="W9">
        <v>5.1531493311922816</v>
      </c>
    </row>
    <row r="10" spans="1:24" x14ac:dyDescent="0.3">
      <c r="A10" s="3" t="s">
        <v>10</v>
      </c>
      <c r="B10" s="6">
        <v>6.7000000000000004E-2</v>
      </c>
      <c r="C10" s="7">
        <v>35.6</v>
      </c>
      <c r="D10" s="6">
        <v>6.8817650306555009</v>
      </c>
      <c r="E10" s="6">
        <v>4.4999999999999998E-2</v>
      </c>
      <c r="F10" s="7">
        <v>36</v>
      </c>
      <c r="G10" s="6">
        <v>5.6362454192037719</v>
      </c>
      <c r="H10" s="6">
        <v>4.2000000000000003E-2</v>
      </c>
      <c r="I10" s="7">
        <v>39</v>
      </c>
      <c r="J10" s="6">
        <v>5.3788074000963428</v>
      </c>
      <c r="K10" s="6">
        <v>6.21069922256887</v>
      </c>
      <c r="N10">
        <v>6.7000000000000004E-2</v>
      </c>
      <c r="O10">
        <v>35.6</v>
      </c>
      <c r="P10">
        <v>6.8817650306555009</v>
      </c>
      <c r="Q10">
        <v>4.4999999999999998E-2</v>
      </c>
      <c r="R10">
        <v>36</v>
      </c>
      <c r="S10">
        <v>5.6362454192037719</v>
      </c>
      <c r="T10">
        <v>4.2000000000000003E-2</v>
      </c>
      <c r="U10">
        <v>39</v>
      </c>
      <c r="V10">
        <v>5.3788074000963428</v>
      </c>
      <c r="W10">
        <v>6.21069922256887</v>
      </c>
    </row>
    <row r="12" spans="1:24" x14ac:dyDescent="0.3">
      <c r="B12">
        <f>(1-B9/B10)*100</f>
        <v>0</v>
      </c>
      <c r="E12">
        <f>(1-E9/E10)*100</f>
        <v>7.333333333333325</v>
      </c>
      <c r="H12">
        <f>(1-H9/H10)*100</f>
        <v>35</v>
      </c>
    </row>
    <row r="13" spans="1:24" x14ac:dyDescent="0.3">
      <c r="M13" s="30" t="s">
        <v>1</v>
      </c>
      <c r="N13" s="33">
        <f>N3*1000</f>
        <v>63.8</v>
      </c>
      <c r="O13">
        <f>O3</f>
        <v>39</v>
      </c>
      <c r="P13" s="31">
        <f>P3</f>
        <v>6.5778074000963436</v>
      </c>
      <c r="Q13" s="33">
        <f>Q3*1000</f>
        <v>48.099999999999994</v>
      </c>
      <c r="R13">
        <f>R3</f>
        <v>39</v>
      </c>
      <c r="S13" s="31">
        <f>S3</f>
        <v>5.7143074000963416</v>
      </c>
      <c r="T13" s="33">
        <f>T3*1000</f>
        <v>46.5</v>
      </c>
      <c r="U13">
        <f>U3</f>
        <v>39</v>
      </c>
      <c r="V13" s="31">
        <f>V3</f>
        <v>5.6263074000963433</v>
      </c>
      <c r="W13" s="31">
        <f>W3</f>
        <v>6.4964778242637857</v>
      </c>
      <c r="X13" s="31"/>
    </row>
    <row r="14" spans="1:24" x14ac:dyDescent="0.3">
      <c r="M14" s="30" t="s">
        <v>2</v>
      </c>
      <c r="N14" s="33">
        <f t="shared" ref="N14:N20" si="0">N4*1000</f>
        <v>69.400000000000006</v>
      </c>
      <c r="O14">
        <f t="shared" ref="O14:P20" si="1">O4</f>
        <v>31</v>
      </c>
      <c r="P14" s="31">
        <f t="shared" si="1"/>
        <v>7.3598265282260176</v>
      </c>
      <c r="Q14" s="33">
        <f t="shared" ref="Q14:Q20" si="2">Q4*1000</f>
        <v>50</v>
      </c>
      <c r="R14">
        <f t="shared" ref="R14:S14" si="3">R4</f>
        <v>34</v>
      </c>
      <c r="S14" s="31">
        <f t="shared" si="3"/>
        <v>6.0253108619260738</v>
      </c>
      <c r="T14" s="33">
        <f t="shared" ref="T14:T20" si="4">T4*1000</f>
        <v>39.5</v>
      </c>
      <c r="U14">
        <f t="shared" ref="U14:W14" si="5">U4</f>
        <v>28</v>
      </c>
      <c r="V14" s="31">
        <f t="shared" si="5"/>
        <v>5.9720228676942115</v>
      </c>
      <c r="W14" s="31">
        <f t="shared" si="5"/>
        <v>6.8956619976553917</v>
      </c>
      <c r="X14" s="31"/>
    </row>
    <row r="15" spans="1:24" x14ac:dyDescent="0.3">
      <c r="M15" s="30" t="s">
        <v>3</v>
      </c>
      <c r="N15" s="33">
        <f t="shared" si="0"/>
        <v>65.3</v>
      </c>
      <c r="O15">
        <f t="shared" si="1"/>
        <v>33</v>
      </c>
      <c r="P15" s="31">
        <f t="shared" si="1"/>
        <v>6.9660627062268636</v>
      </c>
      <c r="Q15" s="33">
        <f t="shared" si="2"/>
        <v>48</v>
      </c>
      <c r="R15">
        <f t="shared" ref="R15:S15" si="6">R5</f>
        <v>32</v>
      </c>
      <c r="S15" s="31">
        <f t="shared" si="6"/>
        <v>6.1349924664624798</v>
      </c>
      <c r="T15" s="33">
        <f t="shared" si="4"/>
        <v>51.2</v>
      </c>
      <c r="U15">
        <f t="shared" ref="U15:W15" si="7">U5</f>
        <v>36</v>
      </c>
      <c r="V15" s="31">
        <f t="shared" si="7"/>
        <v>5.9772454192037721</v>
      </c>
      <c r="W15" s="31">
        <f t="shared" si="7"/>
        <v>6.9016922742924907</v>
      </c>
      <c r="X15" s="31"/>
    </row>
    <row r="16" spans="1:24" x14ac:dyDescent="0.3">
      <c r="M16" s="30" t="s">
        <v>4</v>
      </c>
      <c r="N16" s="33">
        <f t="shared" si="0"/>
        <v>45.8</v>
      </c>
      <c r="O16">
        <f t="shared" si="1"/>
        <v>38</v>
      </c>
      <c r="P16" s="31">
        <f t="shared" si="1"/>
        <v>5.5863722583920241</v>
      </c>
      <c r="Q16" s="33">
        <f t="shared" si="2"/>
        <v>40</v>
      </c>
      <c r="R16">
        <f t="shared" ref="R16:S16" si="8">R6</f>
        <v>38</v>
      </c>
      <c r="S16" s="31">
        <f t="shared" si="8"/>
        <v>5.2673722583920242</v>
      </c>
      <c r="T16" s="33">
        <f t="shared" si="4"/>
        <v>36.4</v>
      </c>
      <c r="U16">
        <f t="shared" ref="U16:W16" si="9">U6</f>
        <v>37</v>
      </c>
      <c r="V16" s="31">
        <f t="shared" si="9"/>
        <v>5.1522742113215392</v>
      </c>
      <c r="W16" s="31">
        <f t="shared" si="9"/>
        <v>5.9491301804454206</v>
      </c>
      <c r="X16" s="31"/>
    </row>
    <row r="17" spans="13:24" x14ac:dyDescent="0.3">
      <c r="M17" s="30" t="s">
        <v>5</v>
      </c>
      <c r="N17" s="33">
        <f t="shared" si="0"/>
        <v>66</v>
      </c>
      <c r="O17">
        <f t="shared" si="1"/>
        <v>33</v>
      </c>
      <c r="P17" s="31">
        <f t="shared" si="1"/>
        <v>7.0045627062268645</v>
      </c>
      <c r="Q17" s="33">
        <f t="shared" si="2"/>
        <v>54</v>
      </c>
      <c r="R17">
        <f t="shared" ref="R17:S17" si="10">R7</f>
        <v>33</v>
      </c>
      <c r="S17" s="31">
        <f t="shared" si="10"/>
        <v>6.3445627062268626</v>
      </c>
      <c r="T17" s="33">
        <f t="shared" si="4"/>
        <v>41.9</v>
      </c>
      <c r="U17">
        <f t="shared" ref="U17:W17" si="11">U7</f>
        <v>33</v>
      </c>
      <c r="V17" s="31">
        <f t="shared" si="11"/>
        <v>5.6790627062268637</v>
      </c>
      <c r="W17" s="31">
        <f t="shared" si="11"/>
        <v>6.5573923196899164</v>
      </c>
      <c r="X17" s="31"/>
    </row>
    <row r="18" spans="13:24" x14ac:dyDescent="0.3">
      <c r="M18" s="30" t="s">
        <v>64</v>
      </c>
      <c r="N18" s="33">
        <f t="shared" si="0"/>
        <v>66</v>
      </c>
      <c r="O18">
        <f t="shared" si="1"/>
        <v>34</v>
      </c>
      <c r="P18" s="31">
        <f t="shared" si="1"/>
        <v>6.9053108619260746</v>
      </c>
      <c r="Q18" s="33">
        <f t="shared" si="2"/>
        <v>42</v>
      </c>
      <c r="R18">
        <f t="shared" ref="R18:S18" si="12">R8</f>
        <v>37</v>
      </c>
      <c r="S18" s="31">
        <f t="shared" si="12"/>
        <v>5.4602742113215399</v>
      </c>
      <c r="T18" s="33">
        <f t="shared" si="4"/>
        <v>50</v>
      </c>
      <c r="U18">
        <f t="shared" ref="U18:W18" si="13">U8</f>
        <v>39</v>
      </c>
      <c r="V18" s="31">
        <f t="shared" si="13"/>
        <v>5.8188074000963423</v>
      </c>
      <c r="W18" s="31">
        <f t="shared" si="13"/>
        <v>6.7187500700264966</v>
      </c>
      <c r="X18" s="31"/>
    </row>
    <row r="19" spans="13:24" x14ac:dyDescent="0.3">
      <c r="M19" s="30" t="s">
        <v>6</v>
      </c>
      <c r="N19" s="33">
        <f t="shared" si="0"/>
        <v>67</v>
      </c>
      <c r="O19">
        <f t="shared" si="1"/>
        <v>39</v>
      </c>
      <c r="P19" s="31">
        <f t="shared" si="1"/>
        <v>6.7538074000963437</v>
      </c>
      <c r="Q19" s="33">
        <f t="shared" si="2"/>
        <v>41.7</v>
      </c>
      <c r="R19">
        <f t="shared" ref="R19:S19" si="14">R9</f>
        <v>38</v>
      </c>
      <c r="S19" s="31">
        <f t="shared" si="14"/>
        <v>5.3608722583920239</v>
      </c>
      <c r="T19" s="33">
        <f t="shared" si="4"/>
        <v>27.3</v>
      </c>
      <c r="U19">
        <f t="shared" ref="U19:W19" si="15">U9</f>
        <v>43</v>
      </c>
      <c r="V19" s="31">
        <f t="shared" si="15"/>
        <v>4.4629109804087284</v>
      </c>
      <c r="W19" s="31">
        <f t="shared" si="15"/>
        <v>5.1531493311922816</v>
      </c>
      <c r="X19" s="31"/>
    </row>
    <row r="20" spans="13:24" x14ac:dyDescent="0.3">
      <c r="N20" s="33">
        <f t="shared" si="0"/>
        <v>67</v>
      </c>
      <c r="O20" s="33">
        <f t="shared" si="1"/>
        <v>35.6</v>
      </c>
      <c r="P20" s="31">
        <f t="shared" si="1"/>
        <v>6.8817650306555009</v>
      </c>
      <c r="Q20" s="33">
        <f t="shared" si="2"/>
        <v>45</v>
      </c>
      <c r="R20" s="33">
        <f t="shared" ref="R20:S20" si="16">R10</f>
        <v>36</v>
      </c>
      <c r="S20" s="31">
        <f t="shared" si="16"/>
        <v>5.6362454192037719</v>
      </c>
      <c r="T20" s="33">
        <f t="shared" si="4"/>
        <v>42</v>
      </c>
      <c r="U20" s="33">
        <f t="shared" ref="U20:W20" si="17">U10</f>
        <v>39</v>
      </c>
      <c r="V20" s="31">
        <f t="shared" si="17"/>
        <v>5.3788074000963428</v>
      </c>
      <c r="W20" s="31">
        <f t="shared" si="17"/>
        <v>6.21069922256887</v>
      </c>
      <c r="X20" s="31"/>
    </row>
  </sheetData>
  <mergeCells count="3">
    <mergeCell ref="H1:J1"/>
    <mergeCell ref="E1:G1"/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DB5C8-AD7B-4707-A20F-1A3E279300AB}">
  <dimension ref="A1:V27"/>
  <sheetViews>
    <sheetView tabSelected="1" workbookViewId="0">
      <selection activeCell="M13" sqref="M13"/>
    </sheetView>
  </sheetViews>
  <sheetFormatPr defaultRowHeight="14.4" x14ac:dyDescent="0.3"/>
  <cols>
    <col min="1" max="1" width="10.88671875" bestFit="1" customWidth="1"/>
    <col min="2" max="2" width="12.5546875" bestFit="1" customWidth="1"/>
    <col min="4" max="4" width="7.6640625" bestFit="1" customWidth="1"/>
    <col min="7" max="7" width="7.6640625" customWidth="1"/>
    <col min="10" max="11" width="7.6640625" customWidth="1"/>
  </cols>
  <sheetData>
    <row r="1" spans="1:22" x14ac:dyDescent="0.3">
      <c r="B1" s="34">
        <v>2019</v>
      </c>
      <c r="C1" s="34"/>
      <c r="D1" s="34"/>
      <c r="E1" s="34">
        <v>2020</v>
      </c>
      <c r="F1" s="34"/>
      <c r="G1" s="34"/>
      <c r="H1" s="34">
        <v>2021</v>
      </c>
      <c r="I1" s="34"/>
      <c r="J1" s="34"/>
      <c r="K1" s="10">
        <v>2022</v>
      </c>
    </row>
    <row r="2" spans="1:22" x14ac:dyDescent="0.3">
      <c r="A2" s="10" t="s">
        <v>0</v>
      </c>
      <c r="B2" s="10" t="s">
        <v>59</v>
      </c>
      <c r="C2" s="10" t="s">
        <v>8</v>
      </c>
      <c r="D2" s="10" t="s">
        <v>60</v>
      </c>
      <c r="E2" s="10" t="s">
        <v>7</v>
      </c>
      <c r="F2" s="10" t="s">
        <v>8</v>
      </c>
      <c r="G2" s="10" t="s">
        <v>9</v>
      </c>
      <c r="H2" s="10" t="s">
        <v>7</v>
      </c>
      <c r="I2" s="10" t="s">
        <v>8</v>
      </c>
      <c r="J2" s="10" t="s">
        <v>9</v>
      </c>
      <c r="K2" s="10" t="s">
        <v>9</v>
      </c>
    </row>
    <row r="3" spans="1:22" x14ac:dyDescent="0.3">
      <c r="A3" s="13" t="s">
        <v>2</v>
      </c>
      <c r="B3" s="13">
        <v>8.8200000000000001E-2</v>
      </c>
      <c r="C3" s="32">
        <v>17.5</v>
      </c>
      <c r="D3" s="4">
        <v>10.32754219144163</v>
      </c>
      <c r="E3" s="4">
        <v>7.1800000000000003E-2</v>
      </c>
      <c r="F3" s="32">
        <v>16.100000000000001</v>
      </c>
      <c r="G3" s="4">
        <v>9.8613803224187464</v>
      </c>
      <c r="H3" s="13">
        <v>6.4500000000000002E-2</v>
      </c>
      <c r="I3" s="32">
        <v>17.2</v>
      </c>
      <c r="J3" s="4">
        <v>9.1195632761760788</v>
      </c>
      <c r="K3" s="4">
        <v>10.530004206601616</v>
      </c>
    </row>
    <row r="4" spans="1:22" x14ac:dyDescent="0.3">
      <c r="A4" s="13" t="s">
        <v>3</v>
      </c>
      <c r="B4" s="13">
        <v>8.2400000000000001E-2</v>
      </c>
      <c r="C4" s="12">
        <v>17.5</v>
      </c>
      <c r="D4" s="4">
        <v>10.008542191441633</v>
      </c>
      <c r="E4" s="4">
        <v>7.22E-2</v>
      </c>
      <c r="F4" s="12">
        <v>16.100000000000001</v>
      </c>
      <c r="G4" s="4">
        <v>9.8833803224187466</v>
      </c>
      <c r="H4" s="13">
        <v>5.16E-2</v>
      </c>
      <c r="I4" s="12">
        <v>17.2</v>
      </c>
      <c r="J4" s="4">
        <v>8.4100632761760785</v>
      </c>
      <c r="K4" s="4">
        <v>9.7107722150761919</v>
      </c>
    </row>
    <row r="5" spans="1:22" x14ac:dyDescent="0.3">
      <c r="A5" s="10" t="s">
        <v>5</v>
      </c>
      <c r="B5" s="10">
        <v>5.8799999999999998E-2</v>
      </c>
      <c r="C5" s="12">
        <v>17.5</v>
      </c>
      <c r="D5" s="4">
        <v>8.7105421914416326</v>
      </c>
      <c r="E5" s="4">
        <v>6.1499999999999999E-2</v>
      </c>
      <c r="F5" s="12">
        <v>16.100000000000001</v>
      </c>
      <c r="G5" s="4">
        <v>9.2948803224187468</v>
      </c>
      <c r="H5" s="10">
        <v>5.16E-2</v>
      </c>
      <c r="I5" s="12">
        <v>17.2</v>
      </c>
      <c r="J5" s="4">
        <v>8.4100632761760785</v>
      </c>
      <c r="K5" s="4">
        <v>9.7107722150761919</v>
      </c>
      <c r="N5" s="13"/>
      <c r="O5" s="13"/>
      <c r="P5" s="13"/>
      <c r="Q5" s="13"/>
      <c r="R5" s="13"/>
      <c r="S5" s="13"/>
      <c r="T5" s="13"/>
      <c r="U5" s="13"/>
      <c r="V5" s="13"/>
    </row>
    <row r="6" spans="1:22" x14ac:dyDescent="0.3">
      <c r="A6" s="16" t="s">
        <v>64</v>
      </c>
      <c r="B6" s="4">
        <v>7.7799999999999994E-2</v>
      </c>
      <c r="C6" s="12">
        <v>17.5</v>
      </c>
      <c r="D6" s="4">
        <v>9.7555421914416307</v>
      </c>
      <c r="E6" s="4">
        <v>5.9499999999999997E-2</v>
      </c>
      <c r="F6" s="12">
        <v>16.100000000000001</v>
      </c>
      <c r="G6" s="4">
        <v>9.1848803224187474</v>
      </c>
      <c r="H6" s="4">
        <v>6.4500000000000002E-2</v>
      </c>
      <c r="I6" s="12">
        <v>17.2</v>
      </c>
      <c r="J6" s="4">
        <v>9.1195632761760788</v>
      </c>
      <c r="K6" s="4">
        <v>10.530004206601616</v>
      </c>
      <c r="N6" s="13"/>
      <c r="O6" s="13"/>
      <c r="P6" s="13"/>
      <c r="Q6" s="13"/>
      <c r="R6" s="13"/>
      <c r="S6" s="13"/>
      <c r="T6" s="13"/>
      <c r="U6" s="13"/>
      <c r="V6" s="13"/>
    </row>
    <row r="7" spans="1:22" x14ac:dyDescent="0.3">
      <c r="A7" s="13" t="s">
        <v>6</v>
      </c>
      <c r="B7" s="13">
        <v>5.7099999999999998E-2</v>
      </c>
      <c r="C7" s="12">
        <v>17.5</v>
      </c>
      <c r="D7" s="4">
        <v>8.617042191441632</v>
      </c>
      <c r="E7" s="4">
        <v>4.4400000000000002E-2</v>
      </c>
      <c r="F7" s="12">
        <v>16.100000000000001</v>
      </c>
      <c r="G7" s="4">
        <v>8.3543803224187485</v>
      </c>
      <c r="H7" s="13">
        <v>4.8300000000000003E-2</v>
      </c>
      <c r="I7" s="12">
        <v>17.2</v>
      </c>
      <c r="J7" s="4">
        <v>8.2285632761760787</v>
      </c>
      <c r="K7" s="4">
        <v>9.5012012404999204</v>
      </c>
      <c r="N7" s="13"/>
      <c r="O7" s="13"/>
      <c r="P7" s="13"/>
      <c r="Q7" s="13"/>
      <c r="R7" s="13"/>
      <c r="S7" s="13"/>
      <c r="T7" s="13"/>
      <c r="U7" s="13"/>
      <c r="V7" s="13"/>
    </row>
    <row r="8" spans="1:22" x14ac:dyDescent="0.3">
      <c r="A8" s="13" t="s">
        <v>63</v>
      </c>
      <c r="B8" s="4">
        <v>0.1278</v>
      </c>
      <c r="C8" s="12">
        <v>17.5</v>
      </c>
      <c r="D8" s="4">
        <v>12.505542191441634</v>
      </c>
      <c r="E8" s="4">
        <v>0.1081</v>
      </c>
      <c r="F8" s="12">
        <v>16.100000000000001</v>
      </c>
      <c r="G8" s="4">
        <v>11.857880322418747</v>
      </c>
      <c r="H8" s="13">
        <v>8.3900000000000002E-2</v>
      </c>
      <c r="I8" s="12">
        <v>17.2</v>
      </c>
      <c r="J8" s="4">
        <v>10.186563276176077</v>
      </c>
      <c r="K8" s="4">
        <v>11.762027511686359</v>
      </c>
      <c r="N8" s="13"/>
      <c r="O8" s="13"/>
      <c r="P8" s="13"/>
      <c r="Q8" s="13"/>
      <c r="R8" s="13"/>
      <c r="S8" s="13"/>
      <c r="T8" s="13"/>
      <c r="U8" s="13"/>
      <c r="V8" s="13"/>
    </row>
    <row r="9" spans="1:22" x14ac:dyDescent="0.3">
      <c r="A9" s="10" t="s">
        <v>10</v>
      </c>
      <c r="B9" s="6">
        <v>6.8000000000000005E-2</v>
      </c>
      <c r="C9" s="12">
        <v>17.5</v>
      </c>
      <c r="D9" s="6">
        <v>9.216542191441631</v>
      </c>
      <c r="E9" s="6">
        <v>5.7000000000000002E-2</v>
      </c>
      <c r="F9" s="7">
        <v>16.100000000000001</v>
      </c>
      <c r="G9" s="6">
        <v>9.0473803224187481</v>
      </c>
      <c r="H9" s="6">
        <v>4.8000000000000001E-2</v>
      </c>
      <c r="I9" s="7">
        <v>17.2</v>
      </c>
      <c r="J9" s="6">
        <v>8.2120632761760781</v>
      </c>
      <c r="K9" s="6">
        <v>9.4821493337202583</v>
      </c>
      <c r="N9" s="13"/>
      <c r="O9" s="13"/>
      <c r="P9" s="13"/>
      <c r="Q9" s="13"/>
      <c r="R9" s="13"/>
      <c r="S9" s="13"/>
      <c r="T9" s="13"/>
      <c r="U9" s="13"/>
      <c r="V9" s="13"/>
    </row>
    <row r="10" spans="1:22" x14ac:dyDescent="0.3">
      <c r="C10" s="10"/>
      <c r="N10" s="13"/>
      <c r="O10" s="13"/>
      <c r="P10" s="13"/>
      <c r="Q10" s="13"/>
      <c r="R10" s="13"/>
      <c r="S10" s="13"/>
      <c r="T10" s="13"/>
      <c r="U10" s="13"/>
      <c r="V10" s="13"/>
    </row>
    <row r="11" spans="1:22" x14ac:dyDescent="0.3">
      <c r="B11">
        <f>(1-B7/B9)*100</f>
        <v>16.029411764705891</v>
      </c>
      <c r="E11">
        <f>(1-E7/E9)*100</f>
        <v>22.10526315789474</v>
      </c>
      <c r="H11">
        <f>(1-H7/H9)*100</f>
        <v>-0.62500000000000888</v>
      </c>
      <c r="N11" s="13"/>
      <c r="O11" s="13"/>
      <c r="P11" s="13"/>
      <c r="Q11" s="13"/>
      <c r="R11" s="13"/>
      <c r="S11" s="13"/>
      <c r="T11" s="13"/>
      <c r="U11" s="13"/>
      <c r="V11" s="13"/>
    </row>
    <row r="12" spans="1:22" x14ac:dyDescent="0.3">
      <c r="N12" s="13"/>
      <c r="O12" s="13"/>
      <c r="P12" s="13"/>
      <c r="Q12" s="13"/>
      <c r="R12" s="13"/>
      <c r="S12" s="13"/>
      <c r="T12" s="13"/>
      <c r="U12" s="13"/>
      <c r="V12" s="13"/>
    </row>
    <row r="13" spans="1:22" x14ac:dyDescent="0.3">
      <c r="A13" s="13"/>
      <c r="B13" s="4"/>
      <c r="C13" s="12"/>
      <c r="D13" s="4"/>
      <c r="E13" s="4"/>
      <c r="F13" s="12"/>
      <c r="G13" s="4"/>
      <c r="H13" s="4"/>
      <c r="I13" s="12"/>
      <c r="J13" s="4"/>
      <c r="K13" s="4"/>
      <c r="N13" s="13"/>
      <c r="O13" s="13"/>
      <c r="P13" s="13"/>
      <c r="Q13" s="13"/>
      <c r="R13" s="13"/>
      <c r="S13" s="13"/>
      <c r="T13" s="13"/>
      <c r="U13" s="13"/>
      <c r="V13" s="13"/>
    </row>
    <row r="14" spans="1:22" x14ac:dyDescent="0.3">
      <c r="A14" s="13"/>
      <c r="B14" s="4"/>
      <c r="C14" s="12"/>
      <c r="D14" s="4"/>
      <c r="E14" s="4"/>
      <c r="F14" s="12"/>
      <c r="G14" s="4"/>
      <c r="H14" s="13"/>
      <c r="I14" s="12"/>
      <c r="J14" s="4"/>
      <c r="K14" s="4"/>
      <c r="N14" s="13"/>
      <c r="O14" s="13"/>
      <c r="P14" s="13"/>
      <c r="Q14" s="13"/>
      <c r="R14" s="13"/>
      <c r="S14" s="13"/>
      <c r="T14" s="13"/>
      <c r="U14" s="13"/>
      <c r="V14" s="13"/>
    </row>
    <row r="15" spans="1:22" x14ac:dyDescent="0.3">
      <c r="A15" s="13"/>
      <c r="B15" s="13"/>
      <c r="C15" s="12"/>
      <c r="D15" s="4"/>
      <c r="E15" s="4"/>
      <c r="F15" s="12"/>
      <c r="G15" s="4"/>
      <c r="H15" s="13"/>
      <c r="I15" s="12"/>
      <c r="J15" s="4"/>
      <c r="K15" s="4"/>
      <c r="N15" s="13"/>
      <c r="O15" s="13"/>
      <c r="P15" s="13"/>
      <c r="Q15" s="13"/>
      <c r="R15" s="13"/>
      <c r="S15" s="13"/>
      <c r="T15" s="13"/>
      <c r="U15" s="13"/>
      <c r="V15" s="13"/>
    </row>
    <row r="16" spans="1:22" x14ac:dyDescent="0.3">
      <c r="N16" s="13"/>
      <c r="O16" s="13"/>
      <c r="P16" s="13"/>
      <c r="Q16" s="13"/>
      <c r="R16" s="13"/>
      <c r="S16" s="13"/>
      <c r="T16" s="13"/>
      <c r="U16" s="13"/>
      <c r="V16" s="13"/>
    </row>
    <row r="17" spans="14:22" x14ac:dyDescent="0.3">
      <c r="N17" s="13"/>
      <c r="O17" s="13"/>
      <c r="P17" s="13"/>
      <c r="Q17" s="13"/>
      <c r="R17" s="13"/>
      <c r="S17" s="13"/>
      <c r="T17" s="13"/>
      <c r="U17" s="13"/>
      <c r="V17" s="13"/>
    </row>
    <row r="18" spans="14:22" x14ac:dyDescent="0.3">
      <c r="N18" s="13"/>
      <c r="O18" s="13"/>
      <c r="P18" s="13"/>
      <c r="Q18" s="13"/>
      <c r="R18" s="13"/>
      <c r="S18" s="13"/>
      <c r="T18" s="13"/>
      <c r="U18" s="13"/>
      <c r="V18" s="13"/>
    </row>
    <row r="19" spans="14:22" x14ac:dyDescent="0.3">
      <c r="N19" s="13"/>
      <c r="O19" s="13"/>
      <c r="P19" s="13"/>
      <c r="Q19" s="13"/>
      <c r="R19" s="13"/>
      <c r="S19" s="13"/>
      <c r="T19" s="13"/>
      <c r="U19" s="13"/>
      <c r="V19" s="13"/>
    </row>
    <row r="20" spans="14:22" x14ac:dyDescent="0.3">
      <c r="N20" s="13"/>
      <c r="O20" s="13"/>
      <c r="P20" s="13"/>
      <c r="Q20" s="13"/>
      <c r="R20" s="13"/>
      <c r="S20" s="13"/>
      <c r="T20" s="13"/>
      <c r="U20" s="13"/>
      <c r="V20" s="13"/>
    </row>
    <row r="21" spans="14:22" x14ac:dyDescent="0.3">
      <c r="N21" s="13"/>
      <c r="O21" s="13"/>
      <c r="P21" s="13"/>
      <c r="Q21" s="13"/>
      <c r="R21" s="13"/>
      <c r="S21" s="13"/>
      <c r="T21" s="13"/>
      <c r="U21" s="13"/>
      <c r="V21" s="13"/>
    </row>
    <row r="22" spans="14:22" x14ac:dyDescent="0.3">
      <c r="N22" s="13"/>
      <c r="O22" s="13"/>
      <c r="P22" s="13"/>
      <c r="Q22" s="13"/>
      <c r="R22" s="13"/>
      <c r="S22" s="13"/>
      <c r="T22" s="13"/>
      <c r="U22" s="13"/>
      <c r="V22" s="13"/>
    </row>
    <row r="23" spans="14:22" x14ac:dyDescent="0.3">
      <c r="N23" s="13"/>
      <c r="O23" s="13"/>
      <c r="P23" s="13"/>
      <c r="Q23" s="13"/>
      <c r="R23" s="13"/>
      <c r="S23" s="13"/>
      <c r="T23" s="13"/>
      <c r="U23" s="13"/>
      <c r="V23" s="13"/>
    </row>
    <row r="24" spans="14:22" x14ac:dyDescent="0.3">
      <c r="N24" s="13"/>
      <c r="O24" s="13"/>
      <c r="P24" s="13"/>
      <c r="Q24" s="13"/>
      <c r="R24" s="13"/>
      <c r="S24" s="13"/>
      <c r="T24" s="13"/>
      <c r="U24" s="13"/>
      <c r="V24" s="13"/>
    </row>
    <row r="25" spans="14:22" x14ac:dyDescent="0.3">
      <c r="N25" s="13"/>
      <c r="O25" s="13"/>
      <c r="P25" s="13"/>
      <c r="Q25" s="13"/>
      <c r="R25" s="13"/>
      <c r="S25" s="13"/>
      <c r="T25" s="13"/>
      <c r="U25" s="13"/>
      <c r="V25" s="13"/>
    </row>
    <row r="26" spans="14:22" x14ac:dyDescent="0.3">
      <c r="N26" s="13"/>
      <c r="O26" s="13"/>
      <c r="P26" s="13"/>
      <c r="Q26" s="13"/>
      <c r="R26" s="13"/>
      <c r="S26" s="13"/>
      <c r="T26" s="13"/>
      <c r="U26" s="13"/>
      <c r="V26" s="13"/>
    </row>
    <row r="27" spans="14:22" x14ac:dyDescent="0.3">
      <c r="N27" s="13"/>
      <c r="O27" s="13"/>
      <c r="P27" s="13"/>
      <c r="Q27" s="13"/>
      <c r="R27" s="13"/>
      <c r="S27" s="13"/>
      <c r="T27" s="13"/>
      <c r="U27" s="13"/>
      <c r="V27" s="13"/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9B229-C3D6-4135-8FAF-20ADF246D35B}">
  <dimension ref="A1:R34"/>
  <sheetViews>
    <sheetView zoomScaleNormal="100" workbookViewId="0">
      <selection activeCell="N39" sqref="N39"/>
    </sheetView>
  </sheetViews>
  <sheetFormatPr defaultRowHeight="14.4" x14ac:dyDescent="0.3"/>
  <cols>
    <col min="1" max="1" width="7.44140625" bestFit="1" customWidth="1"/>
    <col min="2" max="9" width="6.6640625" bestFit="1" customWidth="1"/>
    <col min="10" max="10" width="14.109375" bestFit="1" customWidth="1"/>
  </cols>
  <sheetData>
    <row r="1" spans="1:18" x14ac:dyDescent="0.3">
      <c r="A1" s="23" t="s">
        <v>9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64</v>
      </c>
      <c r="H1" s="23" t="s">
        <v>6</v>
      </c>
      <c r="I1" s="23" t="s">
        <v>10</v>
      </c>
      <c r="J1" s="29"/>
      <c r="K1" s="22"/>
      <c r="L1" s="22"/>
      <c r="M1" s="22"/>
      <c r="N1" s="22"/>
      <c r="O1" s="22"/>
      <c r="P1" s="22"/>
      <c r="Q1" s="22"/>
      <c r="R1" s="22"/>
    </row>
    <row r="2" spans="1:18" x14ac:dyDescent="0.3">
      <c r="A2" s="25" t="s">
        <v>47</v>
      </c>
      <c r="B2" s="26">
        <v>6.3383372631593842</v>
      </c>
      <c r="C2" s="26">
        <v>6.7278042927583384</v>
      </c>
      <c r="D2" s="26">
        <v>6.733687777340295</v>
      </c>
      <c r="E2" s="26">
        <v>5.804313433545282</v>
      </c>
      <c r="F2" s="26">
        <v>6.3977689470148968</v>
      </c>
      <c r="G2" s="26">
        <v>6.5551988450802865</v>
      </c>
      <c r="H2" s="26">
        <v>5.0277087542005674</v>
      </c>
      <c r="I2" s="26">
        <v>6.0595152292610779</v>
      </c>
      <c r="J2" s="38" t="s">
        <v>80</v>
      </c>
    </row>
    <row r="3" spans="1:18" x14ac:dyDescent="0.3">
      <c r="A3" s="25" t="s">
        <v>48</v>
      </c>
      <c r="B3" s="26">
        <v>6.3530387726087874</v>
      </c>
      <c r="C3" s="26">
        <v>6.7434091547713804</v>
      </c>
      <c r="D3" s="26">
        <v>6.7493062858509258</v>
      </c>
      <c r="E3" s="26">
        <v>5.8177762969505711</v>
      </c>
      <c r="F3" s="26">
        <v>6.4126083057811671</v>
      </c>
      <c r="G3" s="26">
        <v>6.57040335594212</v>
      </c>
      <c r="H3" s="26">
        <v>5.0393703153781892</v>
      </c>
      <c r="I3" s="26">
        <v>6.073570022608787</v>
      </c>
      <c r="J3" s="38"/>
    </row>
    <row r="4" spans="1:18" x14ac:dyDescent="0.3">
      <c r="A4" s="25" t="s">
        <v>49</v>
      </c>
      <c r="B4" s="26">
        <v>6.3640317931880723</v>
      </c>
      <c r="C4" s="26">
        <v>6.7550776551955476</v>
      </c>
      <c r="D4" s="26">
        <v>6.76098499041293</v>
      </c>
      <c r="E4" s="26">
        <v>5.827843122740112</v>
      </c>
      <c r="F4" s="26">
        <v>6.423704402876667</v>
      </c>
      <c r="G4" s="26">
        <v>6.5817724946946621</v>
      </c>
      <c r="H4" s="26">
        <v>5.048090221483978</v>
      </c>
      <c r="I4" s="26">
        <v>6.0840794626795969</v>
      </c>
      <c r="J4" s="38"/>
    </row>
    <row r="5" spans="1:18" x14ac:dyDescent="0.3">
      <c r="A5" s="25" t="s">
        <v>50</v>
      </c>
      <c r="B5" s="26">
        <v>6.3947592723976383</v>
      </c>
      <c r="C5" s="26">
        <v>6.7876932226462321</v>
      </c>
      <c r="D5" s="26">
        <v>6.7936290802729884</v>
      </c>
      <c r="E5" s="26">
        <v>5.8559817201277449</v>
      </c>
      <c r="F5" s="26">
        <v>6.4547199995773417</v>
      </c>
      <c r="G5" s="26">
        <v>6.6135512921716488</v>
      </c>
      <c r="H5" s="26">
        <v>5.0724639349363052</v>
      </c>
      <c r="I5" s="26">
        <v>6.113455246973909</v>
      </c>
      <c r="J5" s="38"/>
    </row>
    <row r="6" spans="1:18" x14ac:dyDescent="0.3">
      <c r="A6" s="25" t="s">
        <v>51</v>
      </c>
      <c r="B6" s="26">
        <v>6.4367181750424241</v>
      </c>
      <c r="C6" s="26">
        <v>6.8322303423375104</v>
      </c>
      <c r="D6" s="26">
        <v>6.8382051478060326</v>
      </c>
      <c r="E6" s="26">
        <v>5.8944054600087856</v>
      </c>
      <c r="F6" s="26">
        <v>6.4970723316237784</v>
      </c>
      <c r="G6" s="26">
        <v>6.6569457880367731</v>
      </c>
      <c r="H6" s="26">
        <v>5.1057466608918949</v>
      </c>
      <c r="I6" s="26">
        <v>6.1535683869068301</v>
      </c>
      <c r="J6" s="38"/>
    </row>
    <row r="7" spans="1:18" x14ac:dyDescent="0.3">
      <c r="A7" s="25" t="s">
        <v>52</v>
      </c>
      <c r="B7" s="26">
        <v>6.4666774672717509</v>
      </c>
      <c r="C7" s="26">
        <v>6.8640305206019283</v>
      </c>
      <c r="D7" s="26">
        <v>6.8700331354195905</v>
      </c>
      <c r="E7" s="26">
        <v>5.9218405924617272</v>
      </c>
      <c r="F7" s="26">
        <v>6.5273125384069361</v>
      </c>
      <c r="G7" s="26">
        <v>6.6879301155768349</v>
      </c>
      <c r="H7" s="26">
        <v>5.1295110315079135</v>
      </c>
      <c r="I7" s="26">
        <v>6.1822097765937842</v>
      </c>
      <c r="J7" s="38"/>
    </row>
    <row r="8" spans="1:18" x14ac:dyDescent="0.3">
      <c r="A8" s="25" t="s">
        <v>53</v>
      </c>
      <c r="B8" s="26">
        <v>6.4848982569754519</v>
      </c>
      <c r="C8" s="26">
        <v>6.8833709094289031</v>
      </c>
      <c r="D8" s="26">
        <v>6.8893904374733062</v>
      </c>
      <c r="E8" s="26">
        <v>5.938526226257471</v>
      </c>
      <c r="F8" s="26">
        <v>6.5457041761056729</v>
      </c>
      <c r="G8" s="26">
        <v>6.7067743162974853</v>
      </c>
      <c r="H8" s="26">
        <v>5.1439641633149273</v>
      </c>
      <c r="I8" s="26">
        <v>6.1996290378471226</v>
      </c>
      <c r="J8" s="38"/>
    </row>
    <row r="9" spans="1:18" x14ac:dyDescent="0.3">
      <c r="A9" s="25" t="s">
        <v>54</v>
      </c>
      <c r="B9" s="26">
        <v>6.4932991195179701</v>
      </c>
      <c r="C9" s="26">
        <v>6.8922879734363569</v>
      </c>
      <c r="D9" s="26">
        <v>6.8983152994793819</v>
      </c>
      <c r="E9" s="26">
        <v>5.9462192910604941</v>
      </c>
      <c r="F9" s="26">
        <v>6.5541838096863998</v>
      </c>
      <c r="G9" s="26">
        <v>6.7154626082185338</v>
      </c>
      <c r="H9" s="26">
        <v>5.1506279125592833</v>
      </c>
      <c r="I9" s="26">
        <v>6.2076603483315287</v>
      </c>
      <c r="J9" s="38"/>
    </row>
    <row r="10" spans="1:18" x14ac:dyDescent="0.3">
      <c r="A10" s="25" t="s">
        <v>55</v>
      </c>
      <c r="B10" s="26">
        <v>6.4970076083880892</v>
      </c>
      <c r="C10" s="26">
        <v>6.8962243350252317</v>
      </c>
      <c r="D10" s="26">
        <v>6.9022551034280095</v>
      </c>
      <c r="E10" s="26">
        <v>5.9496153286762423</v>
      </c>
      <c r="F10" s="26">
        <v>6.5579270713571693</v>
      </c>
      <c r="G10" s="26">
        <v>6.7192979803278243</v>
      </c>
      <c r="H10" s="26">
        <v>5.1535695676311146</v>
      </c>
      <c r="I10" s="26">
        <v>6.2112057016084279</v>
      </c>
      <c r="J10" s="38"/>
    </row>
    <row r="11" spans="1:18" x14ac:dyDescent="0.3">
      <c r="A11" s="25" t="s">
        <v>56</v>
      </c>
      <c r="B11" s="26">
        <v>6.4959215509332688</v>
      </c>
      <c r="C11" s="26">
        <v>6.8950715434170622</v>
      </c>
      <c r="D11" s="26">
        <v>6.9011013037001971</v>
      </c>
      <c r="E11" s="26">
        <v>5.9486207748030591</v>
      </c>
      <c r="F11" s="26">
        <v>6.5568308304393019</v>
      </c>
      <c r="G11" s="26">
        <v>6.7181747642101035</v>
      </c>
      <c r="H11" s="26">
        <v>5.1527080829315075</v>
      </c>
      <c r="I11" s="26">
        <v>6.2101674195773358</v>
      </c>
      <c r="J11" s="38"/>
    </row>
    <row r="12" spans="1:18" x14ac:dyDescent="0.3">
      <c r="A12" s="23" t="s">
        <v>57</v>
      </c>
      <c r="B12" s="24">
        <v>6.4938770658353908</v>
      </c>
      <c r="C12" s="24">
        <v>6.8929014323852718</v>
      </c>
      <c r="D12" s="24">
        <v>6.898929294899947</v>
      </c>
      <c r="E12" s="24">
        <v>5.9467485436759349</v>
      </c>
      <c r="F12" s="24">
        <v>6.5547671751415839</v>
      </c>
      <c r="G12" s="24">
        <v>6.716060328547254</v>
      </c>
      <c r="H12" s="24">
        <v>5.1510863523107364</v>
      </c>
      <c r="I12" s="24">
        <v>6.2082128709201356</v>
      </c>
      <c r="J12" s="39"/>
    </row>
    <row r="13" spans="1:18" x14ac:dyDescent="0.3">
      <c r="A13" s="27" t="s">
        <v>47</v>
      </c>
      <c r="B13" s="28">
        <v>5.7215716409665198</v>
      </c>
      <c r="C13" s="28">
        <v>6.067287108564388</v>
      </c>
      <c r="D13" s="28">
        <v>6.0725096600739485</v>
      </c>
      <c r="E13" s="28">
        <v>5.2475384521917157</v>
      </c>
      <c r="F13" s="28">
        <v>5.7743269470970402</v>
      </c>
      <c r="G13" s="28">
        <v>5.9140716409665188</v>
      </c>
      <c r="H13" s="28">
        <v>4.5581752212789048</v>
      </c>
      <c r="I13" s="28">
        <v>5.4740716409665193</v>
      </c>
      <c r="J13" s="40" t="s">
        <v>81</v>
      </c>
    </row>
    <row r="14" spans="1:18" x14ac:dyDescent="0.3">
      <c r="A14" s="25" t="s">
        <v>48</v>
      </c>
      <c r="B14" s="26">
        <v>5.7219347252575927</v>
      </c>
      <c r="C14" s="26">
        <v>6.0676501928554609</v>
      </c>
      <c r="D14" s="26">
        <v>6.0728727443650214</v>
      </c>
      <c r="E14" s="26">
        <v>5.2479015364827886</v>
      </c>
      <c r="F14" s="26">
        <v>5.7746900313881131</v>
      </c>
      <c r="G14" s="26">
        <v>5.9144347252575917</v>
      </c>
      <c r="H14" s="26">
        <v>4.5585383055699777</v>
      </c>
      <c r="I14" s="26">
        <v>5.4744347252575922</v>
      </c>
      <c r="J14" s="38"/>
    </row>
    <row r="15" spans="1:18" x14ac:dyDescent="0.3">
      <c r="A15" s="25" t="s">
        <v>49</v>
      </c>
      <c r="B15" s="26">
        <v>5.7908753550250047</v>
      </c>
      <c r="C15" s="26">
        <v>6.1365908226228729</v>
      </c>
      <c r="D15" s="26">
        <v>6.1418133741324334</v>
      </c>
      <c r="E15" s="26">
        <v>5.3168421662502006</v>
      </c>
      <c r="F15" s="26">
        <v>5.8436306611555251</v>
      </c>
      <c r="G15" s="26">
        <v>5.9833753550250037</v>
      </c>
      <c r="H15" s="26">
        <v>4.6274789353373897</v>
      </c>
      <c r="I15" s="26">
        <v>5.5433753550250042</v>
      </c>
      <c r="J15" s="38"/>
    </row>
    <row r="16" spans="1:18" x14ac:dyDescent="0.3">
      <c r="A16" s="25" t="s">
        <v>50</v>
      </c>
      <c r="B16" s="26">
        <v>5.7399981687384551</v>
      </c>
      <c r="C16" s="26">
        <v>6.0857136363363233</v>
      </c>
      <c r="D16" s="26">
        <v>6.0909361878458839</v>
      </c>
      <c r="E16" s="26">
        <v>5.265964979963651</v>
      </c>
      <c r="F16" s="26">
        <v>5.7927534748689755</v>
      </c>
      <c r="G16" s="26">
        <v>5.9324981687384541</v>
      </c>
      <c r="H16" s="26">
        <v>4.5766017490508402</v>
      </c>
      <c r="I16" s="26">
        <v>5.4924981687384546</v>
      </c>
      <c r="J16" s="38"/>
    </row>
    <row r="17" spans="1:10" x14ac:dyDescent="0.3">
      <c r="A17" s="25" t="s">
        <v>51</v>
      </c>
      <c r="B17" s="26">
        <v>5.7182584968104821</v>
      </c>
      <c r="C17" s="26">
        <v>6.0639739644083503</v>
      </c>
      <c r="D17" s="26">
        <v>6.0691965159179109</v>
      </c>
      <c r="E17" s="26">
        <v>5.244225308035678</v>
      </c>
      <c r="F17" s="26">
        <v>5.7710138029410025</v>
      </c>
      <c r="G17" s="26">
        <v>5.9107584968104812</v>
      </c>
      <c r="H17" s="26">
        <v>4.5548620771228672</v>
      </c>
      <c r="I17" s="26">
        <v>5.4707584968104817</v>
      </c>
      <c r="J17" s="38"/>
    </row>
    <row r="18" spans="1:10" x14ac:dyDescent="0.3">
      <c r="A18" s="25" t="s">
        <v>52</v>
      </c>
      <c r="B18" s="26">
        <v>5.7318741577257049</v>
      </c>
      <c r="C18" s="26">
        <v>6.0775896253235731</v>
      </c>
      <c r="D18" s="26">
        <v>6.0828121768331336</v>
      </c>
      <c r="E18" s="26">
        <v>5.2578409689509007</v>
      </c>
      <c r="F18" s="26">
        <v>5.7846294638562252</v>
      </c>
      <c r="G18" s="26">
        <v>5.9243741577257039</v>
      </c>
      <c r="H18" s="26">
        <v>4.5684777380380899</v>
      </c>
      <c r="I18" s="26">
        <v>5.4843741577257044</v>
      </c>
      <c r="J18" s="38"/>
    </row>
    <row r="19" spans="1:10" x14ac:dyDescent="0.3">
      <c r="A19" s="25" t="s">
        <v>53</v>
      </c>
      <c r="B19" s="26">
        <v>5.8024940523393278</v>
      </c>
      <c r="C19" s="26">
        <v>6.148209519937196</v>
      </c>
      <c r="D19" s="26">
        <v>6.1534320714467565</v>
      </c>
      <c r="E19" s="26">
        <v>5.3284608635645236</v>
      </c>
      <c r="F19" s="26">
        <v>5.8552493584698482</v>
      </c>
      <c r="G19" s="26">
        <v>5.9949940523393268</v>
      </c>
      <c r="H19" s="26">
        <v>4.6390976326517128</v>
      </c>
      <c r="I19" s="26">
        <v>5.5549940523393273</v>
      </c>
      <c r="J19" s="38"/>
    </row>
    <row r="20" spans="1:10" x14ac:dyDescent="0.3">
      <c r="A20" s="25" t="s">
        <v>54</v>
      </c>
      <c r="B20" s="26">
        <v>5.8741578142897843</v>
      </c>
      <c r="C20" s="26">
        <v>6.2198732818876525</v>
      </c>
      <c r="D20" s="26">
        <v>6.225095833397214</v>
      </c>
      <c r="E20" s="26">
        <v>5.4001246255149802</v>
      </c>
      <c r="F20" s="26">
        <v>5.9269131204203056</v>
      </c>
      <c r="G20" s="26">
        <v>6.0666578142897833</v>
      </c>
      <c r="H20" s="26">
        <v>4.7107613946021694</v>
      </c>
      <c r="I20" s="26">
        <v>5.6266578142897838</v>
      </c>
      <c r="J20" s="38"/>
    </row>
    <row r="21" spans="1:10" x14ac:dyDescent="0.3">
      <c r="A21" s="25" t="s">
        <v>55</v>
      </c>
      <c r="B21" s="26">
        <v>5.7908753550250047</v>
      </c>
      <c r="C21" s="26">
        <v>6.1365908226228729</v>
      </c>
      <c r="D21" s="26">
        <v>6.1418133741324334</v>
      </c>
      <c r="E21" s="26">
        <v>5.3168421662502006</v>
      </c>
      <c r="F21" s="26">
        <v>5.8436306611555251</v>
      </c>
      <c r="G21" s="26">
        <v>5.9833753550250037</v>
      </c>
      <c r="H21" s="26">
        <v>4.6274789353373897</v>
      </c>
      <c r="I21" s="26">
        <v>5.5433753550250042</v>
      </c>
      <c r="J21" s="38"/>
    </row>
    <row r="22" spans="1:10" x14ac:dyDescent="0.3">
      <c r="A22" s="25" t="s">
        <v>56</v>
      </c>
      <c r="B22" s="26">
        <v>5.6624796725944524</v>
      </c>
      <c r="C22" s="26">
        <v>6.0081951401923206</v>
      </c>
      <c r="D22" s="26">
        <v>6.0134176917018811</v>
      </c>
      <c r="E22" s="26">
        <v>5.1884464838196482</v>
      </c>
      <c r="F22" s="26">
        <v>5.7152349787249728</v>
      </c>
      <c r="G22" s="26">
        <v>5.8549796725944514</v>
      </c>
      <c r="H22" s="26">
        <v>4.4990832529068374</v>
      </c>
      <c r="I22" s="26">
        <v>5.4149796725944519</v>
      </c>
      <c r="J22" s="38"/>
    </row>
    <row r="23" spans="1:10" x14ac:dyDescent="0.3">
      <c r="A23" s="23" t="s">
        <v>57</v>
      </c>
      <c r="B23" s="24">
        <v>5.6630696845674455</v>
      </c>
      <c r="C23" s="24">
        <v>6.0087851521653137</v>
      </c>
      <c r="D23" s="24">
        <v>6.0140077036748743</v>
      </c>
      <c r="E23" s="24">
        <v>5.1890364957926414</v>
      </c>
      <c r="F23" s="24">
        <v>5.7158249906979659</v>
      </c>
      <c r="G23" s="24">
        <v>5.8555696845674445</v>
      </c>
      <c r="H23" s="24">
        <v>4.4996732648798305</v>
      </c>
      <c r="I23" s="24">
        <v>5.415569684567445</v>
      </c>
      <c r="J23" s="39"/>
    </row>
    <row r="24" spans="1:10" x14ac:dyDescent="0.3">
      <c r="A24" s="27" t="s">
        <v>47</v>
      </c>
      <c r="B24" s="28">
        <v>6.4294258295498574</v>
      </c>
      <c r="C24" s="28">
        <v>6.8188928591488116</v>
      </c>
      <c r="D24" s="28">
        <v>6.8247763437307691</v>
      </c>
      <c r="E24" s="28">
        <v>5.8954019999357561</v>
      </c>
      <c r="F24" s="28">
        <v>6.4888575134053701</v>
      </c>
      <c r="G24" s="28">
        <v>6.6462874114707606</v>
      </c>
      <c r="H24" s="28">
        <v>5.1187973205910415</v>
      </c>
      <c r="I24" s="28">
        <v>6.150603795651552</v>
      </c>
      <c r="J24" s="35" t="s">
        <v>82</v>
      </c>
    </row>
    <row r="25" spans="1:10" x14ac:dyDescent="0.3">
      <c r="A25" s="25" t="s">
        <v>48</v>
      </c>
      <c r="B25" s="26">
        <v>6.4450549219250766</v>
      </c>
      <c r="C25" s="26">
        <v>6.8354253040876696</v>
      </c>
      <c r="D25" s="26">
        <v>6.8413224351672151</v>
      </c>
      <c r="E25" s="26">
        <v>5.9097924462668603</v>
      </c>
      <c r="F25" s="26">
        <v>6.5046244550974555</v>
      </c>
      <c r="G25" s="26">
        <v>6.6624195052584083</v>
      </c>
      <c r="H25" s="26">
        <v>5.1313864646944776</v>
      </c>
      <c r="I25" s="26">
        <v>6.1655861719250762</v>
      </c>
      <c r="J25" s="36"/>
    </row>
    <row r="26" spans="1:10" x14ac:dyDescent="0.3">
      <c r="A26" s="25" t="s">
        <v>49</v>
      </c>
      <c r="B26" s="26">
        <v>6.5249518001580435</v>
      </c>
      <c r="C26" s="26">
        <v>6.9159976621655188</v>
      </c>
      <c r="D26" s="26">
        <v>6.9219049973829012</v>
      </c>
      <c r="E26" s="26">
        <v>5.9887631297100832</v>
      </c>
      <c r="F26" s="26">
        <v>6.5846244098466382</v>
      </c>
      <c r="G26" s="26">
        <v>6.7426925016646333</v>
      </c>
      <c r="H26" s="26">
        <v>5.2090102284539492</v>
      </c>
      <c r="I26" s="26">
        <v>6.2449994696495681</v>
      </c>
      <c r="J26" s="36"/>
    </row>
    <row r="27" spans="1:10" x14ac:dyDescent="0.3">
      <c r="A27" s="25" t="s">
        <v>50</v>
      </c>
      <c r="B27" s="26">
        <v>6.5040178677652261</v>
      </c>
      <c r="C27" s="26">
        <v>6.8969518180138198</v>
      </c>
      <c r="D27" s="26">
        <v>6.9028876756405761</v>
      </c>
      <c r="E27" s="26">
        <v>5.9652403154953317</v>
      </c>
      <c r="F27" s="26">
        <v>6.5639785949449294</v>
      </c>
      <c r="G27" s="26">
        <v>6.7228098875392357</v>
      </c>
      <c r="H27" s="26">
        <v>5.181722530303893</v>
      </c>
      <c r="I27" s="26">
        <v>6.2227138423414967</v>
      </c>
      <c r="J27" s="36"/>
    </row>
    <row r="28" spans="1:10" x14ac:dyDescent="0.3">
      <c r="A28" s="25" t="s">
        <v>51</v>
      </c>
      <c r="B28" s="26">
        <v>6.5228445266331176</v>
      </c>
      <c r="C28" s="26">
        <v>6.918356693928204</v>
      </c>
      <c r="D28" s="26">
        <v>6.9243314993967262</v>
      </c>
      <c r="E28" s="26">
        <v>5.9805318115994792</v>
      </c>
      <c r="F28" s="26">
        <v>6.583198683214472</v>
      </c>
      <c r="G28" s="26">
        <v>6.7430721396274667</v>
      </c>
      <c r="H28" s="26">
        <v>5.1918730124825885</v>
      </c>
      <c r="I28" s="26">
        <v>6.2396947384975237</v>
      </c>
      <c r="J28" s="36"/>
    </row>
    <row r="29" spans="1:10" x14ac:dyDescent="0.3">
      <c r="A29" s="25" t="s">
        <v>52</v>
      </c>
      <c r="B29" s="26">
        <v>6.5652618716711775</v>
      </c>
      <c r="C29" s="26">
        <v>6.9626149250013549</v>
      </c>
      <c r="D29" s="26">
        <v>6.9686175398190171</v>
      </c>
      <c r="E29" s="26">
        <v>6.0204249968611538</v>
      </c>
      <c r="F29" s="26">
        <v>6.6258969428063628</v>
      </c>
      <c r="G29" s="26">
        <v>6.7865145199762615</v>
      </c>
      <c r="H29" s="26">
        <v>5.2280954359073402</v>
      </c>
      <c r="I29" s="26">
        <v>6.2807941809932109</v>
      </c>
      <c r="J29" s="36"/>
    </row>
    <row r="30" spans="1:10" x14ac:dyDescent="0.3">
      <c r="A30" s="25" t="s">
        <v>53</v>
      </c>
      <c r="B30" s="26">
        <v>6.6524205273499408</v>
      </c>
      <c r="C30" s="26">
        <v>7.050893179803392</v>
      </c>
      <c r="D30" s="26">
        <v>7.0569127078477951</v>
      </c>
      <c r="E30" s="26">
        <v>6.1060484966319599</v>
      </c>
      <c r="F30" s="26">
        <v>6.7132264464801619</v>
      </c>
      <c r="G30" s="26">
        <v>6.8742965866719743</v>
      </c>
      <c r="H30" s="26">
        <v>5.3114864336894163</v>
      </c>
      <c r="I30" s="26">
        <v>6.3671513082216116</v>
      </c>
      <c r="J30" s="36"/>
    </row>
    <row r="31" spans="1:10" x14ac:dyDescent="0.3">
      <c r="A31" s="25" t="s">
        <v>54</v>
      </c>
      <c r="B31" s="26">
        <v>6.7303582057508287</v>
      </c>
      <c r="C31" s="26">
        <v>7.1293470596692163</v>
      </c>
      <c r="D31" s="26">
        <v>7.1353743857122414</v>
      </c>
      <c r="E31" s="26">
        <v>6.1832783772933535</v>
      </c>
      <c r="F31" s="26">
        <v>6.7912428959192583</v>
      </c>
      <c r="G31" s="26">
        <v>6.9525216944513923</v>
      </c>
      <c r="H31" s="26">
        <v>5.3876869987921419</v>
      </c>
      <c r="I31" s="26">
        <v>6.4447194345643872</v>
      </c>
      <c r="J31" s="36"/>
    </row>
    <row r="32" spans="1:10" x14ac:dyDescent="0.3">
      <c r="A32" s="25" t="s">
        <v>55</v>
      </c>
      <c r="B32" s="26">
        <v>6.6455335540188338</v>
      </c>
      <c r="C32" s="26">
        <v>7.0447502806559772</v>
      </c>
      <c r="D32" s="26">
        <v>7.0507810490587541</v>
      </c>
      <c r="E32" s="26">
        <v>6.0981412743069878</v>
      </c>
      <c r="F32" s="26">
        <v>6.7064530169879149</v>
      </c>
      <c r="G32" s="26">
        <v>6.8678239259585689</v>
      </c>
      <c r="H32" s="26">
        <v>5.3020955132618601</v>
      </c>
      <c r="I32" s="26">
        <v>6.3597316472391725</v>
      </c>
      <c r="J32" s="36"/>
    </row>
    <row r="33" spans="1:10" x14ac:dyDescent="0.3">
      <c r="A33" s="25" t="s">
        <v>56</v>
      </c>
      <c r="B33" s="26">
        <v>6.5103126025833387</v>
      </c>
      <c r="C33" s="26">
        <v>6.9094625950671311</v>
      </c>
      <c r="D33" s="26">
        <v>6.915492355350267</v>
      </c>
      <c r="E33" s="26">
        <v>5.9630118264531289</v>
      </c>
      <c r="F33" s="26">
        <v>6.5712218820893709</v>
      </c>
      <c r="G33" s="26">
        <v>6.7325658158601733</v>
      </c>
      <c r="H33" s="26">
        <v>5.1670991345815764</v>
      </c>
      <c r="I33" s="26">
        <v>6.2245584712274056</v>
      </c>
      <c r="J33" s="36"/>
    </row>
    <row r="34" spans="1:10" x14ac:dyDescent="0.3">
      <c r="A34" s="23" t="s">
        <v>57</v>
      </c>
      <c r="B34" s="24">
        <v>6.5113097867269181</v>
      </c>
      <c r="C34" s="24">
        <v>6.9103341532767999</v>
      </c>
      <c r="D34" s="24">
        <v>6.9163620157914742</v>
      </c>
      <c r="E34" s="24">
        <v>5.964181264567463</v>
      </c>
      <c r="F34" s="24">
        <v>6.5721998960331112</v>
      </c>
      <c r="G34" s="24">
        <v>6.7334930494387812</v>
      </c>
      <c r="H34" s="24">
        <v>5.1685190732022646</v>
      </c>
      <c r="I34" s="24">
        <v>6.2256455918116629</v>
      </c>
      <c r="J34" s="37"/>
    </row>
  </sheetData>
  <mergeCells count="3">
    <mergeCell ref="J24:J34"/>
    <mergeCell ref="J2:J12"/>
    <mergeCell ref="J13:J2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35DFB-0E09-4689-BF8E-0ABADEA145F5}">
  <dimension ref="A1:AG40"/>
  <sheetViews>
    <sheetView workbookViewId="0">
      <selection activeCell="E11" sqref="E11"/>
    </sheetView>
  </sheetViews>
  <sheetFormatPr defaultRowHeight="14.4" x14ac:dyDescent="0.3"/>
  <cols>
    <col min="1" max="1" width="7.44140625" bestFit="1" customWidth="1"/>
    <col min="2" max="2" width="7.6640625" customWidth="1"/>
    <col min="3" max="4" width="6.6640625" customWidth="1"/>
    <col min="5" max="5" width="7.6640625" customWidth="1"/>
    <col min="6" max="6" width="6.6640625" customWidth="1"/>
    <col min="7" max="7" width="7.6640625" bestFit="1" customWidth="1"/>
    <col min="8" max="8" width="6.6640625" customWidth="1"/>
    <col min="9" max="9" width="14.109375" customWidth="1"/>
  </cols>
  <sheetData>
    <row r="1" spans="1:33" x14ac:dyDescent="0.3">
      <c r="A1" s="23" t="s">
        <v>9</v>
      </c>
      <c r="B1" s="23" t="s">
        <v>2</v>
      </c>
      <c r="C1" s="23" t="s">
        <v>3</v>
      </c>
      <c r="D1" s="23" t="s">
        <v>5</v>
      </c>
      <c r="E1" s="23" t="s">
        <v>64</v>
      </c>
      <c r="F1" s="23" t="s">
        <v>6</v>
      </c>
      <c r="G1" s="23" t="s">
        <v>63</v>
      </c>
      <c r="H1" s="23" t="s">
        <v>10</v>
      </c>
      <c r="I1" s="29"/>
    </row>
    <row r="2" spans="1:33" x14ac:dyDescent="0.3">
      <c r="A2" s="25" t="s">
        <v>47</v>
      </c>
      <c r="B2" s="26">
        <v>10.273677498697799</v>
      </c>
      <c r="C2" s="26">
        <v>9.4743876681893227</v>
      </c>
      <c r="D2" s="26">
        <v>9.4743876681893227</v>
      </c>
      <c r="E2" s="26">
        <v>10.273677498697799</v>
      </c>
      <c r="F2" s="26">
        <v>9.2699181766639001</v>
      </c>
      <c r="G2" s="26">
        <v>11.475710267059378</v>
      </c>
      <c r="H2" s="26">
        <v>9.2513300410706787</v>
      </c>
      <c r="I2" s="38" t="s">
        <v>80</v>
      </c>
      <c r="J2" s="22"/>
      <c r="K2" s="22"/>
      <c r="L2" s="22"/>
      <c r="M2" s="22"/>
      <c r="N2" s="22"/>
      <c r="O2" s="22"/>
      <c r="P2" s="22"/>
    </row>
    <row r="3" spans="1:33" x14ac:dyDescent="0.3">
      <c r="A3" s="25" t="s">
        <v>48</v>
      </c>
      <c r="B3" s="26">
        <v>10.297506866015489</v>
      </c>
      <c r="C3" s="26">
        <v>9.4963631160154893</v>
      </c>
      <c r="D3" s="26">
        <v>9.4963631160154893</v>
      </c>
      <c r="E3" s="26">
        <v>10.297506866015489</v>
      </c>
      <c r="F3" s="26">
        <v>9.2914193660154893</v>
      </c>
      <c r="G3" s="26">
        <v>11.50232769934882</v>
      </c>
      <c r="H3" s="26">
        <v>9.2727881160154872</v>
      </c>
      <c r="I3" s="38"/>
    </row>
    <row r="4" spans="1:33" x14ac:dyDescent="0.3">
      <c r="A4" s="25" t="s">
        <v>49</v>
      </c>
      <c r="B4" s="26">
        <v>10.315325221757547</v>
      </c>
      <c r="C4" s="26">
        <v>9.5127952076332534</v>
      </c>
      <c r="D4" s="26">
        <v>9.5127952076332534</v>
      </c>
      <c r="E4" s="26">
        <v>10.315325221757547</v>
      </c>
      <c r="F4" s="26">
        <v>9.3074968319270379</v>
      </c>
      <c r="G4" s="26">
        <v>11.522230824394081</v>
      </c>
      <c r="H4" s="26">
        <v>9.2888333432264734</v>
      </c>
      <c r="I4" s="38"/>
      <c r="Y4" s="22"/>
      <c r="Z4" s="22"/>
      <c r="AA4" s="22"/>
      <c r="AB4" s="22"/>
      <c r="AC4" s="22"/>
      <c r="AD4" s="22"/>
      <c r="AE4" s="22"/>
      <c r="AF4" s="22"/>
      <c r="AG4" s="22"/>
    </row>
    <row r="5" spans="1:33" x14ac:dyDescent="0.3">
      <c r="A5" s="25" t="s">
        <v>50</v>
      </c>
      <c r="B5" s="26">
        <v>10.365130746241372</v>
      </c>
      <c r="C5" s="26">
        <v>9.5587258733600162</v>
      </c>
      <c r="D5" s="26">
        <v>9.5587258733600162</v>
      </c>
      <c r="E5" s="26">
        <v>10.365130746241372</v>
      </c>
      <c r="F5" s="26">
        <v>9.3524362547159487</v>
      </c>
      <c r="G5" s="26">
        <v>11.57786365584589</v>
      </c>
      <c r="H5" s="26">
        <v>9.3336826530210324</v>
      </c>
      <c r="I5" s="38"/>
      <c r="Y5" s="22"/>
      <c r="Z5" s="22"/>
      <c r="AA5" s="22"/>
      <c r="AB5" s="22"/>
      <c r="AC5" s="22"/>
      <c r="AD5" s="22"/>
      <c r="AE5" s="22"/>
      <c r="AF5" s="22"/>
      <c r="AG5" s="22"/>
    </row>
    <row r="6" spans="1:33" x14ac:dyDescent="0.3">
      <c r="A6" s="25" t="s">
        <v>51</v>
      </c>
      <c r="B6" s="26">
        <v>10.433141048639973</v>
      </c>
      <c r="C6" s="26">
        <v>9.6214449893179381</v>
      </c>
      <c r="D6" s="26">
        <v>9.6214449893179381</v>
      </c>
      <c r="E6" s="26">
        <v>10.433141048639973</v>
      </c>
      <c r="F6" s="26">
        <v>9.4138018113518367</v>
      </c>
      <c r="G6" s="26">
        <v>11.653831246380083</v>
      </c>
      <c r="H6" s="26">
        <v>9.3949251588094622</v>
      </c>
      <c r="I6" s="38"/>
      <c r="Y6" s="22"/>
      <c r="Z6" s="22"/>
      <c r="AA6" s="22"/>
      <c r="AB6" s="22"/>
      <c r="AC6" s="22"/>
      <c r="AD6" s="22"/>
      <c r="AE6" s="22"/>
      <c r="AF6" s="22"/>
      <c r="AG6" s="22"/>
    </row>
    <row r="7" spans="1:33" x14ac:dyDescent="0.3">
      <c r="A7" s="25" t="s">
        <v>52</v>
      </c>
      <c r="B7" s="26">
        <v>10.481701435011702</v>
      </c>
      <c r="C7" s="26">
        <v>9.6662273884015324</v>
      </c>
      <c r="D7" s="26">
        <v>9.6662273884015324</v>
      </c>
      <c r="E7" s="26">
        <v>10.481701435011702</v>
      </c>
      <c r="F7" s="26">
        <v>9.4576177485710229</v>
      </c>
      <c r="G7" s="26">
        <v>11.708073257045598</v>
      </c>
      <c r="H7" s="26">
        <v>9.4386532358591584</v>
      </c>
      <c r="I7" s="38"/>
    </row>
    <row r="8" spans="1:33" x14ac:dyDescent="0.3">
      <c r="A8" s="25" t="s">
        <v>53</v>
      </c>
      <c r="B8" s="26">
        <v>10.511235129640964</v>
      </c>
      <c r="C8" s="26">
        <v>9.6934633681397528</v>
      </c>
      <c r="D8" s="26">
        <v>9.6934633681397528</v>
      </c>
      <c r="E8" s="26">
        <v>10.511235129640964</v>
      </c>
      <c r="F8" s="26">
        <v>9.4842659407789771</v>
      </c>
      <c r="G8" s="26">
        <v>11.741062429883092</v>
      </c>
      <c r="H8" s="26">
        <v>9.4652479928370887</v>
      </c>
      <c r="I8" s="38"/>
    </row>
    <row r="9" spans="1:33" x14ac:dyDescent="0.3">
      <c r="A9" s="25" t="s">
        <v>54</v>
      </c>
      <c r="B9" s="26">
        <v>10.52485191096536</v>
      </c>
      <c r="C9" s="26">
        <v>9.7060207668975629</v>
      </c>
      <c r="D9" s="26">
        <v>9.7060207668975629</v>
      </c>
      <c r="E9" s="26">
        <v>10.52485191096536</v>
      </c>
      <c r="F9" s="26">
        <v>9.496552334694174</v>
      </c>
      <c r="G9" s="26">
        <v>11.756272391191347</v>
      </c>
      <c r="H9" s="26">
        <v>9.4775097499484104</v>
      </c>
      <c r="I9" s="38"/>
    </row>
    <row r="10" spans="1:33" x14ac:dyDescent="0.3">
      <c r="A10" s="25" t="s">
        <v>55</v>
      </c>
      <c r="B10" s="26">
        <v>10.530862922540992</v>
      </c>
      <c r="C10" s="26">
        <v>9.7115641231059637</v>
      </c>
      <c r="D10" s="26">
        <v>9.7115641231059637</v>
      </c>
      <c r="E10" s="26">
        <v>10.530862922540992</v>
      </c>
      <c r="F10" s="26">
        <v>9.501976058134213</v>
      </c>
      <c r="G10" s="26">
        <v>11.76298669843553</v>
      </c>
      <c r="H10" s="26">
        <v>9.4829225976822347</v>
      </c>
      <c r="I10" s="38"/>
    </row>
    <row r="11" spans="1:33" x14ac:dyDescent="0.3">
      <c r="A11" s="25" t="s">
        <v>56</v>
      </c>
      <c r="B11" s="26">
        <v>10.529102554865272</v>
      </c>
      <c r="C11" s="26">
        <v>9.7099407116449328</v>
      </c>
      <c r="D11" s="26">
        <v>9.7099407116449328</v>
      </c>
      <c r="E11" s="26">
        <v>10.529102554865272</v>
      </c>
      <c r="F11" s="26">
        <v>9.5003876819839164</v>
      </c>
      <c r="G11" s="26">
        <v>11.761020365599734</v>
      </c>
      <c r="H11" s="26">
        <v>9.4813374065601863</v>
      </c>
      <c r="I11" s="38"/>
    </row>
    <row r="12" spans="1:33" x14ac:dyDescent="0.3">
      <c r="A12" s="23" t="s">
        <v>57</v>
      </c>
      <c r="B12" s="24">
        <v>10.525788691990133</v>
      </c>
      <c r="C12" s="24">
        <v>9.7068846665664044</v>
      </c>
      <c r="D12" s="24">
        <v>9.7068846665664044</v>
      </c>
      <c r="E12" s="24">
        <v>10.525788691990133</v>
      </c>
      <c r="F12" s="24">
        <v>9.4973975902952184</v>
      </c>
      <c r="G12" s="24">
        <v>11.757318776735893</v>
      </c>
      <c r="H12" s="24">
        <v>9.4783533106341995</v>
      </c>
      <c r="I12" s="39"/>
    </row>
    <row r="13" spans="1:33" x14ac:dyDescent="0.3">
      <c r="A13" s="27" t="s">
        <v>47</v>
      </c>
      <c r="B13" s="28">
        <v>9.2281843569337791</v>
      </c>
      <c r="C13" s="28">
        <v>8.5186843569337789</v>
      </c>
      <c r="D13" s="28">
        <v>8.5186843569337789</v>
      </c>
      <c r="E13" s="28">
        <v>9.2281843569337791</v>
      </c>
      <c r="F13" s="28">
        <v>8.3371843569337791</v>
      </c>
      <c r="G13" s="28">
        <v>10.295184356933778</v>
      </c>
      <c r="H13" s="28">
        <v>8.3206843569337785</v>
      </c>
      <c r="I13" s="40" t="s">
        <v>81</v>
      </c>
      <c r="J13" s="22"/>
      <c r="K13" s="22"/>
      <c r="L13" s="22"/>
      <c r="M13" s="22"/>
      <c r="N13" s="22"/>
      <c r="O13" s="22"/>
      <c r="P13" s="22"/>
    </row>
    <row r="14" spans="1:33" x14ac:dyDescent="0.3">
      <c r="A14" s="25" t="s">
        <v>48</v>
      </c>
      <c r="B14" s="26">
        <v>9.2285983486660612</v>
      </c>
      <c r="C14" s="26">
        <v>8.519098348666061</v>
      </c>
      <c r="D14" s="26">
        <v>8.519098348666061</v>
      </c>
      <c r="E14" s="26">
        <v>9.2285983486660612</v>
      </c>
      <c r="F14" s="26">
        <v>8.3375983486660612</v>
      </c>
      <c r="G14" s="26">
        <v>10.29559834866606</v>
      </c>
      <c r="H14" s="26">
        <v>8.3210983486660606</v>
      </c>
      <c r="I14" s="38"/>
    </row>
    <row r="15" spans="1:33" x14ac:dyDescent="0.3">
      <c r="A15" s="25" t="s">
        <v>49</v>
      </c>
      <c r="B15" s="26">
        <v>9.3072050288332591</v>
      </c>
      <c r="C15" s="26">
        <v>8.5977050288332588</v>
      </c>
      <c r="D15" s="26">
        <v>8.5977050288332588</v>
      </c>
      <c r="E15" s="26">
        <v>9.3072050288332591</v>
      </c>
      <c r="F15" s="26">
        <v>8.416205028833259</v>
      </c>
      <c r="G15" s="26">
        <v>10.374205028833257</v>
      </c>
      <c r="H15" s="26">
        <v>8.3997050288332584</v>
      </c>
      <c r="I15" s="38"/>
    </row>
    <row r="16" spans="1:33" x14ac:dyDescent="0.3">
      <c r="A16" s="25" t="s">
        <v>50</v>
      </c>
      <c r="B16" s="26">
        <v>9.249194437347132</v>
      </c>
      <c r="C16" s="26">
        <v>8.5396944373471317</v>
      </c>
      <c r="D16" s="26">
        <v>8.5396944373471317</v>
      </c>
      <c r="E16" s="26">
        <v>9.249194437347132</v>
      </c>
      <c r="F16" s="26">
        <v>8.358194437347132</v>
      </c>
      <c r="G16" s="26">
        <v>10.31619443734713</v>
      </c>
      <c r="H16" s="26">
        <v>8.3416944373471313</v>
      </c>
      <c r="I16" s="38"/>
    </row>
    <row r="17" spans="1:16" x14ac:dyDescent="0.3">
      <c r="A17" s="25" t="s">
        <v>51</v>
      </c>
      <c r="B17" s="26">
        <v>9.2244066823766993</v>
      </c>
      <c r="C17" s="26">
        <v>8.514906682376699</v>
      </c>
      <c r="D17" s="26">
        <v>8.514906682376699</v>
      </c>
      <c r="E17" s="26">
        <v>9.2244066823766993</v>
      </c>
      <c r="F17" s="26">
        <v>8.3334066823766992</v>
      </c>
      <c r="G17" s="26">
        <v>10.291406682376698</v>
      </c>
      <c r="H17" s="26">
        <v>8.3169066823766986</v>
      </c>
      <c r="I17" s="38"/>
    </row>
    <row r="18" spans="1:16" x14ac:dyDescent="0.3">
      <c r="A18" s="25" t="s">
        <v>52</v>
      </c>
      <c r="B18" s="26">
        <v>9.2399313723373044</v>
      </c>
      <c r="C18" s="26">
        <v>8.5304313723373042</v>
      </c>
      <c r="D18" s="26">
        <v>8.5304313723373042</v>
      </c>
      <c r="E18" s="26">
        <v>9.2399313723373044</v>
      </c>
      <c r="F18" s="26">
        <v>8.3489313723373044</v>
      </c>
      <c r="G18" s="26">
        <v>10.306931372337303</v>
      </c>
      <c r="H18" s="26">
        <v>8.3324313723373038</v>
      </c>
      <c r="I18" s="38"/>
    </row>
    <row r="19" spans="1:16" x14ac:dyDescent="0.3">
      <c r="A19" s="25" t="s">
        <v>53</v>
      </c>
      <c r="B19" s="26">
        <v>9.3204527642663084</v>
      </c>
      <c r="C19" s="26">
        <v>8.6109527642663082</v>
      </c>
      <c r="D19" s="26">
        <v>8.6109527642663082</v>
      </c>
      <c r="E19" s="26">
        <v>9.3204527642663084</v>
      </c>
      <c r="F19" s="26">
        <v>8.4294527642663084</v>
      </c>
      <c r="G19" s="26">
        <v>10.387452764266307</v>
      </c>
      <c r="H19" s="26">
        <v>8.4129527642663078</v>
      </c>
      <c r="I19" s="38"/>
    </row>
    <row r="20" spans="1:16" x14ac:dyDescent="0.3">
      <c r="A20" s="25" t="s">
        <v>54</v>
      </c>
      <c r="B20" s="26">
        <v>9.4021643824256262</v>
      </c>
      <c r="C20" s="26">
        <v>8.692664382425626</v>
      </c>
      <c r="D20" s="26">
        <v>8.692664382425626</v>
      </c>
      <c r="E20" s="26">
        <v>9.4021643824256262</v>
      </c>
      <c r="F20" s="26">
        <v>8.5111643824256262</v>
      </c>
      <c r="G20" s="26">
        <v>10.469164382425625</v>
      </c>
      <c r="H20" s="26">
        <v>8.4946643824256256</v>
      </c>
      <c r="I20" s="38"/>
    </row>
    <row r="21" spans="1:16" x14ac:dyDescent="0.3">
      <c r="A21" s="25" t="s">
        <v>55</v>
      </c>
      <c r="B21" s="26">
        <v>9.3072050288332591</v>
      </c>
      <c r="C21" s="26">
        <v>8.5977050288332588</v>
      </c>
      <c r="D21" s="26">
        <v>8.5977050288332588</v>
      </c>
      <c r="E21" s="26">
        <v>9.3072050288332591</v>
      </c>
      <c r="F21" s="26">
        <v>8.416205028833259</v>
      </c>
      <c r="G21" s="26">
        <v>10.374205028833257</v>
      </c>
      <c r="H21" s="26">
        <v>8.3997050288332584</v>
      </c>
      <c r="I21" s="38"/>
    </row>
    <row r="22" spans="1:16" x14ac:dyDescent="0.3">
      <c r="A22" s="25" t="s">
        <v>56</v>
      </c>
      <c r="B22" s="26">
        <v>9.1608072025047527</v>
      </c>
      <c r="C22" s="26">
        <v>8.4513072025047524</v>
      </c>
      <c r="D22" s="26">
        <v>8.4513072025047524</v>
      </c>
      <c r="E22" s="26">
        <v>9.1608072025047527</v>
      </c>
      <c r="F22" s="26">
        <v>8.2698072025047527</v>
      </c>
      <c r="G22" s="26">
        <v>10.227807202504751</v>
      </c>
      <c r="H22" s="26">
        <v>8.253307202504752</v>
      </c>
      <c r="I22" s="38"/>
    </row>
    <row r="23" spans="1:16" x14ac:dyDescent="0.3">
      <c r="A23" s="23" t="s">
        <v>57</v>
      </c>
      <c r="B23" s="24">
        <v>9.1614799390697126</v>
      </c>
      <c r="C23" s="24">
        <v>8.4519799390697123</v>
      </c>
      <c r="D23" s="24">
        <v>8.4519799390697123</v>
      </c>
      <c r="E23" s="24">
        <v>9.1614799390697126</v>
      </c>
      <c r="F23" s="24">
        <v>8.2704799390697126</v>
      </c>
      <c r="G23" s="24">
        <v>10.228479939069711</v>
      </c>
      <c r="H23" s="24">
        <v>8.2539799390697119</v>
      </c>
      <c r="I23" s="39"/>
    </row>
    <row r="24" spans="1:16" x14ac:dyDescent="0.3">
      <c r="A24" s="27" t="s">
        <v>47</v>
      </c>
      <c r="B24" s="28">
        <v>10.377537440640612</v>
      </c>
      <c r="C24" s="28">
        <v>9.5782476101321379</v>
      </c>
      <c r="D24" s="28">
        <v>9.5782476101321379</v>
      </c>
      <c r="E24" s="28">
        <v>10.377537440640612</v>
      </c>
      <c r="F24" s="28">
        <v>9.3737781186067135</v>
      </c>
      <c r="G24" s="28">
        <v>11.579570209002192</v>
      </c>
      <c r="H24" s="28">
        <v>9.3551899830134921</v>
      </c>
      <c r="I24" s="35" t="s">
        <v>82</v>
      </c>
      <c r="J24" s="22"/>
      <c r="K24" s="22"/>
      <c r="L24" s="22"/>
      <c r="M24" s="22"/>
      <c r="N24" s="22"/>
      <c r="O24" s="22"/>
      <c r="P24" s="22"/>
    </row>
    <row r="25" spans="1:16" x14ac:dyDescent="0.3">
      <c r="A25" s="25" t="s">
        <v>48</v>
      </c>
      <c r="B25" s="26">
        <v>10.402424445734809</v>
      </c>
      <c r="C25" s="26">
        <v>9.6012806957348076</v>
      </c>
      <c r="D25" s="26">
        <v>9.6012806957348076</v>
      </c>
      <c r="E25" s="26">
        <v>10.402424445734809</v>
      </c>
      <c r="F25" s="26">
        <v>9.3963369457348076</v>
      </c>
      <c r="G25" s="26">
        <v>11.60724527906814</v>
      </c>
      <c r="H25" s="26">
        <v>9.3777056957348073</v>
      </c>
      <c r="I25" s="36"/>
    </row>
    <row r="26" spans="1:16" x14ac:dyDescent="0.3">
      <c r="A26" s="25" t="s">
        <v>49</v>
      </c>
      <c r="B26" s="26">
        <v>10.498807553773768</v>
      </c>
      <c r="C26" s="26">
        <v>9.6962775396494738</v>
      </c>
      <c r="D26" s="26">
        <v>9.6962775396494738</v>
      </c>
      <c r="E26" s="26">
        <v>10.498807553773768</v>
      </c>
      <c r="F26" s="26">
        <v>9.4909791639432584</v>
      </c>
      <c r="G26" s="26">
        <v>11.705713156410301</v>
      </c>
      <c r="H26" s="26">
        <v>9.4723156752426938</v>
      </c>
      <c r="I26" s="36"/>
    </row>
    <row r="27" spans="1:16" x14ac:dyDescent="0.3">
      <c r="A27" s="25" t="s">
        <v>50</v>
      </c>
      <c r="B27" s="26">
        <v>10.489708306535675</v>
      </c>
      <c r="C27" s="26">
        <v>9.68330343365432</v>
      </c>
      <c r="D27" s="26">
        <v>9.68330343365432</v>
      </c>
      <c r="E27" s="26">
        <v>10.489708306535675</v>
      </c>
      <c r="F27" s="26">
        <v>9.4770138150102525</v>
      </c>
      <c r="G27" s="26">
        <v>11.702441216140194</v>
      </c>
      <c r="H27" s="26">
        <v>9.4582602133153362</v>
      </c>
      <c r="I27" s="36"/>
    </row>
    <row r="28" spans="1:16" x14ac:dyDescent="0.3">
      <c r="A28" s="25" t="s">
        <v>51</v>
      </c>
      <c r="B28" s="26">
        <v>10.531343031944996</v>
      </c>
      <c r="C28" s="26">
        <v>9.7196469726229608</v>
      </c>
      <c r="D28" s="26">
        <v>9.7196469726229608</v>
      </c>
      <c r="E28" s="26">
        <v>10.531343031944996</v>
      </c>
      <c r="F28" s="26">
        <v>9.5120037946568594</v>
      </c>
      <c r="G28" s="26">
        <v>11.752033229685106</v>
      </c>
      <c r="H28" s="26">
        <v>9.4931271421144849</v>
      </c>
      <c r="I28" s="36"/>
      <c r="J28" s="21"/>
    </row>
    <row r="29" spans="1:16" x14ac:dyDescent="0.3">
      <c r="A29" s="25" t="s">
        <v>52</v>
      </c>
      <c r="B29" s="26">
        <v>10.594108193874272</v>
      </c>
      <c r="C29" s="26">
        <v>9.7786341472641016</v>
      </c>
      <c r="D29" s="26">
        <v>9.7786341472641016</v>
      </c>
      <c r="E29" s="26">
        <v>10.594108193874272</v>
      </c>
      <c r="F29" s="26">
        <v>9.5700245074335939</v>
      </c>
      <c r="G29" s="26">
        <v>11.820480015908169</v>
      </c>
      <c r="H29" s="26">
        <v>9.5510599947217294</v>
      </c>
      <c r="I29" s="36"/>
      <c r="J29" s="21"/>
      <c r="K29" s="21"/>
      <c r="L29" s="21"/>
      <c r="M29" s="21"/>
    </row>
    <row r="30" spans="1:16" x14ac:dyDescent="0.3">
      <c r="A30" s="25" t="s">
        <v>53</v>
      </c>
      <c r="B30" s="26">
        <v>10.70224541737168</v>
      </c>
      <c r="C30" s="26">
        <v>9.8844736558704689</v>
      </c>
      <c r="D30" s="26">
        <v>9.8844736558704689</v>
      </c>
      <c r="E30" s="26">
        <v>10.70224541737168</v>
      </c>
      <c r="F30" s="26">
        <v>9.6752762285096949</v>
      </c>
      <c r="G30" s="26">
        <v>11.932072717613808</v>
      </c>
      <c r="H30" s="26">
        <v>9.6562582805678048</v>
      </c>
      <c r="I30" s="36"/>
      <c r="J30" s="21"/>
    </row>
    <row r="31" spans="1:16" x14ac:dyDescent="0.3">
      <c r="A31" s="25" t="s">
        <v>54</v>
      </c>
      <c r="B31" s="26">
        <v>10.795148655208951</v>
      </c>
      <c r="C31" s="26">
        <v>9.9763175111411542</v>
      </c>
      <c r="D31" s="26">
        <v>9.9763175111411542</v>
      </c>
      <c r="E31" s="26">
        <v>10.795148655208951</v>
      </c>
      <c r="F31" s="26">
        <v>9.7668490789377636</v>
      </c>
      <c r="G31" s="26">
        <v>12.026569135434938</v>
      </c>
      <c r="H31" s="26">
        <v>9.747806494192</v>
      </c>
      <c r="I31" s="36"/>
      <c r="J31" s="21"/>
    </row>
    <row r="32" spans="1:16" x14ac:dyDescent="0.3">
      <c r="A32" s="25" t="s">
        <v>55</v>
      </c>
      <c r="B32" s="26">
        <v>10.700213442606088</v>
      </c>
      <c r="C32" s="26">
        <v>9.8809146431710602</v>
      </c>
      <c r="D32" s="26">
        <v>9.8809146431710602</v>
      </c>
      <c r="E32" s="26">
        <v>10.700213442606088</v>
      </c>
      <c r="F32" s="26">
        <v>9.6713265781993094</v>
      </c>
      <c r="G32" s="26">
        <v>11.932337218500626</v>
      </c>
      <c r="H32" s="26">
        <v>9.6522731177473311</v>
      </c>
      <c r="I32" s="36"/>
      <c r="J32" s="21"/>
    </row>
    <row r="33" spans="1:10" x14ac:dyDescent="0.3">
      <c r="A33" s="25" t="s">
        <v>56</v>
      </c>
      <c r="B33" s="26">
        <v>10.545511351798853</v>
      </c>
      <c r="C33" s="26">
        <v>9.7263495085785134</v>
      </c>
      <c r="D33" s="26">
        <v>9.7263495085785134</v>
      </c>
      <c r="E33" s="26">
        <v>10.545511351798853</v>
      </c>
      <c r="F33" s="26">
        <v>9.516796478917497</v>
      </c>
      <c r="G33" s="26">
        <v>11.777429162533315</v>
      </c>
      <c r="H33" s="26">
        <v>9.497746203493767</v>
      </c>
      <c r="I33" s="36"/>
      <c r="J33" s="21"/>
    </row>
    <row r="34" spans="1:10" x14ac:dyDescent="0.3">
      <c r="A34" s="23" t="s">
        <v>57</v>
      </c>
      <c r="B34" s="24">
        <v>10.545665625522471</v>
      </c>
      <c r="C34" s="24">
        <v>9.7267616000987402</v>
      </c>
      <c r="D34" s="24">
        <v>9.7267616000987402</v>
      </c>
      <c r="E34" s="24">
        <v>10.545665625522471</v>
      </c>
      <c r="F34" s="24">
        <v>9.5172745238275542</v>
      </c>
      <c r="G34" s="24">
        <v>11.777195710268231</v>
      </c>
      <c r="H34" s="24">
        <v>9.4982302441665372</v>
      </c>
      <c r="I34" s="37"/>
      <c r="J34" s="21"/>
    </row>
    <row r="35" spans="1:10" x14ac:dyDescent="0.3">
      <c r="E35" s="21"/>
      <c r="F35" s="21"/>
      <c r="G35" s="21"/>
      <c r="H35" s="21"/>
      <c r="I35" s="21"/>
      <c r="J35" s="21"/>
    </row>
    <row r="36" spans="1:10" x14ac:dyDescent="0.3">
      <c r="E36" s="21"/>
      <c r="F36" s="21"/>
      <c r="G36" s="21"/>
      <c r="H36" s="21"/>
      <c r="I36" s="21"/>
      <c r="J36" s="21"/>
    </row>
    <row r="37" spans="1:10" x14ac:dyDescent="0.3">
      <c r="E37" s="21"/>
      <c r="F37" s="21"/>
      <c r="G37" s="21"/>
      <c r="H37" s="21"/>
      <c r="I37" s="21"/>
      <c r="J37" s="21"/>
    </row>
    <row r="38" spans="1:10" x14ac:dyDescent="0.3">
      <c r="E38" s="21"/>
    </row>
    <row r="39" spans="1:10" x14ac:dyDescent="0.3">
      <c r="E39" s="21"/>
    </row>
    <row r="40" spans="1:10" x14ac:dyDescent="0.3">
      <c r="E40" s="21"/>
    </row>
  </sheetData>
  <mergeCells count="3">
    <mergeCell ref="I2:I12"/>
    <mergeCell ref="I13:I23"/>
    <mergeCell ref="I24:I3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CA3AB-7AE8-4026-8261-B5E7C73AC0DA}">
  <dimension ref="A1:J48"/>
  <sheetViews>
    <sheetView topLeftCell="A16" workbookViewId="0">
      <selection activeCell="A38" sqref="A38:A48"/>
    </sheetView>
  </sheetViews>
  <sheetFormatPr defaultRowHeight="14.4" x14ac:dyDescent="0.3"/>
  <cols>
    <col min="1" max="1" width="14.33203125" bestFit="1" customWidth="1"/>
    <col min="2" max="3" width="8.33203125" bestFit="1" customWidth="1"/>
    <col min="9" max="9" width="10.88671875" bestFit="1" customWidth="1"/>
  </cols>
  <sheetData>
    <row r="1" spans="1:10" x14ac:dyDescent="0.3">
      <c r="A1" t="s">
        <v>58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6" t="s">
        <v>64</v>
      </c>
      <c r="H1" s="2" t="s">
        <v>6</v>
      </c>
      <c r="I1" s="10" t="s">
        <v>63</v>
      </c>
      <c r="J1" s="5" t="s">
        <v>10</v>
      </c>
    </row>
    <row r="2" spans="1:10" x14ac:dyDescent="0.3">
      <c r="A2" s="5" t="s">
        <v>11</v>
      </c>
      <c r="B2" s="8">
        <v>50.88</v>
      </c>
      <c r="C2" s="8">
        <v>49.41</v>
      </c>
      <c r="D2" s="8">
        <v>61.15</v>
      </c>
      <c r="E2" s="8">
        <v>54.34</v>
      </c>
      <c r="F2" s="8">
        <v>67.650000000000006</v>
      </c>
      <c r="G2" s="8">
        <f>J2</f>
        <v>49.41</v>
      </c>
      <c r="H2" s="8">
        <v>61.96</v>
      </c>
      <c r="I2" s="8">
        <v>58.3</v>
      </c>
      <c r="J2" s="8">
        <v>49.41</v>
      </c>
    </row>
    <row r="3" spans="1:10" x14ac:dyDescent="0.3">
      <c r="A3" s="5" t="s">
        <v>12</v>
      </c>
      <c r="B3" s="8">
        <v>43.25</v>
      </c>
      <c r="C3" s="8">
        <v>42.81</v>
      </c>
      <c r="D3" s="8">
        <v>46.61</v>
      </c>
      <c r="E3" s="8">
        <v>45.56</v>
      </c>
      <c r="F3" s="8">
        <v>57.64</v>
      </c>
      <c r="G3" s="8">
        <f t="shared" ref="G3:G48" si="0">J3</f>
        <v>42.81</v>
      </c>
      <c r="H3" s="8">
        <v>54.02</v>
      </c>
      <c r="I3" s="8">
        <v>46.85</v>
      </c>
      <c r="J3" s="8">
        <v>42.81</v>
      </c>
    </row>
    <row r="4" spans="1:10" x14ac:dyDescent="0.3">
      <c r="A4" s="5" t="s">
        <v>13</v>
      </c>
      <c r="B4" s="8">
        <v>34.4</v>
      </c>
      <c r="C4" s="8">
        <v>30.61</v>
      </c>
      <c r="D4" s="8">
        <v>33.85</v>
      </c>
      <c r="E4" s="8">
        <v>39.380000000000003</v>
      </c>
      <c r="F4" s="8">
        <v>52.83</v>
      </c>
      <c r="G4" s="8">
        <f t="shared" si="0"/>
        <v>30.61</v>
      </c>
      <c r="H4" s="8">
        <v>48.84</v>
      </c>
      <c r="I4" s="8">
        <v>40.5</v>
      </c>
      <c r="J4" s="8">
        <v>30.61</v>
      </c>
    </row>
    <row r="5" spans="1:10" x14ac:dyDescent="0.3">
      <c r="A5" s="5" t="s">
        <v>14</v>
      </c>
      <c r="B5" s="8">
        <v>39.409999999999997</v>
      </c>
      <c r="C5" s="8">
        <v>36.97</v>
      </c>
      <c r="D5" s="8">
        <v>38.1</v>
      </c>
      <c r="E5" s="8">
        <v>39.659999999999997</v>
      </c>
      <c r="F5" s="8">
        <v>53.4</v>
      </c>
      <c r="G5" s="8">
        <f t="shared" si="0"/>
        <v>36.97</v>
      </c>
      <c r="H5" s="8">
        <v>50.4</v>
      </c>
      <c r="I5" s="8">
        <v>40.840000000000003</v>
      </c>
      <c r="J5" s="8">
        <v>36.97</v>
      </c>
    </row>
    <row r="6" spans="1:10" x14ac:dyDescent="0.3">
      <c r="A6" s="5" t="s">
        <v>15</v>
      </c>
      <c r="B6" s="8">
        <v>37.700000000000003</v>
      </c>
      <c r="C6" s="8">
        <v>37.83</v>
      </c>
      <c r="D6" s="8">
        <v>37.200000000000003</v>
      </c>
      <c r="E6" s="8">
        <v>35.06</v>
      </c>
      <c r="F6" s="8">
        <v>50.67</v>
      </c>
      <c r="G6" s="8">
        <f t="shared" si="0"/>
        <v>37.83</v>
      </c>
      <c r="H6" s="8">
        <v>48.39</v>
      </c>
      <c r="I6" s="8">
        <v>40.19</v>
      </c>
      <c r="J6" s="8">
        <v>37.83</v>
      </c>
    </row>
    <row r="7" spans="1:10" x14ac:dyDescent="0.3">
      <c r="A7" s="5" t="s">
        <v>16</v>
      </c>
      <c r="B7" s="8">
        <v>33.15</v>
      </c>
      <c r="C7" s="8">
        <v>32.5</v>
      </c>
      <c r="D7" s="8">
        <v>29.24</v>
      </c>
      <c r="E7" s="8">
        <v>25.07</v>
      </c>
      <c r="F7" s="8">
        <v>48.59</v>
      </c>
      <c r="G7" s="8">
        <f t="shared" si="0"/>
        <v>32.5</v>
      </c>
      <c r="H7" s="8">
        <v>47.16</v>
      </c>
      <c r="I7" s="8">
        <v>36.229999999999997</v>
      </c>
      <c r="J7" s="8">
        <v>32.5</v>
      </c>
    </row>
    <row r="8" spans="1:10" x14ac:dyDescent="0.3">
      <c r="A8" s="5" t="s">
        <v>17</v>
      </c>
      <c r="B8" s="8">
        <v>38.92</v>
      </c>
      <c r="C8" s="8">
        <v>39.71</v>
      </c>
      <c r="D8" s="8">
        <v>37.69</v>
      </c>
      <c r="E8" s="8">
        <v>35.5</v>
      </c>
      <c r="F8" s="8">
        <v>52.35</v>
      </c>
      <c r="G8" s="8">
        <f t="shared" si="0"/>
        <v>39.71</v>
      </c>
      <c r="H8" s="8">
        <v>51.46</v>
      </c>
      <c r="I8" s="8">
        <v>39.619999999999997</v>
      </c>
      <c r="J8" s="8">
        <v>39.71</v>
      </c>
    </row>
    <row r="9" spans="1:10" x14ac:dyDescent="0.3">
      <c r="A9" s="5" t="s">
        <v>18</v>
      </c>
      <c r="B9" s="8">
        <v>38.49</v>
      </c>
      <c r="C9" s="8">
        <v>36.82</v>
      </c>
      <c r="D9" s="8">
        <v>33.36</v>
      </c>
      <c r="E9" s="8">
        <v>37.25</v>
      </c>
      <c r="F9" s="8">
        <v>49.63</v>
      </c>
      <c r="G9" s="8">
        <f t="shared" si="0"/>
        <v>36.82</v>
      </c>
      <c r="H9" s="8">
        <v>44.95</v>
      </c>
      <c r="I9" s="8">
        <v>37.409999999999997</v>
      </c>
      <c r="J9" s="8">
        <v>36.82</v>
      </c>
    </row>
    <row r="10" spans="1:10" x14ac:dyDescent="0.3">
      <c r="A10" s="5" t="s">
        <v>19</v>
      </c>
      <c r="B10" s="8">
        <v>36.15</v>
      </c>
      <c r="C10" s="8">
        <v>35.770000000000003</v>
      </c>
      <c r="D10" s="8">
        <v>35.549999999999997</v>
      </c>
      <c r="E10" s="8">
        <v>34.950000000000003</v>
      </c>
      <c r="F10" s="8">
        <v>51.18</v>
      </c>
      <c r="G10" s="8">
        <f t="shared" si="0"/>
        <v>35.770000000000003</v>
      </c>
      <c r="H10" s="8">
        <v>42.13</v>
      </c>
      <c r="I10" s="8">
        <v>36.58</v>
      </c>
      <c r="J10" s="8">
        <v>35.770000000000003</v>
      </c>
    </row>
    <row r="11" spans="1:10" x14ac:dyDescent="0.3">
      <c r="A11" s="5" t="s">
        <v>20</v>
      </c>
      <c r="B11" s="8">
        <v>39.53</v>
      </c>
      <c r="C11" s="8">
        <v>36.950000000000003</v>
      </c>
      <c r="D11" s="8">
        <v>38.619999999999997</v>
      </c>
      <c r="E11" s="8">
        <v>38.25</v>
      </c>
      <c r="F11" s="8">
        <v>52.85</v>
      </c>
      <c r="G11" s="8">
        <f t="shared" si="0"/>
        <v>36.950000000000003</v>
      </c>
      <c r="H11" s="8">
        <v>47.15</v>
      </c>
      <c r="I11" s="8">
        <v>37.96</v>
      </c>
      <c r="J11" s="8">
        <v>36.950000000000003</v>
      </c>
    </row>
    <row r="12" spans="1:10" x14ac:dyDescent="0.3">
      <c r="A12" s="5" t="s">
        <v>21</v>
      </c>
      <c r="B12" s="8">
        <v>42.11</v>
      </c>
      <c r="C12" s="8">
        <v>41</v>
      </c>
      <c r="D12" s="8">
        <v>45.95</v>
      </c>
      <c r="E12" s="8">
        <v>41.78</v>
      </c>
      <c r="F12" s="8">
        <v>48.17</v>
      </c>
      <c r="G12" s="8">
        <f t="shared" si="0"/>
        <v>41</v>
      </c>
      <c r="H12" s="8">
        <v>42.19</v>
      </c>
      <c r="I12" s="8">
        <v>42.71</v>
      </c>
      <c r="J12" s="8">
        <v>41</v>
      </c>
    </row>
    <row r="13" spans="1:10" x14ac:dyDescent="0.3">
      <c r="A13" s="5" t="s">
        <v>22</v>
      </c>
      <c r="B13" s="8">
        <v>34.549999999999997</v>
      </c>
      <c r="C13" s="8">
        <v>31.97</v>
      </c>
      <c r="D13" s="8">
        <v>36.47</v>
      </c>
      <c r="E13" s="8">
        <v>35.96</v>
      </c>
      <c r="F13" s="8">
        <v>43.34</v>
      </c>
      <c r="G13" s="8">
        <f t="shared" si="0"/>
        <v>31.97</v>
      </c>
      <c r="H13" s="8">
        <v>33.81</v>
      </c>
      <c r="I13" s="8">
        <v>37.4</v>
      </c>
      <c r="J13" s="8">
        <v>31.97</v>
      </c>
    </row>
    <row r="14" spans="1:10" x14ac:dyDescent="0.3">
      <c r="A14" s="5" t="s">
        <v>23</v>
      </c>
      <c r="B14" s="8">
        <v>25.88</v>
      </c>
      <c r="C14" s="8">
        <v>34.979999999999997</v>
      </c>
      <c r="D14" s="8">
        <v>37.97</v>
      </c>
      <c r="E14" s="8">
        <v>24.13</v>
      </c>
      <c r="F14" s="8">
        <v>47.46</v>
      </c>
      <c r="G14" s="8">
        <f t="shared" si="0"/>
        <v>34.979999999999997</v>
      </c>
      <c r="H14" s="8">
        <v>41.08</v>
      </c>
      <c r="I14" s="8">
        <v>37.07</v>
      </c>
      <c r="J14" s="8">
        <v>34.979999999999997</v>
      </c>
    </row>
    <row r="15" spans="1:10" x14ac:dyDescent="0.3">
      <c r="A15" s="5" t="s">
        <v>24</v>
      </c>
      <c r="B15" s="8">
        <v>18.07</v>
      </c>
      <c r="C15" s="8">
        <v>21.91</v>
      </c>
      <c r="D15" s="8">
        <v>26.25</v>
      </c>
      <c r="E15" s="8">
        <v>17.68</v>
      </c>
      <c r="F15" s="8">
        <v>39.270000000000003</v>
      </c>
      <c r="G15" s="8">
        <f t="shared" si="0"/>
        <v>21.91</v>
      </c>
      <c r="H15" s="8">
        <v>35.86</v>
      </c>
      <c r="I15" s="8">
        <v>29.55</v>
      </c>
      <c r="J15" s="8">
        <v>21.91</v>
      </c>
    </row>
    <row r="16" spans="1:10" x14ac:dyDescent="0.3">
      <c r="A16" s="5" t="s">
        <v>25</v>
      </c>
      <c r="B16" s="8">
        <v>18.91</v>
      </c>
      <c r="C16" s="8">
        <v>22.52</v>
      </c>
      <c r="D16" s="8">
        <v>23.83</v>
      </c>
      <c r="E16" s="8">
        <v>13.33</v>
      </c>
      <c r="F16" s="8">
        <v>31.98</v>
      </c>
      <c r="G16" s="8">
        <f t="shared" si="0"/>
        <v>22.52</v>
      </c>
      <c r="H16" s="8">
        <v>27.74</v>
      </c>
      <c r="I16" s="8">
        <v>24.75</v>
      </c>
      <c r="J16" s="8">
        <v>22.52</v>
      </c>
    </row>
    <row r="17" spans="1:10" x14ac:dyDescent="0.3">
      <c r="A17" s="5" t="s">
        <v>26</v>
      </c>
      <c r="B17" s="8">
        <v>15.62</v>
      </c>
      <c r="C17" s="8">
        <v>17.05</v>
      </c>
      <c r="D17" s="8">
        <v>13.41</v>
      </c>
      <c r="E17" s="8">
        <v>9.07</v>
      </c>
      <c r="F17" s="8">
        <v>24.8</v>
      </c>
      <c r="G17" s="8">
        <f t="shared" si="0"/>
        <v>17.05</v>
      </c>
      <c r="H17" s="8">
        <v>17.61</v>
      </c>
      <c r="I17" s="8">
        <v>18.97</v>
      </c>
      <c r="J17" s="8">
        <v>17.05</v>
      </c>
    </row>
    <row r="18" spans="1:10" x14ac:dyDescent="0.3">
      <c r="A18" s="5" t="s">
        <v>27</v>
      </c>
      <c r="B18" s="8">
        <v>17.170000000000002</v>
      </c>
      <c r="C18" s="8">
        <v>17.600000000000001</v>
      </c>
      <c r="D18" s="8">
        <v>14.87</v>
      </c>
      <c r="E18" s="8">
        <v>12.37</v>
      </c>
      <c r="F18" s="8">
        <v>21.78</v>
      </c>
      <c r="G18" s="8">
        <f t="shared" si="0"/>
        <v>17.600000000000001</v>
      </c>
      <c r="H18" s="8">
        <v>21.33</v>
      </c>
      <c r="I18" s="8">
        <v>17.670000000000002</v>
      </c>
      <c r="J18" s="8">
        <v>17.600000000000001</v>
      </c>
    </row>
    <row r="19" spans="1:10" x14ac:dyDescent="0.3">
      <c r="A19" s="5" t="s">
        <v>28</v>
      </c>
      <c r="B19" s="8">
        <v>27.56</v>
      </c>
      <c r="C19" s="8">
        <v>26.23</v>
      </c>
      <c r="D19" s="8">
        <v>25.85</v>
      </c>
      <c r="E19" s="8">
        <v>21.17</v>
      </c>
      <c r="F19" s="8">
        <v>28.06</v>
      </c>
      <c r="G19" s="8">
        <f t="shared" si="0"/>
        <v>26.23</v>
      </c>
      <c r="H19" s="8">
        <v>30.63</v>
      </c>
      <c r="I19" s="8">
        <v>26.26</v>
      </c>
      <c r="J19" s="8">
        <v>26.23</v>
      </c>
    </row>
    <row r="20" spans="1:10" x14ac:dyDescent="0.3">
      <c r="A20" s="5" t="s">
        <v>29</v>
      </c>
      <c r="B20" s="8">
        <v>25.17</v>
      </c>
      <c r="C20" s="8">
        <v>30.07</v>
      </c>
      <c r="D20" s="8">
        <v>33.42</v>
      </c>
      <c r="E20" s="8">
        <v>11.38</v>
      </c>
      <c r="F20" s="8">
        <v>38</v>
      </c>
      <c r="G20" s="8">
        <f t="shared" si="0"/>
        <v>30.07</v>
      </c>
      <c r="H20" s="8">
        <v>34.619999999999997</v>
      </c>
      <c r="I20" s="8">
        <v>29.35</v>
      </c>
      <c r="J20" s="8">
        <v>30.07</v>
      </c>
    </row>
    <row r="21" spans="1:10" x14ac:dyDescent="0.3">
      <c r="A21" s="5" t="s">
        <v>30</v>
      </c>
      <c r="B21" s="8">
        <v>36.93</v>
      </c>
      <c r="C21" s="8">
        <v>34.89</v>
      </c>
      <c r="D21" s="8">
        <v>36.76</v>
      </c>
      <c r="E21" s="8">
        <v>31.71</v>
      </c>
      <c r="F21" s="8">
        <v>40.31</v>
      </c>
      <c r="G21" s="8">
        <f t="shared" si="0"/>
        <v>34.89</v>
      </c>
      <c r="H21" s="8">
        <v>36.21</v>
      </c>
      <c r="I21" s="8">
        <v>34.07</v>
      </c>
      <c r="J21" s="8">
        <v>34.89</v>
      </c>
    </row>
    <row r="22" spans="1:10" x14ac:dyDescent="0.3">
      <c r="A22" s="5" t="s">
        <v>31</v>
      </c>
      <c r="B22" s="8">
        <v>38.840000000000003</v>
      </c>
      <c r="C22" s="8">
        <v>43.68</v>
      </c>
      <c r="D22" s="8">
        <v>47.19</v>
      </c>
      <c r="E22" s="8">
        <v>33.159999999999997</v>
      </c>
      <c r="F22" s="8">
        <v>48.77</v>
      </c>
      <c r="G22" s="8">
        <f t="shared" si="0"/>
        <v>43.68</v>
      </c>
      <c r="H22" s="8">
        <v>41.95</v>
      </c>
      <c r="I22" s="8">
        <v>42.6</v>
      </c>
      <c r="J22" s="8">
        <v>43.68</v>
      </c>
    </row>
    <row r="23" spans="1:10" x14ac:dyDescent="0.3">
      <c r="A23" s="5" t="s">
        <v>32</v>
      </c>
      <c r="B23" s="8">
        <v>26.16</v>
      </c>
      <c r="C23" s="8">
        <v>33.96</v>
      </c>
      <c r="D23" s="8">
        <v>37.869999999999997</v>
      </c>
      <c r="E23" s="8">
        <v>22.58</v>
      </c>
      <c r="F23" s="8">
        <v>43.55</v>
      </c>
      <c r="G23" s="8">
        <f t="shared" si="0"/>
        <v>33.96</v>
      </c>
      <c r="H23" s="8">
        <v>36.549999999999997</v>
      </c>
      <c r="I23" s="8">
        <v>37.11</v>
      </c>
      <c r="J23" s="8">
        <v>33.96</v>
      </c>
    </row>
    <row r="24" spans="1:10" x14ac:dyDescent="0.3">
      <c r="A24" s="5" t="s">
        <v>33</v>
      </c>
      <c r="B24" s="8">
        <v>28.26</v>
      </c>
      <c r="C24" s="8">
        <v>38.799999999999997</v>
      </c>
      <c r="D24" s="8">
        <v>40.14</v>
      </c>
      <c r="E24" s="8">
        <v>22.48</v>
      </c>
      <c r="F24" s="8">
        <v>48.77</v>
      </c>
      <c r="G24" s="8">
        <f t="shared" si="0"/>
        <v>38.799999999999997</v>
      </c>
      <c r="H24" s="8">
        <v>41.96</v>
      </c>
      <c r="I24" s="8">
        <v>41.05</v>
      </c>
      <c r="J24" s="8">
        <v>38.799999999999997</v>
      </c>
    </row>
    <row r="25" spans="1:10" x14ac:dyDescent="0.3">
      <c r="A25" s="5" t="s">
        <v>34</v>
      </c>
      <c r="B25" s="8">
        <v>36.4</v>
      </c>
      <c r="C25" s="8">
        <v>43.55</v>
      </c>
      <c r="D25" s="8">
        <v>48.42</v>
      </c>
      <c r="E25" s="8">
        <v>29.79</v>
      </c>
      <c r="F25" s="8">
        <v>54.08</v>
      </c>
      <c r="G25" s="8">
        <f t="shared" si="0"/>
        <v>43.55</v>
      </c>
      <c r="H25" s="8">
        <v>41.97</v>
      </c>
      <c r="I25" s="8">
        <v>48.28</v>
      </c>
      <c r="J25" s="8">
        <v>43.55</v>
      </c>
    </row>
    <row r="26" spans="1:10" x14ac:dyDescent="0.3">
      <c r="A26" s="5" t="s">
        <v>35</v>
      </c>
      <c r="B26" s="8">
        <v>50.44</v>
      </c>
      <c r="C26" s="8">
        <v>52.79</v>
      </c>
      <c r="D26" s="8">
        <v>59.47</v>
      </c>
      <c r="E26" s="8">
        <v>48.11</v>
      </c>
      <c r="F26" s="8">
        <v>60.7</v>
      </c>
      <c r="G26" s="8">
        <f t="shared" si="0"/>
        <v>52.79</v>
      </c>
      <c r="H26" s="8">
        <v>60.1</v>
      </c>
      <c r="I26" s="8">
        <v>53.62</v>
      </c>
      <c r="J26" s="8">
        <v>52.79</v>
      </c>
    </row>
    <row r="27" spans="1:10" x14ac:dyDescent="0.3">
      <c r="A27" s="5" t="s">
        <v>36</v>
      </c>
      <c r="B27" s="8">
        <v>50.06</v>
      </c>
      <c r="C27" s="8">
        <v>48.71</v>
      </c>
      <c r="D27" s="8">
        <v>49.01</v>
      </c>
      <c r="E27" s="8">
        <v>51.57</v>
      </c>
      <c r="F27" s="8">
        <v>56.57</v>
      </c>
      <c r="G27" s="8">
        <f t="shared" si="0"/>
        <v>48.71</v>
      </c>
      <c r="H27" s="8">
        <v>28.54</v>
      </c>
      <c r="I27" s="8">
        <v>49.23</v>
      </c>
      <c r="J27" s="8">
        <v>48.71</v>
      </c>
    </row>
    <row r="28" spans="1:10" x14ac:dyDescent="0.3">
      <c r="A28" s="5" t="s">
        <v>37</v>
      </c>
      <c r="B28" s="8">
        <v>45.73</v>
      </c>
      <c r="C28" s="8">
        <v>47.18</v>
      </c>
      <c r="D28" s="8">
        <v>50.23</v>
      </c>
      <c r="E28" s="8">
        <v>35.83</v>
      </c>
      <c r="F28" s="8">
        <v>60.41</v>
      </c>
      <c r="G28" s="8">
        <f t="shared" si="0"/>
        <v>47.18</v>
      </c>
      <c r="H28" s="8">
        <v>45.48</v>
      </c>
      <c r="I28" s="8">
        <v>48.89</v>
      </c>
      <c r="J28" s="8">
        <v>47.18</v>
      </c>
    </row>
    <row r="29" spans="1:10" x14ac:dyDescent="0.3">
      <c r="A29" s="5" t="s">
        <v>38</v>
      </c>
      <c r="B29" s="8">
        <v>47.99</v>
      </c>
      <c r="C29" s="8">
        <v>53.66</v>
      </c>
      <c r="D29" s="8">
        <v>63.15</v>
      </c>
      <c r="E29" s="8">
        <v>33.68</v>
      </c>
      <c r="F29" s="8">
        <v>69.069999999999993</v>
      </c>
      <c r="G29" s="8">
        <f t="shared" si="0"/>
        <v>53.66</v>
      </c>
      <c r="H29" s="8">
        <v>65.06</v>
      </c>
      <c r="I29" s="8">
        <v>53.87</v>
      </c>
      <c r="J29" s="8">
        <v>53.66</v>
      </c>
    </row>
    <row r="30" spans="1:10" x14ac:dyDescent="0.3">
      <c r="A30" s="5" t="s">
        <v>39</v>
      </c>
      <c r="B30" s="8">
        <v>54.62</v>
      </c>
      <c r="C30" s="8">
        <v>53.33</v>
      </c>
      <c r="D30" s="8">
        <v>55.26</v>
      </c>
      <c r="E30" s="8">
        <v>42.9</v>
      </c>
      <c r="F30" s="8">
        <v>69.94</v>
      </c>
      <c r="G30" s="8">
        <f t="shared" si="0"/>
        <v>53.33</v>
      </c>
      <c r="H30" s="8">
        <v>67.180000000000007</v>
      </c>
      <c r="I30" s="8">
        <v>56.12</v>
      </c>
      <c r="J30" s="8">
        <v>53.33</v>
      </c>
    </row>
    <row r="31" spans="1:10" x14ac:dyDescent="0.3">
      <c r="A31" s="5" t="s">
        <v>40</v>
      </c>
      <c r="B31" s="8">
        <v>73.73</v>
      </c>
      <c r="C31" s="8">
        <v>74.13</v>
      </c>
      <c r="D31" s="8">
        <v>73.56</v>
      </c>
      <c r="E31" s="8">
        <v>44.57</v>
      </c>
      <c r="F31" s="8">
        <v>84.88</v>
      </c>
      <c r="G31" s="8">
        <f t="shared" si="0"/>
        <v>74.13</v>
      </c>
      <c r="H31" s="8">
        <v>83.31</v>
      </c>
      <c r="I31" s="8">
        <v>76.510000000000005</v>
      </c>
      <c r="J31" s="8">
        <v>74.13</v>
      </c>
    </row>
    <row r="32" spans="1:10" x14ac:dyDescent="0.3">
      <c r="A32" s="5" t="s">
        <v>41</v>
      </c>
      <c r="B32" s="8">
        <v>80.459999999999994</v>
      </c>
      <c r="C32" s="8">
        <v>81.290000000000006</v>
      </c>
      <c r="D32" s="8">
        <v>78.31</v>
      </c>
      <c r="E32" s="8">
        <v>58.46</v>
      </c>
      <c r="F32" s="8">
        <v>102.72</v>
      </c>
      <c r="G32" s="8">
        <f t="shared" si="0"/>
        <v>81.290000000000006</v>
      </c>
      <c r="H32" s="8">
        <v>92.37</v>
      </c>
      <c r="I32" s="8">
        <v>82.58</v>
      </c>
      <c r="J32" s="8">
        <v>81.290000000000006</v>
      </c>
    </row>
    <row r="33" spans="1:10" x14ac:dyDescent="0.3">
      <c r="A33" s="5" t="s">
        <v>42</v>
      </c>
      <c r="B33" s="8">
        <v>83.49</v>
      </c>
      <c r="C33" s="8">
        <v>82.81</v>
      </c>
      <c r="D33" s="8">
        <v>77.400000000000006</v>
      </c>
      <c r="E33" s="8">
        <v>67.260000000000005</v>
      </c>
      <c r="F33" s="8">
        <v>112.66</v>
      </c>
      <c r="G33" s="8">
        <f t="shared" si="0"/>
        <v>82.81</v>
      </c>
      <c r="H33" s="8">
        <v>106.08</v>
      </c>
      <c r="I33" s="8">
        <v>86.66</v>
      </c>
      <c r="J33" s="8">
        <v>82.81</v>
      </c>
    </row>
    <row r="34" spans="1:10" x14ac:dyDescent="0.3">
      <c r="A34" s="5" t="s">
        <v>43</v>
      </c>
      <c r="B34" s="8">
        <v>124.76</v>
      </c>
      <c r="C34" s="8">
        <v>128.34</v>
      </c>
      <c r="D34" s="8">
        <v>135.30000000000001</v>
      </c>
      <c r="E34" s="8">
        <v>89.31</v>
      </c>
      <c r="F34" s="8">
        <v>158.75</v>
      </c>
      <c r="G34" s="8">
        <f t="shared" si="0"/>
        <v>128.34</v>
      </c>
      <c r="H34" s="8">
        <v>156.4</v>
      </c>
      <c r="I34" s="8">
        <v>136.38999999999999</v>
      </c>
      <c r="J34" s="8">
        <v>128.34</v>
      </c>
    </row>
    <row r="35" spans="1:10" x14ac:dyDescent="0.3">
      <c r="A35" s="5" t="s">
        <v>44</v>
      </c>
      <c r="B35" s="8">
        <v>112.93</v>
      </c>
      <c r="C35" s="8">
        <v>139.54</v>
      </c>
      <c r="D35" s="8">
        <v>172.54</v>
      </c>
      <c r="E35" s="8">
        <v>61.44</v>
      </c>
      <c r="F35" s="8">
        <v>217.66</v>
      </c>
      <c r="G35" s="8">
        <f t="shared" si="0"/>
        <v>139.54</v>
      </c>
      <c r="H35" s="8">
        <v>199.67</v>
      </c>
      <c r="I35" s="8">
        <v>163.81</v>
      </c>
      <c r="J35" s="8">
        <v>139.54</v>
      </c>
    </row>
    <row r="36" spans="1:10" x14ac:dyDescent="0.3">
      <c r="A36" s="5" t="s">
        <v>45</v>
      </c>
      <c r="B36" s="8">
        <v>139.97</v>
      </c>
      <c r="C36" s="8">
        <v>176.25</v>
      </c>
      <c r="D36" s="8">
        <v>217.24</v>
      </c>
      <c r="E36" s="8">
        <v>80.8</v>
      </c>
      <c r="F36" s="8">
        <v>226.02</v>
      </c>
      <c r="G36" s="8">
        <f t="shared" si="0"/>
        <v>176.25</v>
      </c>
      <c r="H36" s="8">
        <v>193.72</v>
      </c>
      <c r="I36" s="8">
        <v>186.3</v>
      </c>
      <c r="J36" s="8">
        <v>176.25</v>
      </c>
    </row>
    <row r="37" spans="1:10" x14ac:dyDescent="0.3">
      <c r="A37" s="5" t="s">
        <v>46</v>
      </c>
      <c r="B37" s="8">
        <v>189.96</v>
      </c>
      <c r="C37" s="8">
        <v>220.96</v>
      </c>
      <c r="D37" s="8">
        <v>274.51</v>
      </c>
      <c r="E37" s="8">
        <v>156.71</v>
      </c>
      <c r="F37" s="8">
        <v>280.97000000000003</v>
      </c>
      <c r="G37" s="8">
        <f t="shared" si="0"/>
        <v>220.96</v>
      </c>
      <c r="H37" s="8">
        <v>238.97</v>
      </c>
      <c r="I37" s="8">
        <v>237.8</v>
      </c>
      <c r="J37" s="8">
        <v>220.96</v>
      </c>
    </row>
    <row r="38" spans="1:10" x14ac:dyDescent="0.3">
      <c r="A38" s="5" t="s">
        <v>47</v>
      </c>
      <c r="B38" s="8">
        <v>115.64</v>
      </c>
      <c r="C38" s="8">
        <v>167.87</v>
      </c>
      <c r="D38" s="8">
        <v>211.58</v>
      </c>
      <c r="E38" s="8">
        <v>88.21</v>
      </c>
      <c r="F38" s="8">
        <v>224.49</v>
      </c>
      <c r="G38" s="8">
        <f t="shared" si="0"/>
        <v>167.87</v>
      </c>
      <c r="H38" s="8">
        <v>201.8</v>
      </c>
      <c r="I38" s="8">
        <v>189.24</v>
      </c>
      <c r="J38" s="8">
        <v>167.87</v>
      </c>
    </row>
    <row r="39" spans="1:10" x14ac:dyDescent="0.3">
      <c r="A39" s="5" t="s">
        <v>48</v>
      </c>
      <c r="B39" s="8">
        <v>108.21</v>
      </c>
      <c r="C39" s="8">
        <v>128.78</v>
      </c>
      <c r="D39" s="8">
        <v>185.63</v>
      </c>
      <c r="E39" s="8">
        <v>65.23</v>
      </c>
      <c r="F39" s="8">
        <v>211.75</v>
      </c>
      <c r="G39" s="8">
        <f t="shared" si="0"/>
        <v>128.78</v>
      </c>
      <c r="H39" s="8">
        <v>200.31</v>
      </c>
      <c r="I39" s="8">
        <v>168.29</v>
      </c>
      <c r="J39" s="8">
        <v>128.78</v>
      </c>
    </row>
    <row r="40" spans="1:10" x14ac:dyDescent="0.3">
      <c r="A40" s="5" t="s">
        <v>49</v>
      </c>
      <c r="B40" s="8">
        <v>232.72</v>
      </c>
      <c r="C40" s="8">
        <v>251.76</v>
      </c>
      <c r="D40" s="8">
        <v>295.17</v>
      </c>
      <c r="E40" s="8">
        <v>108.39</v>
      </c>
      <c r="F40" s="8">
        <v>307.99</v>
      </c>
      <c r="G40" s="8">
        <f t="shared" si="0"/>
        <v>251.76</v>
      </c>
      <c r="H40" s="8">
        <v>283.19</v>
      </c>
      <c r="I40" s="8">
        <v>261.02999999999997</v>
      </c>
      <c r="J40" s="8">
        <v>251.76</v>
      </c>
    </row>
    <row r="41" spans="1:10" x14ac:dyDescent="0.3">
      <c r="A41" s="5" t="s">
        <v>50</v>
      </c>
      <c r="B41" s="8">
        <v>159.66</v>
      </c>
      <c r="C41" s="8">
        <v>166</v>
      </c>
      <c r="D41" s="8">
        <v>232.92</v>
      </c>
      <c r="E41" s="8">
        <v>83.56</v>
      </c>
      <c r="F41" s="8">
        <v>245.78</v>
      </c>
      <c r="G41" s="8">
        <f t="shared" si="0"/>
        <v>166</v>
      </c>
      <c r="H41" s="8">
        <v>191.52</v>
      </c>
      <c r="I41" s="8">
        <v>195.31</v>
      </c>
      <c r="J41" s="8">
        <v>166</v>
      </c>
    </row>
    <row r="42" spans="1:10" x14ac:dyDescent="0.3">
      <c r="A42" s="5" t="s">
        <v>51</v>
      </c>
      <c r="B42" s="8">
        <v>168.51</v>
      </c>
      <c r="C42" s="8">
        <v>177.51</v>
      </c>
      <c r="D42" s="8">
        <v>197.46</v>
      </c>
      <c r="E42" s="8">
        <v>95.36</v>
      </c>
      <c r="F42" s="8">
        <v>230.05</v>
      </c>
      <c r="G42" s="8">
        <f t="shared" si="0"/>
        <v>177.51</v>
      </c>
      <c r="H42" s="8">
        <v>187.16</v>
      </c>
      <c r="I42" s="8">
        <v>181.4</v>
      </c>
      <c r="J42" s="8">
        <v>177.51</v>
      </c>
    </row>
    <row r="43" spans="1:10" x14ac:dyDescent="0.3">
      <c r="A43" s="5" t="s">
        <v>52</v>
      </c>
      <c r="B43" s="8">
        <v>214.16</v>
      </c>
      <c r="C43" s="8">
        <v>218.18</v>
      </c>
      <c r="D43" s="8">
        <v>248.73</v>
      </c>
      <c r="E43" s="8">
        <v>114.83</v>
      </c>
      <c r="F43" s="8">
        <v>271.58</v>
      </c>
      <c r="G43" s="8">
        <f t="shared" si="0"/>
        <v>218.18</v>
      </c>
      <c r="H43" s="8">
        <v>169.43</v>
      </c>
      <c r="I43" s="8">
        <v>210.7</v>
      </c>
      <c r="J43" s="8">
        <v>218.18</v>
      </c>
    </row>
    <row r="44" spans="1:10" x14ac:dyDescent="0.3">
      <c r="A44" s="5" t="s">
        <v>53</v>
      </c>
      <c r="B44" s="8">
        <v>259.55</v>
      </c>
      <c r="C44" s="8">
        <v>315.26</v>
      </c>
      <c r="D44" s="8">
        <v>400.95</v>
      </c>
      <c r="E44" s="8">
        <v>74.8</v>
      </c>
      <c r="F44" s="8">
        <v>441.74</v>
      </c>
      <c r="G44" s="8">
        <f t="shared" si="0"/>
        <v>315.26</v>
      </c>
      <c r="H44" s="8">
        <v>142.68</v>
      </c>
      <c r="I44" s="8">
        <v>306.86</v>
      </c>
      <c r="J44" s="8">
        <v>315.26</v>
      </c>
    </row>
    <row r="45" spans="1:10" x14ac:dyDescent="0.3">
      <c r="A45" s="5" t="s">
        <v>54</v>
      </c>
      <c r="B45" s="8">
        <v>454.45</v>
      </c>
      <c r="C45" s="8">
        <v>469.35</v>
      </c>
      <c r="D45" s="8">
        <v>492.99</v>
      </c>
      <c r="E45" s="8">
        <v>190.12</v>
      </c>
      <c r="F45" s="8">
        <v>543.48</v>
      </c>
      <c r="G45" s="8">
        <f t="shared" si="0"/>
        <v>469.35</v>
      </c>
      <c r="H45" s="8">
        <v>154.99</v>
      </c>
      <c r="I45" s="8">
        <v>447.25</v>
      </c>
      <c r="J45" s="8">
        <v>469.35</v>
      </c>
    </row>
    <row r="46" spans="1:10" x14ac:dyDescent="0.3">
      <c r="A46" s="5" t="s">
        <v>55</v>
      </c>
      <c r="B46" s="8">
        <v>336.76</v>
      </c>
      <c r="C46" s="8">
        <v>360.18</v>
      </c>
      <c r="D46" s="8">
        <v>393.55</v>
      </c>
      <c r="E46" s="8">
        <v>190.08</v>
      </c>
      <c r="F46" s="8">
        <v>429.21</v>
      </c>
      <c r="G46" s="8">
        <f t="shared" si="0"/>
        <v>360.18</v>
      </c>
      <c r="H46" s="8">
        <v>140.91999999999999</v>
      </c>
      <c r="I46" s="8">
        <v>340.89</v>
      </c>
      <c r="J46" s="8">
        <v>360.18</v>
      </c>
    </row>
    <row r="47" spans="1:10" x14ac:dyDescent="0.3">
      <c r="A47" s="5" t="s">
        <v>56</v>
      </c>
      <c r="B47" s="8">
        <v>137.08000000000001</v>
      </c>
      <c r="C47" s="8">
        <v>157.78</v>
      </c>
      <c r="D47" s="8">
        <v>178.89</v>
      </c>
      <c r="E47" s="8">
        <v>67.95</v>
      </c>
      <c r="F47" s="8">
        <v>211.26</v>
      </c>
      <c r="G47" s="8">
        <f t="shared" si="0"/>
        <v>157.78</v>
      </c>
      <c r="H47" s="8">
        <v>127.22</v>
      </c>
      <c r="I47" s="8">
        <v>155.51</v>
      </c>
      <c r="J47" s="8">
        <v>157.78</v>
      </c>
    </row>
    <row r="48" spans="1:10" x14ac:dyDescent="0.3">
      <c r="A48" s="5" t="s">
        <v>57</v>
      </c>
      <c r="B48" s="8">
        <v>141.91999999999999</v>
      </c>
      <c r="C48" s="8">
        <v>175.45</v>
      </c>
      <c r="D48" s="8">
        <v>192.16</v>
      </c>
      <c r="E48" s="8">
        <v>119.35</v>
      </c>
      <c r="F48" s="8">
        <v>224.72</v>
      </c>
      <c r="G48" s="8">
        <f t="shared" si="0"/>
        <v>175.45</v>
      </c>
      <c r="H48" s="8">
        <v>115.57</v>
      </c>
      <c r="I48" s="8">
        <v>179.48</v>
      </c>
      <c r="J48" s="8">
        <v>175.45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A6CF-CF66-476C-9F50-013698E5ECE7}">
  <dimension ref="A1:V48"/>
  <sheetViews>
    <sheetView topLeftCell="A6" workbookViewId="0">
      <selection activeCell="M2" sqref="M2:U48"/>
    </sheetView>
  </sheetViews>
  <sheetFormatPr defaultRowHeight="14.4" x14ac:dyDescent="0.3"/>
  <cols>
    <col min="1" max="1" width="8.88671875" style="10"/>
    <col min="3" max="9" width="7.6640625" bestFit="1" customWidth="1"/>
    <col min="10" max="10" width="10.88671875" bestFit="1" customWidth="1"/>
    <col min="11" max="11" width="7.6640625" bestFit="1" customWidth="1"/>
    <col min="12" max="50" width="11.6640625" customWidth="1"/>
  </cols>
  <sheetData>
    <row r="1" spans="1:22" x14ac:dyDescent="0.3">
      <c r="A1" s="10" t="s">
        <v>62</v>
      </c>
      <c r="B1" s="5" t="s">
        <v>61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16" t="s">
        <v>64</v>
      </c>
      <c r="I1" s="5" t="s">
        <v>6</v>
      </c>
      <c r="J1" s="10" t="s">
        <v>63</v>
      </c>
      <c r="K1" s="5" t="s">
        <v>10</v>
      </c>
    </row>
    <row r="2" spans="1:22" x14ac:dyDescent="0.3">
      <c r="A2" s="10">
        <v>1</v>
      </c>
      <c r="B2" s="5" t="s">
        <v>11</v>
      </c>
      <c r="C2" s="8">
        <v>558.82435345941053</v>
      </c>
      <c r="D2" s="8">
        <v>496.21757508302545</v>
      </c>
      <c r="E2" s="8">
        <v>502.62912851715998</v>
      </c>
      <c r="F2" s="8">
        <v>536.85857865195192</v>
      </c>
      <c r="G2" s="8">
        <v>485.9741089911459</v>
      </c>
      <c r="H2" s="8">
        <v>330.12835456700299</v>
      </c>
      <c r="I2" s="8">
        <v>463.920276972198</v>
      </c>
      <c r="J2" s="8">
        <v>523.75189487954651</v>
      </c>
      <c r="K2" s="8">
        <v>470.06471342283669</v>
      </c>
      <c r="M2" s="12">
        <f t="shared" ref="M2:T2" si="0">ABS((C2-$K2)/$K2)*100</f>
        <v>18.882429908481985</v>
      </c>
      <c r="N2" s="12">
        <f t="shared" si="0"/>
        <v>5.5636725994072895</v>
      </c>
      <c r="O2" s="12">
        <f t="shared" si="0"/>
        <v>6.9276451017140417</v>
      </c>
      <c r="P2" s="12">
        <f t="shared" si="0"/>
        <v>14.209504206930809</v>
      </c>
      <c r="Q2" s="12">
        <f t="shared" si="0"/>
        <v>3.3845117733817749</v>
      </c>
      <c r="R2" s="12">
        <f t="shared" si="0"/>
        <v>29.769594453680455</v>
      </c>
      <c r="S2" s="12">
        <f t="shared" si="0"/>
        <v>1.3071469257705368</v>
      </c>
      <c r="T2" s="12">
        <f t="shared" si="0"/>
        <v>11.421231997139223</v>
      </c>
      <c r="U2" s="12">
        <f>ABS((K2-$K2)/$K2)*100</f>
        <v>0</v>
      </c>
      <c r="V2" s="8"/>
    </row>
    <row r="3" spans="1:22" x14ac:dyDescent="0.3">
      <c r="A3" s="10">
        <f>A2+1</f>
        <v>2</v>
      </c>
      <c r="B3" s="5" t="s">
        <v>12</v>
      </c>
      <c r="C3" s="8">
        <v>521.327298580361</v>
      </c>
      <c r="D3" s="8">
        <v>459.68397250286739</v>
      </c>
      <c r="E3" s="8">
        <v>458.66852472030382</v>
      </c>
      <c r="F3" s="8">
        <v>498.28582460423695</v>
      </c>
      <c r="G3" s="8">
        <v>446.25082452824972</v>
      </c>
      <c r="H3" s="8">
        <v>293.59475198684493</v>
      </c>
      <c r="I3" s="8">
        <v>426.13325101289945</v>
      </c>
      <c r="J3" s="8">
        <v>482.68164797936504</v>
      </c>
      <c r="K3" s="8">
        <v>433.53111084267857</v>
      </c>
      <c r="M3" s="12">
        <f t="shared" ref="M3:M48" si="1">ABS((C3-$K3)/$K3)*100</f>
        <v>20.251415767377821</v>
      </c>
      <c r="N3" s="12">
        <f t="shared" ref="N3:N48" si="2">ABS((D3-$K3)/$K3)*100</f>
        <v>6.0325224663471202</v>
      </c>
      <c r="O3" s="12">
        <f t="shared" ref="O3:O48" si="3">ABS((E3-$K3)/$K3)*100</f>
        <v>5.7982952662299736</v>
      </c>
      <c r="P3" s="12">
        <f t="shared" ref="P3:P48" si="4">ABS((F3-$K3)/$K3)*100</f>
        <v>14.936578285164135</v>
      </c>
      <c r="Q3" s="12">
        <f t="shared" ref="Q3:Q48" si="5">ABS((G3-$K3)/$K3)*100</f>
        <v>2.9339794463301918</v>
      </c>
      <c r="R3" s="12">
        <f t="shared" ref="R3:R48" si="6">ABS((H3-$K3)/$K3)*100</f>
        <v>32.278273774592911</v>
      </c>
      <c r="S3" s="12">
        <f t="shared" ref="S3:S48" si="7">ABS((I3-$K3)/$K3)*100</f>
        <v>1.7064195959084667</v>
      </c>
      <c r="T3" s="12">
        <f t="shared" ref="T3:T48" si="8">ABS((J3-$K3)/$K3)*100</f>
        <v>11.337257213478827</v>
      </c>
      <c r="U3" s="12">
        <f t="shared" ref="U3:U48" si="9">ABS((K3-$K3)/$K3)*100</f>
        <v>0</v>
      </c>
      <c r="V3" s="8"/>
    </row>
    <row r="4" spans="1:22" x14ac:dyDescent="0.3">
      <c r="A4" s="10">
        <f t="shared" ref="A4:A48" si="10">A3+1</f>
        <v>3</v>
      </c>
      <c r="B4" s="5" t="s">
        <v>13</v>
      </c>
      <c r="C4" s="8">
        <v>493.51512252651526</v>
      </c>
      <c r="D4" s="8">
        <v>428.73823800117054</v>
      </c>
      <c r="E4" s="8">
        <v>427.19897149299612</v>
      </c>
      <c r="F4" s="8">
        <v>472.97114140285771</v>
      </c>
      <c r="G4" s="8">
        <v>422.21762642345448</v>
      </c>
      <c r="H4" s="8">
        <v>262.64901748514814</v>
      </c>
      <c r="I4" s="8">
        <v>401.75395839296834</v>
      </c>
      <c r="J4" s="8">
        <v>457.20794837913968</v>
      </c>
      <c r="K4" s="8">
        <v>402.58537634098178</v>
      </c>
      <c r="M4" s="12">
        <f t="shared" si="1"/>
        <v>22.586450360411948</v>
      </c>
      <c r="N4" s="12">
        <f t="shared" si="2"/>
        <v>6.49622743326817</v>
      </c>
      <c r="O4" s="12">
        <f t="shared" si="3"/>
        <v>6.1138820728468577</v>
      </c>
      <c r="P4" s="12">
        <f t="shared" si="4"/>
        <v>17.483438097428703</v>
      </c>
      <c r="Q4" s="12">
        <f t="shared" si="5"/>
        <v>4.8765432716176376</v>
      </c>
      <c r="R4" s="12">
        <f t="shared" si="6"/>
        <v>34.759424231373558</v>
      </c>
      <c r="S4" s="12">
        <f t="shared" si="7"/>
        <v>0.20651965939995895</v>
      </c>
      <c r="T4" s="12">
        <f t="shared" si="8"/>
        <v>13.567947384132918</v>
      </c>
      <c r="U4" s="12">
        <f t="shared" si="9"/>
        <v>0</v>
      </c>
      <c r="V4" s="8"/>
    </row>
    <row r="5" spans="1:22" x14ac:dyDescent="0.3">
      <c r="A5" s="10">
        <f t="shared" si="10"/>
        <v>4</v>
      </c>
      <c r="B5" s="5" t="s">
        <v>14</v>
      </c>
      <c r="C5" s="8">
        <v>492.08235458524769</v>
      </c>
      <c r="D5" s="8">
        <v>428.56824734485792</v>
      </c>
      <c r="E5" s="8">
        <v>425.05530670982802</v>
      </c>
      <c r="F5" s="8">
        <v>467.11397601134058</v>
      </c>
      <c r="G5" s="8">
        <v>416.63172430055727</v>
      </c>
      <c r="H5" s="8">
        <v>262.47902682883552</v>
      </c>
      <c r="I5" s="8">
        <v>397.0940929457048</v>
      </c>
      <c r="J5" s="8">
        <v>451.40690642250945</v>
      </c>
      <c r="K5" s="8">
        <v>402.41538568466916</v>
      </c>
      <c r="M5" s="12">
        <f t="shared" si="1"/>
        <v>22.282192006157821</v>
      </c>
      <c r="N5" s="12">
        <f t="shared" si="2"/>
        <v>6.4989716075821269</v>
      </c>
      <c r="O5" s="12">
        <f t="shared" si="3"/>
        <v>5.6260078094775912</v>
      </c>
      <c r="P5" s="12">
        <f t="shared" si="4"/>
        <v>16.07756378812239</v>
      </c>
      <c r="Q5" s="12">
        <f t="shared" si="5"/>
        <v>3.5327522559060314</v>
      </c>
      <c r="R5" s="12">
        <f t="shared" si="6"/>
        <v>34.774107510264813</v>
      </c>
      <c r="S5" s="12">
        <f t="shared" si="7"/>
        <v>1.3223382922873879</v>
      </c>
      <c r="T5" s="12">
        <f t="shared" si="8"/>
        <v>12.174365712803491</v>
      </c>
      <c r="U5" s="12">
        <f t="shared" si="9"/>
        <v>0</v>
      </c>
      <c r="V5" s="8"/>
    </row>
    <row r="6" spans="1:22" x14ac:dyDescent="0.3">
      <c r="A6" s="10">
        <f t="shared" si="10"/>
        <v>5</v>
      </c>
      <c r="B6" s="5" t="s">
        <v>15</v>
      </c>
      <c r="C6" s="8">
        <v>476.83259300825182</v>
      </c>
      <c r="D6" s="8">
        <v>415.72243956218369</v>
      </c>
      <c r="E6" s="8">
        <v>410.56321150380506</v>
      </c>
      <c r="F6" s="8">
        <v>449.16093565395965</v>
      </c>
      <c r="G6" s="8">
        <v>400.42786433048428</v>
      </c>
      <c r="H6" s="8">
        <v>249.63321904616123</v>
      </c>
      <c r="I6" s="8">
        <v>381.56371419427444</v>
      </c>
      <c r="J6" s="8">
        <v>437.14865886184856</v>
      </c>
      <c r="K6" s="8">
        <v>389.56957790199493</v>
      </c>
      <c r="M6" s="12">
        <f t="shared" si="1"/>
        <v>22.399853596424791</v>
      </c>
      <c r="N6" s="12">
        <f t="shared" si="2"/>
        <v>6.7132710416027681</v>
      </c>
      <c r="O6" s="12">
        <f t="shared" si="3"/>
        <v>5.3889304485401981</v>
      </c>
      <c r="P6" s="12">
        <f t="shared" si="4"/>
        <v>15.296717488282999</v>
      </c>
      <c r="Q6" s="12">
        <f t="shared" si="5"/>
        <v>2.7872521481184549</v>
      </c>
      <c r="R6" s="12">
        <f t="shared" si="6"/>
        <v>35.920761474613364</v>
      </c>
      <c r="S6" s="12">
        <f t="shared" si="7"/>
        <v>2.0550536186207413</v>
      </c>
      <c r="T6" s="12">
        <f t="shared" si="8"/>
        <v>12.213243450910129</v>
      </c>
      <c r="U6" s="12">
        <f t="shared" si="9"/>
        <v>0</v>
      </c>
      <c r="V6" s="8"/>
    </row>
    <row r="7" spans="1:22" x14ac:dyDescent="0.3">
      <c r="A7" s="10">
        <f t="shared" si="10"/>
        <v>6</v>
      </c>
      <c r="B7" s="5" t="s">
        <v>16</v>
      </c>
      <c r="C7" s="8">
        <v>454.92538868673228</v>
      </c>
      <c r="D7" s="8">
        <v>393.08563058713463</v>
      </c>
      <c r="E7" s="8">
        <v>385.46632529954758</v>
      </c>
      <c r="F7" s="8">
        <v>422.16520656936245</v>
      </c>
      <c r="G7" s="8">
        <v>380.83107474514162</v>
      </c>
      <c r="H7" s="8">
        <v>226.99641007111222</v>
      </c>
      <c r="I7" s="8">
        <v>362.76200660316266</v>
      </c>
      <c r="J7" s="8">
        <v>415.79333498338349</v>
      </c>
      <c r="K7" s="8">
        <v>366.93276892694593</v>
      </c>
      <c r="M7" s="12">
        <f t="shared" si="1"/>
        <v>23.980583695784645</v>
      </c>
      <c r="N7" s="12">
        <f t="shared" si="2"/>
        <v>7.127426023211239</v>
      </c>
      <c r="O7" s="12">
        <f t="shared" si="3"/>
        <v>5.0509406469204094</v>
      </c>
      <c r="P7" s="12">
        <f t="shared" si="4"/>
        <v>15.052468004952965</v>
      </c>
      <c r="Q7" s="12">
        <f t="shared" si="5"/>
        <v>3.7876981821056059</v>
      </c>
      <c r="R7" s="12">
        <f t="shared" si="6"/>
        <v>38.136784366537235</v>
      </c>
      <c r="S7" s="12">
        <f t="shared" si="7"/>
        <v>1.1366557246931626</v>
      </c>
      <c r="T7" s="12">
        <f t="shared" si="8"/>
        <v>13.315945097878517</v>
      </c>
      <c r="U7" s="12">
        <f t="shared" si="9"/>
        <v>0</v>
      </c>
      <c r="V7" s="8"/>
    </row>
    <row r="8" spans="1:22" x14ac:dyDescent="0.3">
      <c r="A8" s="10">
        <f t="shared" si="10"/>
        <v>7</v>
      </c>
      <c r="B8" s="5" t="s">
        <v>17</v>
      </c>
      <c r="C8" s="8">
        <v>461.02863942872511</v>
      </c>
      <c r="D8" s="8">
        <v>400.53584376641277</v>
      </c>
      <c r="E8" s="8">
        <v>394.07642279982127</v>
      </c>
      <c r="F8" s="8">
        <v>432.62737742090343</v>
      </c>
      <c r="G8" s="8">
        <v>385.05419041842373</v>
      </c>
      <c r="H8" s="8">
        <v>234.44662325039033</v>
      </c>
      <c r="I8" s="8">
        <v>367.49023319042675</v>
      </c>
      <c r="J8" s="8">
        <v>419.67035614152974</v>
      </c>
      <c r="K8" s="8">
        <v>374.38298210622401</v>
      </c>
      <c r="M8" s="12">
        <f t="shared" si="1"/>
        <v>23.143588641514977</v>
      </c>
      <c r="N8" s="12">
        <f t="shared" si="2"/>
        <v>6.9855904007860028</v>
      </c>
      <c r="O8" s="12">
        <f t="shared" si="3"/>
        <v>5.2602392829943403</v>
      </c>
      <c r="P8" s="12">
        <f t="shared" si="4"/>
        <v>15.557436662052574</v>
      </c>
      <c r="Q8" s="12">
        <f t="shared" si="5"/>
        <v>2.85034545431661</v>
      </c>
      <c r="R8" s="12">
        <f t="shared" si="6"/>
        <v>37.377863189339472</v>
      </c>
      <c r="S8" s="12">
        <f t="shared" si="7"/>
        <v>1.8410956814916255</v>
      </c>
      <c r="T8" s="12">
        <f t="shared" si="8"/>
        <v>12.096536487990338</v>
      </c>
      <c r="U8" s="12">
        <f t="shared" si="9"/>
        <v>0</v>
      </c>
      <c r="V8" s="8"/>
    </row>
    <row r="9" spans="1:22" x14ac:dyDescent="0.3">
      <c r="A9" s="10">
        <f t="shared" si="10"/>
        <v>8</v>
      </c>
      <c r="B9" s="5" t="s">
        <v>18</v>
      </c>
      <c r="C9" s="8">
        <v>462.03851565277694</v>
      </c>
      <c r="D9" s="8">
        <v>399.24465916010217</v>
      </c>
      <c r="E9" s="8">
        <v>391.43827575622544</v>
      </c>
      <c r="F9" s="8">
        <v>435.6764051125121</v>
      </c>
      <c r="G9" s="8">
        <v>383.92202221095937</v>
      </c>
      <c r="H9" s="8">
        <v>233.15543864407977</v>
      </c>
      <c r="I9" s="8">
        <v>362.81293467927406</v>
      </c>
      <c r="J9" s="8">
        <v>419.01523713060385</v>
      </c>
      <c r="K9" s="8">
        <v>373.09179749991341</v>
      </c>
      <c r="M9" s="12">
        <f t="shared" si="1"/>
        <v>23.840437862449701</v>
      </c>
      <c r="N9" s="12">
        <f t="shared" si="2"/>
        <v>7.0097659169778002</v>
      </c>
      <c r="O9" s="12">
        <f t="shared" si="3"/>
        <v>4.9174166731221911</v>
      </c>
      <c r="P9" s="12">
        <f t="shared" si="4"/>
        <v>16.774586852881217</v>
      </c>
      <c r="Q9" s="12">
        <f t="shared" si="5"/>
        <v>2.9028310950868521</v>
      </c>
      <c r="R9" s="12">
        <f t="shared" si="6"/>
        <v>37.50721934750284</v>
      </c>
      <c r="S9" s="12">
        <f t="shared" si="7"/>
        <v>2.7550492638857151</v>
      </c>
      <c r="T9" s="12">
        <f t="shared" si="8"/>
        <v>12.308884820953775</v>
      </c>
      <c r="U9" s="12">
        <f t="shared" si="9"/>
        <v>0</v>
      </c>
      <c r="V9" s="8"/>
    </row>
    <row r="10" spans="1:22" x14ac:dyDescent="0.3">
      <c r="A10" s="10">
        <f t="shared" si="10"/>
        <v>9</v>
      </c>
      <c r="B10" s="5" t="s">
        <v>19</v>
      </c>
      <c r="C10" s="8">
        <v>472.32320022984595</v>
      </c>
      <c r="D10" s="8">
        <v>410.7359975872393</v>
      </c>
      <c r="E10" s="8">
        <v>405.96027966725438</v>
      </c>
      <c r="F10" s="8">
        <v>445.99850531283909</v>
      </c>
      <c r="G10" s="8">
        <v>397.84537614986152</v>
      </c>
      <c r="H10" s="8">
        <v>244.64677707121683</v>
      </c>
      <c r="I10" s="8">
        <v>372.648631777248</v>
      </c>
      <c r="J10" s="8">
        <v>430.71236148565959</v>
      </c>
      <c r="K10" s="8">
        <v>384.58313592705053</v>
      </c>
      <c r="M10" s="12">
        <f t="shared" si="1"/>
        <v>22.814329622461226</v>
      </c>
      <c r="N10" s="12">
        <f t="shared" si="2"/>
        <v>6.8003142148046649</v>
      </c>
      <c r="O10" s="12">
        <f t="shared" si="3"/>
        <v>5.5585234356866762</v>
      </c>
      <c r="P10" s="12">
        <f t="shared" si="4"/>
        <v>15.969335014585273</v>
      </c>
      <c r="Q10" s="12">
        <f t="shared" si="5"/>
        <v>3.4484716005141287</v>
      </c>
      <c r="R10" s="12">
        <f t="shared" si="6"/>
        <v>36.386504186802789</v>
      </c>
      <c r="S10" s="12">
        <f t="shared" si="7"/>
        <v>3.1032312743079626</v>
      </c>
      <c r="T10" s="12">
        <f t="shared" si="8"/>
        <v>11.994604351907686</v>
      </c>
      <c r="U10" s="12">
        <f t="shared" si="9"/>
        <v>0</v>
      </c>
      <c r="V10" s="8"/>
    </row>
    <row r="11" spans="1:22" x14ac:dyDescent="0.3">
      <c r="A11" s="10">
        <f t="shared" si="10"/>
        <v>10</v>
      </c>
      <c r="B11" s="5" t="s">
        <v>20</v>
      </c>
      <c r="C11" s="8">
        <v>495.48948786119519</v>
      </c>
      <c r="D11" s="8">
        <v>431.8444259394027</v>
      </c>
      <c r="E11" s="8">
        <v>428.83659621835471</v>
      </c>
      <c r="F11" s="8">
        <v>469.08996169767244</v>
      </c>
      <c r="G11" s="8">
        <v>419.41214588693452</v>
      </c>
      <c r="H11" s="8">
        <v>265.75520542338029</v>
      </c>
      <c r="I11" s="8">
        <v>397.3489599621721</v>
      </c>
      <c r="J11" s="8">
        <v>452.00786795411261</v>
      </c>
      <c r="K11" s="8">
        <v>405.69156427921394</v>
      </c>
      <c r="M11" s="12">
        <f t="shared" si="1"/>
        <v>22.134530635736503</v>
      </c>
      <c r="N11" s="12">
        <f t="shared" si="2"/>
        <v>6.4464889001707881</v>
      </c>
      <c r="O11" s="12">
        <f t="shared" si="3"/>
        <v>5.7050808981602081</v>
      </c>
      <c r="P11" s="12">
        <f t="shared" si="4"/>
        <v>15.627240741645066</v>
      </c>
      <c r="Q11" s="12">
        <f t="shared" si="5"/>
        <v>3.3820229001058326</v>
      </c>
      <c r="R11" s="12">
        <f t="shared" si="6"/>
        <v>34.493287802140145</v>
      </c>
      <c r="S11" s="12">
        <f t="shared" si="7"/>
        <v>2.0563908771098092</v>
      </c>
      <c r="T11" s="12">
        <f t="shared" si="8"/>
        <v>11.416629714050908</v>
      </c>
      <c r="U11" s="12">
        <f t="shared" si="9"/>
        <v>0</v>
      </c>
      <c r="V11" s="8"/>
    </row>
    <row r="12" spans="1:22" x14ac:dyDescent="0.3">
      <c r="A12" s="10">
        <f t="shared" si="10"/>
        <v>11</v>
      </c>
      <c r="B12" s="5" t="s">
        <v>21</v>
      </c>
      <c r="C12" s="8">
        <v>500.02093682244299</v>
      </c>
      <c r="D12" s="8">
        <v>437.75089905537925</v>
      </c>
      <c r="E12" s="8">
        <v>437.81115044148106</v>
      </c>
      <c r="F12" s="8">
        <v>474.51003171129599</v>
      </c>
      <c r="G12" s="8">
        <v>417.1526592268691</v>
      </c>
      <c r="H12" s="8">
        <v>271.66167853935684</v>
      </c>
      <c r="I12" s="8">
        <v>394.82756393930123</v>
      </c>
      <c r="J12" s="8">
        <v>458.5691144771028</v>
      </c>
      <c r="K12" s="8">
        <v>411.59803739519049</v>
      </c>
      <c r="M12" s="12">
        <f t="shared" si="1"/>
        <v>21.482828243506518</v>
      </c>
      <c r="N12" s="12">
        <f t="shared" si="2"/>
        <v>6.3539811379320144</v>
      </c>
      <c r="O12" s="12">
        <f t="shared" si="3"/>
        <v>6.3686195425471368</v>
      </c>
      <c r="P12" s="12">
        <f t="shared" si="4"/>
        <v>15.284813969047519</v>
      </c>
      <c r="Q12" s="12">
        <f t="shared" si="5"/>
        <v>1.3495258303055071</v>
      </c>
      <c r="R12" s="12">
        <f t="shared" si="6"/>
        <v>33.998305662831811</v>
      </c>
      <c r="S12" s="12">
        <f t="shared" si="7"/>
        <v>4.0744784795432123</v>
      </c>
      <c r="T12" s="12">
        <f t="shared" si="8"/>
        <v>11.411880722068082</v>
      </c>
      <c r="U12" s="12">
        <f t="shared" si="9"/>
        <v>0</v>
      </c>
      <c r="V12" s="8"/>
    </row>
    <row r="13" spans="1:22" x14ac:dyDescent="0.3">
      <c r="A13" s="10">
        <f t="shared" si="10"/>
        <v>12</v>
      </c>
      <c r="B13" s="5" t="s">
        <v>22</v>
      </c>
      <c r="C13" s="8">
        <v>480.47588548903769</v>
      </c>
      <c r="D13" s="8">
        <v>416.8308235672452</v>
      </c>
      <c r="E13" s="8">
        <v>416.47014919169538</v>
      </c>
      <c r="F13" s="8">
        <v>456.59255998961038</v>
      </c>
      <c r="G13" s="8">
        <v>400.16122418081704</v>
      </c>
      <c r="H13" s="8">
        <v>250.74160305122274</v>
      </c>
      <c r="I13" s="8">
        <v>374.51549232910844</v>
      </c>
      <c r="J13" s="8">
        <v>441.12869195195572</v>
      </c>
      <c r="K13" s="8">
        <v>390.67796190705644</v>
      </c>
      <c r="M13" s="12">
        <f t="shared" si="1"/>
        <v>22.985152053021221</v>
      </c>
      <c r="N13" s="12">
        <f t="shared" si="2"/>
        <v>6.6942249653720198</v>
      </c>
      <c r="O13" s="12">
        <f t="shared" si="3"/>
        <v>6.6019048422227069</v>
      </c>
      <c r="P13" s="12">
        <f t="shared" si="4"/>
        <v>16.871849581890476</v>
      </c>
      <c r="Q13" s="12">
        <f t="shared" si="5"/>
        <v>2.4273860310596942</v>
      </c>
      <c r="R13" s="12">
        <f t="shared" si="6"/>
        <v>35.818851458308011</v>
      </c>
      <c r="S13" s="12">
        <f t="shared" si="7"/>
        <v>4.1370313029822521</v>
      </c>
      <c r="T13" s="12">
        <f t="shared" si="8"/>
        <v>12.91363602866897</v>
      </c>
      <c r="U13" s="12">
        <f t="shared" si="9"/>
        <v>0</v>
      </c>
      <c r="V13" s="8"/>
    </row>
    <row r="14" spans="1:22" x14ac:dyDescent="0.3">
      <c r="A14" s="10">
        <f t="shared" si="10"/>
        <v>13</v>
      </c>
      <c r="B14" s="5" t="s">
        <v>23</v>
      </c>
      <c r="C14" s="8">
        <v>440.66402125942767</v>
      </c>
      <c r="D14" s="8">
        <v>391.89656376313752</v>
      </c>
      <c r="E14" s="8">
        <v>389.16488253564171</v>
      </c>
      <c r="F14" s="8">
        <v>419.12764090181849</v>
      </c>
      <c r="G14" s="8">
        <v>374.38609136055231</v>
      </c>
      <c r="H14" s="8">
        <v>220.22957097464271</v>
      </c>
      <c r="I14" s="8">
        <v>358.46080885063822</v>
      </c>
      <c r="J14" s="8">
        <v>408.34864260671094</v>
      </c>
      <c r="K14" s="8">
        <v>365.50573995355802</v>
      </c>
      <c r="M14" s="12">
        <f t="shared" si="1"/>
        <v>20.562818333692771</v>
      </c>
      <c r="N14" s="12">
        <f t="shared" si="2"/>
        <v>7.2203582392256758</v>
      </c>
      <c r="O14" s="12">
        <f t="shared" si="3"/>
        <v>6.4729879714310021</v>
      </c>
      <c r="P14" s="12">
        <f t="shared" si="4"/>
        <v>14.670604339913728</v>
      </c>
      <c r="Q14" s="12">
        <f t="shared" si="5"/>
        <v>2.4296065523136932</v>
      </c>
      <c r="R14" s="12">
        <f t="shared" si="6"/>
        <v>39.746617658418835</v>
      </c>
      <c r="S14" s="12">
        <f t="shared" si="7"/>
        <v>1.9274474605555987</v>
      </c>
      <c r="T14" s="12">
        <f t="shared" si="8"/>
        <v>11.721540312498686</v>
      </c>
      <c r="U14" s="12">
        <f t="shared" si="9"/>
        <v>0</v>
      </c>
      <c r="V14" s="8"/>
    </row>
    <row r="15" spans="1:22" x14ac:dyDescent="0.3">
      <c r="A15" s="10">
        <f t="shared" si="10"/>
        <v>14</v>
      </c>
      <c r="B15" s="5" t="s">
        <v>24</v>
      </c>
      <c r="C15" s="8">
        <v>416.41349072942461</v>
      </c>
      <c r="D15" s="8">
        <v>362.72587877471739</v>
      </c>
      <c r="E15" s="8">
        <v>361.25697483217652</v>
      </c>
      <c r="F15" s="8">
        <v>396.14924156258485</v>
      </c>
      <c r="G15" s="8">
        <v>349.78011240959893</v>
      </c>
      <c r="H15" s="8">
        <v>191.05888598622261</v>
      </c>
      <c r="I15" s="8">
        <v>336.63293992658578</v>
      </c>
      <c r="J15" s="8">
        <v>384.36937534532785</v>
      </c>
      <c r="K15" s="8">
        <v>336.33505496513783</v>
      </c>
      <c r="M15" s="12">
        <f t="shared" si="1"/>
        <v>23.809125626999293</v>
      </c>
      <c r="N15" s="12">
        <f t="shared" si="2"/>
        <v>7.8465873301000535</v>
      </c>
      <c r="O15" s="12">
        <f t="shared" si="3"/>
        <v>7.4098490475879562</v>
      </c>
      <c r="P15" s="12">
        <f t="shared" si="4"/>
        <v>17.784107161725068</v>
      </c>
      <c r="Q15" s="12">
        <f t="shared" si="5"/>
        <v>3.997518916324295</v>
      </c>
      <c r="R15" s="12">
        <f t="shared" si="6"/>
        <v>43.193882657867334</v>
      </c>
      <c r="S15" s="12">
        <f t="shared" si="7"/>
        <v>8.8567919712925935E-2</v>
      </c>
      <c r="T15" s="12">
        <f t="shared" si="8"/>
        <v>14.281687166141197</v>
      </c>
      <c r="U15" s="12">
        <f t="shared" si="9"/>
        <v>0</v>
      </c>
      <c r="V15" s="8"/>
    </row>
    <row r="16" spans="1:22" x14ac:dyDescent="0.3">
      <c r="A16" s="10">
        <f t="shared" si="10"/>
        <v>15</v>
      </c>
      <c r="B16" s="5" t="s">
        <v>25</v>
      </c>
      <c r="C16" s="8">
        <v>412.72758726660527</v>
      </c>
      <c r="D16" s="8">
        <v>358.82483547816497</v>
      </c>
      <c r="E16" s="8">
        <v>354.52169807383638</v>
      </c>
      <c r="F16" s="8">
        <v>387.6086609820498</v>
      </c>
      <c r="G16" s="8">
        <v>338.48948351960649</v>
      </c>
      <c r="H16" s="8">
        <v>187.15784268967019</v>
      </c>
      <c r="I16" s="8">
        <v>324.56593685399133</v>
      </c>
      <c r="J16" s="8">
        <v>375.40786900314117</v>
      </c>
      <c r="K16" s="8">
        <v>332.43401166858547</v>
      </c>
      <c r="M16" s="12">
        <f t="shared" si="1"/>
        <v>24.153237268052806</v>
      </c>
      <c r="N16" s="12">
        <f t="shared" si="2"/>
        <v>7.9386653841813857</v>
      </c>
      <c r="O16" s="12">
        <f t="shared" si="3"/>
        <v>6.6442318264566911</v>
      </c>
      <c r="P16" s="12">
        <f t="shared" si="4"/>
        <v>16.597173386840385</v>
      </c>
      <c r="Q16" s="12">
        <f t="shared" si="5"/>
        <v>1.8215560497636223</v>
      </c>
      <c r="R16" s="12">
        <f t="shared" si="6"/>
        <v>43.700753797642683</v>
      </c>
      <c r="S16" s="12">
        <f t="shared" si="7"/>
        <v>2.3668080095360651</v>
      </c>
      <c r="T16" s="12">
        <f t="shared" si="8"/>
        <v>12.927033885268566</v>
      </c>
      <c r="U16" s="12">
        <f t="shared" si="9"/>
        <v>0</v>
      </c>
      <c r="V16" s="8"/>
    </row>
    <row r="17" spans="1:22" x14ac:dyDescent="0.3">
      <c r="A17" s="10">
        <f t="shared" si="10"/>
        <v>16</v>
      </c>
      <c r="B17" s="5" t="s">
        <v>26</v>
      </c>
      <c r="C17" s="8">
        <v>395.52921051289655</v>
      </c>
      <c r="D17" s="8">
        <v>339.58730725689935</v>
      </c>
      <c r="E17" s="8">
        <v>330.65398647440264</v>
      </c>
      <c r="F17" s="8">
        <v>369.5029553643364</v>
      </c>
      <c r="G17" s="8">
        <v>317.65243740406459</v>
      </c>
      <c r="H17" s="8">
        <v>167.92031446840457</v>
      </c>
      <c r="I17" s="8">
        <v>300.96948852317757</v>
      </c>
      <c r="J17" s="8">
        <v>355.88036970162665</v>
      </c>
      <c r="K17" s="8">
        <v>313.19648344731979</v>
      </c>
      <c r="M17" s="12">
        <f t="shared" si="1"/>
        <v>26.287883618407637</v>
      </c>
      <c r="N17" s="12">
        <f t="shared" si="2"/>
        <v>8.4262835645849599</v>
      </c>
      <c r="O17" s="12">
        <f t="shared" si="3"/>
        <v>5.5739779817863866</v>
      </c>
      <c r="P17" s="12">
        <f t="shared" si="4"/>
        <v>17.978002593534054</v>
      </c>
      <c r="Q17" s="12">
        <f t="shared" si="5"/>
        <v>1.4227343511966002</v>
      </c>
      <c r="R17" s="12">
        <f t="shared" si="6"/>
        <v>46.384993656338722</v>
      </c>
      <c r="S17" s="12">
        <f t="shared" si="7"/>
        <v>3.9039374866412957</v>
      </c>
      <c r="T17" s="12">
        <f t="shared" si="8"/>
        <v>13.628469191125628</v>
      </c>
      <c r="U17" s="12">
        <f t="shared" si="9"/>
        <v>0</v>
      </c>
      <c r="V17" s="8"/>
    </row>
    <row r="18" spans="1:22" x14ac:dyDescent="0.3">
      <c r="A18" s="10">
        <f t="shared" si="10"/>
        <v>17</v>
      </c>
      <c r="B18" s="5" t="s">
        <v>27</v>
      </c>
      <c r="C18" s="8">
        <v>384.27021834747109</v>
      </c>
      <c r="D18" s="8">
        <v>327.39292451002581</v>
      </c>
      <c r="E18" s="8">
        <v>319.31080915664683</v>
      </c>
      <c r="F18" s="8">
        <v>359.88089671644514</v>
      </c>
      <c r="G18" s="8">
        <v>302.11871028142127</v>
      </c>
      <c r="H18" s="8">
        <v>155.725931721531</v>
      </c>
      <c r="I18" s="8">
        <v>291.74029391949449</v>
      </c>
      <c r="J18" s="8">
        <v>341.95551437907409</v>
      </c>
      <c r="K18" s="8">
        <v>301.00210070044631</v>
      </c>
      <c r="M18" s="12">
        <f t="shared" si="1"/>
        <v>27.663633394337079</v>
      </c>
      <c r="N18" s="12">
        <f t="shared" si="2"/>
        <v>8.7676543612708322</v>
      </c>
      <c r="O18" s="12">
        <f t="shared" si="3"/>
        <v>6.0825849432928472</v>
      </c>
      <c r="P18" s="12">
        <f t="shared" si="4"/>
        <v>19.560925282243897</v>
      </c>
      <c r="Q18" s="12">
        <f t="shared" si="5"/>
        <v>0.37096404921313247</v>
      </c>
      <c r="R18" s="12">
        <f t="shared" si="6"/>
        <v>48.264171127327913</v>
      </c>
      <c r="S18" s="12">
        <f t="shared" si="7"/>
        <v>3.076990745047675</v>
      </c>
      <c r="T18" s="12">
        <f t="shared" si="8"/>
        <v>13.605690320209469</v>
      </c>
      <c r="U18" s="12">
        <f t="shared" si="9"/>
        <v>0</v>
      </c>
      <c r="V18" s="8"/>
    </row>
    <row r="19" spans="1:22" x14ac:dyDescent="0.3">
      <c r="A19" s="10">
        <f t="shared" si="10"/>
        <v>18</v>
      </c>
      <c r="B19" s="5" t="s">
        <v>28</v>
      </c>
      <c r="C19" s="8">
        <v>397.98985998192785</v>
      </c>
      <c r="D19" s="8">
        <v>339.4662787211339</v>
      </c>
      <c r="E19" s="8">
        <v>333.582331234158</v>
      </c>
      <c r="F19" s="8">
        <v>372.11326732639941</v>
      </c>
      <c r="G19" s="8">
        <v>311.99389662612634</v>
      </c>
      <c r="H19" s="8">
        <v>167.79928593263912</v>
      </c>
      <c r="I19" s="8">
        <v>304.44035982017283</v>
      </c>
      <c r="J19" s="8">
        <v>353.99145296692427</v>
      </c>
      <c r="K19" s="8">
        <v>313.0754549115544</v>
      </c>
      <c r="M19" s="12">
        <f t="shared" si="1"/>
        <v>27.122664437032363</v>
      </c>
      <c r="N19" s="12">
        <f t="shared" si="2"/>
        <v>8.4295409926131253</v>
      </c>
      <c r="O19" s="12">
        <f t="shared" si="3"/>
        <v>6.550138633000441</v>
      </c>
      <c r="P19" s="12">
        <f t="shared" si="4"/>
        <v>18.857374951838217</v>
      </c>
      <c r="Q19" s="12">
        <f t="shared" si="5"/>
        <v>0.34546249744605678</v>
      </c>
      <c r="R19" s="12">
        <f t="shared" si="6"/>
        <v>46.402925141466817</v>
      </c>
      <c r="S19" s="12">
        <f t="shared" si="7"/>
        <v>2.7581514155496589</v>
      </c>
      <c r="T19" s="12">
        <f t="shared" si="8"/>
        <v>13.069053294813186</v>
      </c>
      <c r="U19" s="12">
        <f t="shared" si="9"/>
        <v>0</v>
      </c>
      <c r="V19" s="8"/>
    </row>
    <row r="20" spans="1:22" x14ac:dyDescent="0.3">
      <c r="A20" s="10">
        <f t="shared" si="10"/>
        <v>19</v>
      </c>
      <c r="B20" s="5" t="s">
        <v>29</v>
      </c>
      <c r="C20" s="8">
        <v>396.93102163732897</v>
      </c>
      <c r="D20" s="8">
        <v>344.23492369895666</v>
      </c>
      <c r="E20" s="8">
        <v>341.83998308078219</v>
      </c>
      <c r="F20" s="8">
        <v>364.13253867908452</v>
      </c>
      <c r="G20" s="8">
        <v>322.46842415078254</v>
      </c>
      <c r="H20" s="8">
        <v>172.56793091046191</v>
      </c>
      <c r="I20" s="8">
        <v>309.34931338521284</v>
      </c>
      <c r="J20" s="8">
        <v>358.05855500866096</v>
      </c>
      <c r="K20" s="8">
        <v>317.84409988937711</v>
      </c>
      <c r="M20" s="12">
        <f t="shared" si="1"/>
        <v>24.882299773844281</v>
      </c>
      <c r="N20" s="12">
        <f t="shared" si="2"/>
        <v>8.3030717948719683</v>
      </c>
      <c r="O20" s="12">
        <f t="shared" si="3"/>
        <v>7.5495764117555249</v>
      </c>
      <c r="P20" s="12">
        <f t="shared" si="4"/>
        <v>14.563252489449294</v>
      </c>
      <c r="Q20" s="12">
        <f t="shared" si="5"/>
        <v>1.4549032884407449</v>
      </c>
      <c r="R20" s="12">
        <f t="shared" si="6"/>
        <v>45.706737683498702</v>
      </c>
      <c r="S20" s="12">
        <f t="shared" si="7"/>
        <v>2.6726267711500085</v>
      </c>
      <c r="T20" s="12">
        <f t="shared" si="8"/>
        <v>12.652257862669197</v>
      </c>
      <c r="U20" s="12">
        <f t="shared" si="9"/>
        <v>0</v>
      </c>
      <c r="V20" s="8"/>
    </row>
    <row r="21" spans="1:22" x14ac:dyDescent="0.3">
      <c r="A21" s="10">
        <f t="shared" si="10"/>
        <v>20</v>
      </c>
      <c r="B21" s="5" t="s">
        <v>30</v>
      </c>
      <c r="C21" s="8">
        <v>432.87821195047388</v>
      </c>
      <c r="D21" s="8">
        <v>373.69050337685178</v>
      </c>
      <c r="E21" s="8">
        <v>369.91118469813409</v>
      </c>
      <c r="F21" s="8">
        <v>408.09602627523975</v>
      </c>
      <c r="G21" s="8">
        <v>349.57617346924292</v>
      </c>
      <c r="H21" s="8">
        <v>202.023510588357</v>
      </c>
      <c r="I21" s="8">
        <v>335.78358148503054</v>
      </c>
      <c r="J21" s="8">
        <v>387.42059562841126</v>
      </c>
      <c r="K21" s="8">
        <v>347.29967956727228</v>
      </c>
      <c r="M21" s="12">
        <f t="shared" si="1"/>
        <v>24.641120455345817</v>
      </c>
      <c r="N21" s="12">
        <f t="shared" si="2"/>
        <v>7.598862124624441</v>
      </c>
      <c r="O21" s="12">
        <f t="shared" si="3"/>
        <v>6.5106610979414805</v>
      </c>
      <c r="P21" s="12">
        <f t="shared" si="4"/>
        <v>17.505442787542556</v>
      </c>
      <c r="Q21" s="12">
        <f t="shared" si="5"/>
        <v>0.65548402025798014</v>
      </c>
      <c r="R21" s="12">
        <f t="shared" si="6"/>
        <v>41.830205302788123</v>
      </c>
      <c r="S21" s="12">
        <f t="shared" si="7"/>
        <v>3.3158965469218238</v>
      </c>
      <c r="T21" s="12">
        <f t="shared" si="8"/>
        <v>11.552246783276264</v>
      </c>
      <c r="U21" s="12">
        <f t="shared" si="9"/>
        <v>0</v>
      </c>
      <c r="V21" s="8"/>
    </row>
    <row r="22" spans="1:22" x14ac:dyDescent="0.3">
      <c r="A22" s="10">
        <f t="shared" si="10"/>
        <v>21</v>
      </c>
      <c r="B22" s="5" t="s">
        <v>31</v>
      </c>
      <c r="C22" s="8">
        <v>460.31785212339224</v>
      </c>
      <c r="D22" s="8">
        <v>407.5656307501331</v>
      </c>
      <c r="E22" s="8">
        <v>405.32035262499039</v>
      </c>
      <c r="F22" s="8">
        <v>435.10538678069196</v>
      </c>
      <c r="G22" s="8">
        <v>383.14262195064634</v>
      </c>
      <c r="H22" s="8">
        <v>235.89863796163834</v>
      </c>
      <c r="I22" s="8">
        <v>366.80576758489514</v>
      </c>
      <c r="J22" s="8">
        <v>421.05252145051611</v>
      </c>
      <c r="K22" s="8">
        <v>381.17480694055359</v>
      </c>
      <c r="M22" s="12">
        <f t="shared" si="1"/>
        <v>20.762926547551572</v>
      </c>
      <c r="N22" s="12">
        <f t="shared" si="2"/>
        <v>6.9235488099021456</v>
      </c>
      <c r="O22" s="12">
        <f t="shared" si="3"/>
        <v>6.3345072247134206</v>
      </c>
      <c r="P22" s="12">
        <f t="shared" si="4"/>
        <v>14.148516339000638</v>
      </c>
      <c r="Q22" s="12">
        <f t="shared" si="5"/>
        <v>0.51625001817070293</v>
      </c>
      <c r="R22" s="12">
        <f t="shared" si="6"/>
        <v>38.112741538443778</v>
      </c>
      <c r="S22" s="12">
        <f t="shared" si="7"/>
        <v>3.7696718392775082</v>
      </c>
      <c r="T22" s="12">
        <f t="shared" si="8"/>
        <v>10.461791751148358</v>
      </c>
      <c r="U22" s="12">
        <f t="shared" si="9"/>
        <v>0</v>
      </c>
      <c r="V22" s="8"/>
    </row>
    <row r="23" spans="1:22" x14ac:dyDescent="0.3">
      <c r="A23" s="10">
        <f t="shared" si="10"/>
        <v>22</v>
      </c>
      <c r="B23" s="5" t="s">
        <v>32</v>
      </c>
      <c r="C23" s="8">
        <v>470.57990827779656</v>
      </c>
      <c r="D23" s="8">
        <v>420.59644302562384</v>
      </c>
      <c r="E23" s="8">
        <v>418.72532113306033</v>
      </c>
      <c r="F23" s="8">
        <v>447.3317631561373</v>
      </c>
      <c r="G23" s="8">
        <v>400.38269184265357</v>
      </c>
      <c r="H23" s="8">
        <v>248.92945023712906</v>
      </c>
      <c r="I23" s="8">
        <v>383.87746717224167</v>
      </c>
      <c r="J23" s="8">
        <v>438.04003588553235</v>
      </c>
      <c r="K23" s="8">
        <v>394.20561921604434</v>
      </c>
      <c r="M23" s="12">
        <f t="shared" si="1"/>
        <v>19.374226378009922</v>
      </c>
      <c r="N23" s="12">
        <f t="shared" si="2"/>
        <v>6.6946848353057131</v>
      </c>
      <c r="O23" s="12">
        <f t="shared" si="3"/>
        <v>6.2200285134895488</v>
      </c>
      <c r="P23" s="12">
        <f t="shared" si="4"/>
        <v>13.476759678298036</v>
      </c>
      <c r="Q23" s="12">
        <f t="shared" si="5"/>
        <v>1.5669671677673085</v>
      </c>
      <c r="R23" s="12">
        <f t="shared" si="6"/>
        <v>36.852891460001409</v>
      </c>
      <c r="S23" s="12">
        <f t="shared" si="7"/>
        <v>2.6199910758101934</v>
      </c>
      <c r="T23" s="12">
        <f t="shared" si="8"/>
        <v>11.119683366427244</v>
      </c>
      <c r="U23" s="12">
        <f t="shared" si="9"/>
        <v>0</v>
      </c>
      <c r="V23" s="8"/>
    </row>
    <row r="24" spans="1:22" x14ac:dyDescent="0.3">
      <c r="A24" s="10">
        <f t="shared" si="10"/>
        <v>23</v>
      </c>
      <c r="B24" s="5" t="s">
        <v>33</v>
      </c>
      <c r="C24" s="8">
        <v>471.36748335377558</v>
      </c>
      <c r="D24" s="8">
        <v>423.94698829477068</v>
      </c>
      <c r="E24" s="8">
        <v>419.67191260788547</v>
      </c>
      <c r="F24" s="8">
        <v>446.06147895293049</v>
      </c>
      <c r="G24" s="8">
        <v>404.08868553275067</v>
      </c>
      <c r="H24" s="8">
        <v>252.27999550627587</v>
      </c>
      <c r="I24" s="8">
        <v>387.76118507281393</v>
      </c>
      <c r="J24" s="8">
        <v>440.54872963137581</v>
      </c>
      <c r="K24" s="8">
        <v>397.55616448519106</v>
      </c>
      <c r="M24" s="12">
        <f t="shared" si="1"/>
        <v>18.566261942929575</v>
      </c>
      <c r="N24" s="12">
        <f t="shared" si="2"/>
        <v>6.6382630096439303</v>
      </c>
      <c r="O24" s="12">
        <f t="shared" si="3"/>
        <v>5.5629242100503822</v>
      </c>
      <c r="P24" s="12">
        <f t="shared" si="4"/>
        <v>12.200870921106354</v>
      </c>
      <c r="Q24" s="12">
        <f t="shared" si="5"/>
        <v>1.643169350931533</v>
      </c>
      <c r="R24" s="12">
        <f t="shared" si="6"/>
        <v>36.542300675185913</v>
      </c>
      <c r="S24" s="12">
        <f t="shared" si="7"/>
        <v>2.4637976435508127</v>
      </c>
      <c r="T24" s="12">
        <f t="shared" si="8"/>
        <v>10.814211672923566</v>
      </c>
      <c r="U24" s="12">
        <f t="shared" si="9"/>
        <v>0</v>
      </c>
      <c r="V24" s="8"/>
    </row>
    <row r="25" spans="1:22" x14ac:dyDescent="0.3">
      <c r="A25" s="10">
        <f t="shared" si="10"/>
        <v>24</v>
      </c>
      <c r="B25" s="5" t="s">
        <v>34</v>
      </c>
      <c r="C25" s="8">
        <v>502.98716364602882</v>
      </c>
      <c r="D25" s="8">
        <v>452.39569451591478</v>
      </c>
      <c r="E25" s="8">
        <v>451.42254758154138</v>
      </c>
      <c r="F25" s="8">
        <v>476.90478506258177</v>
      </c>
      <c r="G25" s="8">
        <v>433.06121047950569</v>
      </c>
      <c r="H25" s="8">
        <v>280.72870172742</v>
      </c>
      <c r="I25" s="8">
        <v>411.77613993789402</v>
      </c>
      <c r="J25" s="8">
        <v>471.3172044945112</v>
      </c>
      <c r="K25" s="8">
        <v>426.00487070633523</v>
      </c>
      <c r="M25" s="12">
        <f t="shared" si="1"/>
        <v>18.070754170498919</v>
      </c>
      <c r="N25" s="12">
        <f t="shared" si="2"/>
        <v>6.1949582327127821</v>
      </c>
      <c r="O25" s="12">
        <f t="shared" si="3"/>
        <v>5.9665225970450768</v>
      </c>
      <c r="P25" s="12">
        <f t="shared" si="4"/>
        <v>11.948200092607438</v>
      </c>
      <c r="Q25" s="12">
        <f t="shared" si="5"/>
        <v>1.6563988485555892</v>
      </c>
      <c r="R25" s="12">
        <f t="shared" si="6"/>
        <v>34.101997176239038</v>
      </c>
      <c r="S25" s="12">
        <f t="shared" si="7"/>
        <v>3.340039456555822</v>
      </c>
      <c r="T25" s="12">
        <f t="shared" si="8"/>
        <v>10.636576458162576</v>
      </c>
      <c r="U25" s="12">
        <f t="shared" si="9"/>
        <v>0</v>
      </c>
      <c r="V25" s="8"/>
    </row>
    <row r="26" spans="1:22" x14ac:dyDescent="0.3">
      <c r="A26" s="10">
        <f t="shared" si="10"/>
        <v>25</v>
      </c>
      <c r="B26" s="5" t="s">
        <v>35</v>
      </c>
      <c r="C26" s="8">
        <v>610.81922736669912</v>
      </c>
      <c r="D26" s="8">
        <v>546.60928446701087</v>
      </c>
      <c r="E26" s="8">
        <v>545.05740684848456</v>
      </c>
      <c r="F26" s="8">
        <v>596.93974819328196</v>
      </c>
      <c r="G26" s="8">
        <v>514.70248625311524</v>
      </c>
      <c r="H26" s="8">
        <v>339.29453515500603</v>
      </c>
      <c r="I26" s="8">
        <v>504.57759544792464</v>
      </c>
      <c r="J26" s="8">
        <v>562.30719517150203</v>
      </c>
      <c r="K26" s="8">
        <v>514.2161688027403</v>
      </c>
      <c r="M26" s="12">
        <f t="shared" si="1"/>
        <v>18.786468498040744</v>
      </c>
      <c r="N26" s="12">
        <f t="shared" si="2"/>
        <v>6.2995132455076428</v>
      </c>
      <c r="O26" s="12">
        <f t="shared" si="3"/>
        <v>5.9977184532241621</v>
      </c>
      <c r="P26" s="12">
        <f t="shared" si="4"/>
        <v>16.087315881791234</v>
      </c>
      <c r="Q26" s="12">
        <f t="shared" si="5"/>
        <v>9.4574515520825242E-2</v>
      </c>
      <c r="R26" s="12">
        <f t="shared" si="6"/>
        <v>34.017139922886471</v>
      </c>
      <c r="S26" s="12">
        <f t="shared" si="7"/>
        <v>1.8744205140918351</v>
      </c>
      <c r="T26" s="12">
        <f t="shared" si="8"/>
        <v>9.3522975912509754</v>
      </c>
      <c r="U26" s="12">
        <f t="shared" si="9"/>
        <v>0</v>
      </c>
      <c r="V26" s="8"/>
    </row>
    <row r="27" spans="1:22" x14ac:dyDescent="0.3">
      <c r="A27" s="10">
        <f t="shared" si="10"/>
        <v>26</v>
      </c>
      <c r="B27" s="5" t="s">
        <v>36</v>
      </c>
      <c r="C27" s="8">
        <v>584.34003672537165</v>
      </c>
      <c r="D27" s="8">
        <v>516.66914867432524</v>
      </c>
      <c r="E27" s="8">
        <v>509.14947914616027</v>
      </c>
      <c r="F27" s="8">
        <v>574.05245738471524</v>
      </c>
      <c r="G27" s="8">
        <v>484.71558093135735</v>
      </c>
      <c r="H27" s="8">
        <v>309.35439936232058</v>
      </c>
      <c r="I27" s="8">
        <v>448.93292647704504</v>
      </c>
      <c r="J27" s="8">
        <v>532.07708829856767</v>
      </c>
      <c r="K27" s="8">
        <v>484.27603301005473</v>
      </c>
      <c r="M27" s="12">
        <f t="shared" si="1"/>
        <v>20.662596720585459</v>
      </c>
      <c r="N27" s="12">
        <f t="shared" si="2"/>
        <v>6.6889776607214317</v>
      </c>
      <c r="O27" s="12">
        <f t="shared" si="3"/>
        <v>5.1362124987897371</v>
      </c>
      <c r="P27" s="12">
        <f t="shared" si="4"/>
        <v>18.538275333728219</v>
      </c>
      <c r="Q27" s="12">
        <f t="shared" si="5"/>
        <v>9.0763922090171478E-2</v>
      </c>
      <c r="R27" s="12">
        <f t="shared" si="6"/>
        <v>36.120233446304447</v>
      </c>
      <c r="S27" s="12">
        <f t="shared" si="7"/>
        <v>7.298132495496815</v>
      </c>
      <c r="T27" s="12">
        <f t="shared" si="8"/>
        <v>9.8706217178252302</v>
      </c>
      <c r="U27" s="12">
        <f t="shared" si="9"/>
        <v>0</v>
      </c>
      <c r="V27" s="8"/>
    </row>
    <row r="28" spans="1:22" x14ac:dyDescent="0.3">
      <c r="A28" s="10">
        <f t="shared" si="10"/>
        <v>27</v>
      </c>
      <c r="B28" s="5" t="s">
        <v>37</v>
      </c>
      <c r="C28" s="8">
        <v>579.58374842066405</v>
      </c>
      <c r="D28" s="8">
        <v>514.53195399767242</v>
      </c>
      <c r="E28" s="8">
        <v>509.58460856848967</v>
      </c>
      <c r="F28" s="8">
        <v>558.6233625456847</v>
      </c>
      <c r="G28" s="8">
        <v>487.60143367708082</v>
      </c>
      <c r="H28" s="8">
        <v>307.21720468566764</v>
      </c>
      <c r="I28" s="8">
        <v>464.07239583973876</v>
      </c>
      <c r="J28" s="8">
        <v>531.05300841383803</v>
      </c>
      <c r="K28" s="8">
        <v>482.13883833340185</v>
      </c>
      <c r="M28" s="12">
        <f t="shared" si="1"/>
        <v>20.210964630872251</v>
      </c>
      <c r="N28" s="12">
        <f t="shared" si="2"/>
        <v>6.7186281396128757</v>
      </c>
      <c r="O28" s="12">
        <f t="shared" si="3"/>
        <v>5.6925034975317441</v>
      </c>
      <c r="P28" s="12">
        <f t="shared" si="4"/>
        <v>15.86358910156774</v>
      </c>
      <c r="Q28" s="12">
        <f t="shared" si="5"/>
        <v>1.1329921817875941</v>
      </c>
      <c r="R28" s="12">
        <f t="shared" si="6"/>
        <v>36.280344942212452</v>
      </c>
      <c r="S28" s="12">
        <f t="shared" si="7"/>
        <v>3.7471452322971825</v>
      </c>
      <c r="T28" s="12">
        <f t="shared" si="8"/>
        <v>10.145245765621508</v>
      </c>
      <c r="U28" s="12">
        <f t="shared" si="9"/>
        <v>0</v>
      </c>
      <c r="V28" s="8"/>
    </row>
    <row r="29" spans="1:22" x14ac:dyDescent="0.3">
      <c r="A29" s="10">
        <f t="shared" si="10"/>
        <v>28</v>
      </c>
      <c r="B29" s="5" t="s">
        <v>38</v>
      </c>
      <c r="C29" s="8">
        <v>605.70333209400246</v>
      </c>
      <c r="D29" s="8">
        <v>544.5988859247218</v>
      </c>
      <c r="E29" s="8">
        <v>545.67545584006484</v>
      </c>
      <c r="F29" s="8">
        <v>580.61787375483686</v>
      </c>
      <c r="G29" s="8">
        <v>519.70751707168699</v>
      </c>
      <c r="H29" s="8">
        <v>337.28413661271702</v>
      </c>
      <c r="I29" s="8">
        <v>506.39294438375828</v>
      </c>
      <c r="J29" s="8">
        <v>559.71685446871527</v>
      </c>
      <c r="K29" s="8">
        <v>512.20577026045123</v>
      </c>
      <c r="M29" s="12">
        <f t="shared" si="1"/>
        <v>18.253906391177264</v>
      </c>
      <c r="N29" s="12">
        <f t="shared" si="2"/>
        <v>6.3242387230036501</v>
      </c>
      <c r="O29" s="12">
        <f t="shared" si="3"/>
        <v>6.5344218130527167</v>
      </c>
      <c r="P29" s="12">
        <f t="shared" si="4"/>
        <v>13.356371104448666</v>
      </c>
      <c r="Q29" s="12">
        <f t="shared" si="5"/>
        <v>1.4645963100769448</v>
      </c>
      <c r="R29" s="12">
        <f t="shared" si="6"/>
        <v>34.150656592327806</v>
      </c>
      <c r="S29" s="12">
        <f t="shared" si="7"/>
        <v>1.1348614588502575</v>
      </c>
      <c r="T29" s="12">
        <f t="shared" si="8"/>
        <v>9.275780744153888</v>
      </c>
      <c r="U29" s="12">
        <f t="shared" si="9"/>
        <v>0</v>
      </c>
      <c r="V29" s="8"/>
    </row>
    <row r="30" spans="1:22" x14ac:dyDescent="0.3">
      <c r="A30" s="10">
        <f t="shared" si="10"/>
        <v>29</v>
      </c>
      <c r="B30" s="5" t="s">
        <v>39</v>
      </c>
      <c r="C30" s="8">
        <v>653.32640075518714</v>
      </c>
      <c r="D30" s="8">
        <v>585.71163613902775</v>
      </c>
      <c r="E30" s="8">
        <v>579.71665325862296</v>
      </c>
      <c r="F30" s="8">
        <v>630.66360402197211</v>
      </c>
      <c r="G30" s="8">
        <v>561.94273598373059</v>
      </c>
      <c r="H30" s="8">
        <v>378.39688682702291</v>
      </c>
      <c r="I30" s="8">
        <v>549.79740152261206</v>
      </c>
      <c r="J30" s="8">
        <v>603.2429123831572</v>
      </c>
      <c r="K30" s="8">
        <v>553.31852047475718</v>
      </c>
      <c r="M30" s="12">
        <f t="shared" si="1"/>
        <v>18.074197154040935</v>
      </c>
      <c r="N30" s="12">
        <f t="shared" si="2"/>
        <v>5.8543342515404504</v>
      </c>
      <c r="O30" s="12">
        <f t="shared" si="3"/>
        <v>4.7708746060434963</v>
      </c>
      <c r="P30" s="12">
        <f t="shared" si="4"/>
        <v>13.978401352055133</v>
      </c>
      <c r="Q30" s="12">
        <f t="shared" si="5"/>
        <v>1.5586348892810737</v>
      </c>
      <c r="R30" s="12">
        <f t="shared" si="6"/>
        <v>31.613189722557699</v>
      </c>
      <c r="S30" s="12">
        <f t="shared" si="7"/>
        <v>0.63636383418431997</v>
      </c>
      <c r="T30" s="12">
        <f t="shared" si="8"/>
        <v>9.022722005683816</v>
      </c>
      <c r="U30" s="12">
        <f t="shared" si="9"/>
        <v>0</v>
      </c>
      <c r="V30" s="8"/>
    </row>
    <row r="31" spans="1:22" x14ac:dyDescent="0.3">
      <c r="A31" s="10">
        <f t="shared" si="10"/>
        <v>30</v>
      </c>
      <c r="B31" s="5" t="s">
        <v>40</v>
      </c>
      <c r="C31" s="8">
        <v>703.9152297993852</v>
      </c>
      <c r="D31" s="8">
        <v>637.881275265873</v>
      </c>
      <c r="E31" s="8">
        <v>629.54781593184816</v>
      </c>
      <c r="F31" s="8">
        <v>664.93922132571527</v>
      </c>
      <c r="G31" s="8">
        <v>608.63098630329011</v>
      </c>
      <c r="H31" s="8">
        <v>430.56652595386834</v>
      </c>
      <c r="I31" s="8">
        <v>597.59876663409477</v>
      </c>
      <c r="J31" s="8">
        <v>655.02904137160897</v>
      </c>
      <c r="K31" s="8">
        <v>605.48815960160243</v>
      </c>
      <c r="M31" s="12">
        <f t="shared" si="1"/>
        <v>16.255820801276371</v>
      </c>
      <c r="N31" s="12">
        <f t="shared" si="2"/>
        <v>5.3499172775871466</v>
      </c>
      <c r="O31" s="12">
        <f t="shared" si="3"/>
        <v>3.973596502048272</v>
      </c>
      <c r="P31" s="12">
        <f t="shared" si="4"/>
        <v>9.818699305900596</v>
      </c>
      <c r="Q31" s="12">
        <f t="shared" si="5"/>
        <v>0.51905667383414911</v>
      </c>
      <c r="R31" s="12">
        <f t="shared" si="6"/>
        <v>28.8893566082</v>
      </c>
      <c r="S31" s="12">
        <f t="shared" si="7"/>
        <v>1.3029805525344547</v>
      </c>
      <c r="T31" s="12">
        <f t="shared" si="8"/>
        <v>8.1819736661082381</v>
      </c>
      <c r="U31" s="12">
        <f t="shared" si="9"/>
        <v>0</v>
      </c>
      <c r="V31" s="8"/>
    </row>
    <row r="32" spans="1:22" x14ac:dyDescent="0.3">
      <c r="A32" s="10">
        <f t="shared" si="10"/>
        <v>31</v>
      </c>
      <c r="B32" s="5" t="s">
        <v>41</v>
      </c>
      <c r="C32" s="8">
        <v>762.22254382427309</v>
      </c>
      <c r="D32" s="8">
        <v>696.59080724078365</v>
      </c>
      <c r="E32" s="8">
        <v>686.00305660546871</v>
      </c>
      <c r="F32" s="8">
        <v>729.94393191377162</v>
      </c>
      <c r="G32" s="8">
        <v>677.33048968806645</v>
      </c>
      <c r="H32" s="8">
        <v>489.27605792877881</v>
      </c>
      <c r="I32" s="8">
        <v>658.08554071375681</v>
      </c>
      <c r="J32" s="8">
        <v>712.71899761274096</v>
      </c>
      <c r="K32" s="8">
        <v>664.19769157651297</v>
      </c>
      <c r="M32" s="12">
        <f t="shared" si="1"/>
        <v>14.758384964436155</v>
      </c>
      <c r="N32" s="12">
        <f t="shared" si="2"/>
        <v>4.8770292452212054</v>
      </c>
      <c r="O32" s="12">
        <f t="shared" si="3"/>
        <v>3.2829630854632161</v>
      </c>
      <c r="P32" s="12">
        <f t="shared" si="4"/>
        <v>9.8985951277858284</v>
      </c>
      <c r="Q32" s="12">
        <f t="shared" si="5"/>
        <v>1.9772423599338327</v>
      </c>
      <c r="R32" s="12">
        <f t="shared" si="6"/>
        <v>26.335778619246202</v>
      </c>
      <c r="S32" s="12">
        <f t="shared" si="7"/>
        <v>0.92023066931301678</v>
      </c>
      <c r="T32" s="12">
        <f t="shared" si="8"/>
        <v>7.3052506281766458</v>
      </c>
      <c r="U32" s="12">
        <f t="shared" si="9"/>
        <v>0</v>
      </c>
      <c r="V32" s="8"/>
    </row>
    <row r="33" spans="1:22" x14ac:dyDescent="0.3">
      <c r="A33" s="10">
        <f t="shared" si="10"/>
        <v>32</v>
      </c>
      <c r="B33" s="5" t="s">
        <v>42</v>
      </c>
      <c r="C33" s="8">
        <v>833.77869375768398</v>
      </c>
      <c r="D33" s="8">
        <v>766.73451739620782</v>
      </c>
      <c r="E33" s="8">
        <v>753.87376764797409</v>
      </c>
      <c r="F33" s="8">
        <v>806.89728550213806</v>
      </c>
      <c r="G33" s="8">
        <v>755.35018853928375</v>
      </c>
      <c r="H33" s="8">
        <v>559.41976808420304</v>
      </c>
      <c r="I33" s="8">
        <v>739.6316620570334</v>
      </c>
      <c r="J33" s="8">
        <v>785.25730765667242</v>
      </c>
      <c r="K33" s="8">
        <v>734.34140173193737</v>
      </c>
      <c r="M33" s="12">
        <f t="shared" si="1"/>
        <v>13.541016724812829</v>
      </c>
      <c r="N33" s="12">
        <f t="shared" si="2"/>
        <v>4.4111792672824368</v>
      </c>
      <c r="O33" s="12">
        <f t="shared" si="3"/>
        <v>2.6598481128763569</v>
      </c>
      <c r="P33" s="12">
        <f t="shared" si="4"/>
        <v>9.8804021670408773</v>
      </c>
      <c r="Q33" s="12">
        <f t="shared" si="5"/>
        <v>2.8609018581544432</v>
      </c>
      <c r="R33" s="12">
        <f t="shared" si="6"/>
        <v>23.82020586544396</v>
      </c>
      <c r="S33" s="12">
        <f t="shared" si="7"/>
        <v>0.720408833359933</v>
      </c>
      <c r="T33" s="12">
        <f t="shared" si="8"/>
        <v>6.9335469584923803</v>
      </c>
      <c r="U33" s="12">
        <f t="shared" si="9"/>
        <v>0</v>
      </c>
      <c r="V33" s="8"/>
    </row>
    <row r="34" spans="1:22" x14ac:dyDescent="0.3">
      <c r="A34" s="10">
        <f t="shared" si="10"/>
        <v>33</v>
      </c>
      <c r="B34" s="5" t="s">
        <v>43</v>
      </c>
      <c r="C34" s="8">
        <v>1046.7758935522418</v>
      </c>
      <c r="D34" s="8">
        <v>983.71648106773443</v>
      </c>
      <c r="E34" s="8">
        <v>982.42651281201381</v>
      </c>
      <c r="F34" s="8">
        <v>1001.916278321263</v>
      </c>
      <c r="G34" s="8">
        <v>972.85597093642139</v>
      </c>
      <c r="H34" s="8">
        <v>776.40173175572966</v>
      </c>
      <c r="I34" s="8">
        <v>961.09414661369647</v>
      </c>
      <c r="J34" s="8">
        <v>1006.1679117702811</v>
      </c>
      <c r="K34" s="8">
        <v>951.32336540346387</v>
      </c>
      <c r="M34" s="12">
        <f t="shared" si="1"/>
        <v>10.033657494399471</v>
      </c>
      <c r="N34" s="12">
        <f t="shared" si="2"/>
        <v>3.4050583473824787</v>
      </c>
      <c r="O34" s="12">
        <f t="shared" si="3"/>
        <v>3.2694611043594888</v>
      </c>
      <c r="P34" s="12">
        <f t="shared" si="4"/>
        <v>5.3181614956279644</v>
      </c>
      <c r="Q34" s="12">
        <f t="shared" si="5"/>
        <v>2.2634370515881703</v>
      </c>
      <c r="R34" s="12">
        <f t="shared" si="6"/>
        <v>18.387189888219403</v>
      </c>
      <c r="S34" s="12">
        <f t="shared" si="7"/>
        <v>1.0270725565632177</v>
      </c>
      <c r="T34" s="12">
        <f t="shared" si="8"/>
        <v>5.7650792949416525</v>
      </c>
      <c r="U34" s="12">
        <f t="shared" si="9"/>
        <v>0</v>
      </c>
      <c r="V34" s="8"/>
    </row>
    <row r="35" spans="1:22" x14ac:dyDescent="0.3">
      <c r="A35" s="10">
        <f t="shared" si="10"/>
        <v>34</v>
      </c>
      <c r="B35" s="5" t="s">
        <v>44</v>
      </c>
      <c r="C35" s="8">
        <v>1228.9317757928973</v>
      </c>
      <c r="D35" s="8">
        <v>1187.41440839914</v>
      </c>
      <c r="E35" s="8">
        <v>1210.482010884328</v>
      </c>
      <c r="F35" s="8">
        <v>1169.068495635491</v>
      </c>
      <c r="G35" s="8">
        <v>1221.1813829087159</v>
      </c>
      <c r="H35" s="8">
        <v>980.09965908713525</v>
      </c>
      <c r="I35" s="8">
        <v>1194.7900498921429</v>
      </c>
      <c r="J35" s="8">
        <v>1225.0378743327749</v>
      </c>
      <c r="K35" s="8">
        <v>1155.0212927348696</v>
      </c>
      <c r="M35" s="12">
        <f t="shared" si="1"/>
        <v>6.3990580539880622</v>
      </c>
      <c r="N35" s="12">
        <f t="shared" si="2"/>
        <v>2.8045470562338943</v>
      </c>
      <c r="O35" s="12">
        <f t="shared" si="3"/>
        <v>4.8017052584492248</v>
      </c>
      <c r="P35" s="12">
        <f t="shared" si="4"/>
        <v>1.2161856226356074</v>
      </c>
      <c r="Q35" s="12">
        <f t="shared" si="5"/>
        <v>5.7280407374302085</v>
      </c>
      <c r="R35" s="12">
        <f t="shared" si="6"/>
        <v>15.144450993933917</v>
      </c>
      <c r="S35" s="12">
        <f t="shared" si="7"/>
        <v>3.4431189630373371</v>
      </c>
      <c r="T35" s="12">
        <f t="shared" si="8"/>
        <v>6.0619299434835039</v>
      </c>
      <c r="U35" s="12">
        <f t="shared" si="9"/>
        <v>0</v>
      </c>
      <c r="V35" s="8"/>
    </row>
    <row r="36" spans="1:22" x14ac:dyDescent="0.3">
      <c r="A36" s="10">
        <f t="shared" si="10"/>
        <v>35</v>
      </c>
      <c r="B36" s="5" t="s">
        <v>45</v>
      </c>
      <c r="C36" s="8">
        <v>1173.5000201639982</v>
      </c>
      <c r="D36" s="8">
        <v>1141.0278796928442</v>
      </c>
      <c r="E36" s="8">
        <v>1171.5692529238027</v>
      </c>
      <c r="F36" s="8">
        <v>1106.4529403410704</v>
      </c>
      <c r="G36" s="8">
        <v>1148.2765312183665</v>
      </c>
      <c r="H36" s="8">
        <v>933.7131303808394</v>
      </c>
      <c r="I36" s="8">
        <v>1108.4997589812708</v>
      </c>
      <c r="J36" s="8">
        <v>1165.3500915582872</v>
      </c>
      <c r="K36" s="8">
        <v>1108.6347640285737</v>
      </c>
      <c r="M36" s="12">
        <f t="shared" si="1"/>
        <v>5.8509130545136561</v>
      </c>
      <c r="N36" s="12">
        <f t="shared" si="2"/>
        <v>2.9218924676833931</v>
      </c>
      <c r="O36" s="12">
        <f t="shared" si="3"/>
        <v>5.6767558565939815</v>
      </c>
      <c r="P36" s="12">
        <f t="shared" si="4"/>
        <v>0.1968027485963878</v>
      </c>
      <c r="Q36" s="12">
        <f t="shared" si="5"/>
        <v>3.575728317028585</v>
      </c>
      <c r="R36" s="12">
        <f t="shared" si="6"/>
        <v>15.778111901533871</v>
      </c>
      <c r="S36" s="12">
        <f t="shared" si="7"/>
        <v>1.2177594613065175E-2</v>
      </c>
      <c r="T36" s="12">
        <f t="shared" si="8"/>
        <v>5.115781082276408</v>
      </c>
      <c r="U36" s="12">
        <f t="shared" si="9"/>
        <v>0</v>
      </c>
      <c r="V36" s="8"/>
    </row>
    <row r="37" spans="1:22" x14ac:dyDescent="0.3">
      <c r="A37" s="10">
        <f t="shared" si="10"/>
        <v>36</v>
      </c>
      <c r="B37" s="5" t="s">
        <v>46</v>
      </c>
      <c r="C37" s="8">
        <v>1465.2585345325058</v>
      </c>
      <c r="D37" s="8">
        <v>1427.8475317913058</v>
      </c>
      <c r="E37" s="8">
        <v>1470.1374107252523</v>
      </c>
      <c r="F37" s="8">
        <v>1422.456778580713</v>
      </c>
      <c r="G37" s="8">
        <v>1444.6745828708567</v>
      </c>
      <c r="H37" s="8">
        <v>1220.532782479301</v>
      </c>
      <c r="I37" s="8">
        <v>1395.8245219937144</v>
      </c>
      <c r="J37" s="8">
        <v>1458.521045704781</v>
      </c>
      <c r="K37" s="8">
        <v>1395.4544161270351</v>
      </c>
      <c r="M37" s="12">
        <f t="shared" si="1"/>
        <v>5.0022499910248666</v>
      </c>
      <c r="N37" s="12">
        <f t="shared" si="2"/>
        <v>2.3213309793504409</v>
      </c>
      <c r="O37" s="12">
        <f t="shared" si="3"/>
        <v>5.3518763303994898</v>
      </c>
      <c r="P37" s="12">
        <f t="shared" si="4"/>
        <v>1.9350228958836733</v>
      </c>
      <c r="Q37" s="12">
        <f t="shared" si="5"/>
        <v>3.527178399737918</v>
      </c>
      <c r="R37" s="12">
        <f t="shared" si="6"/>
        <v>12.53510194429813</v>
      </c>
      <c r="S37" s="12">
        <f t="shared" si="7"/>
        <v>2.6522246975755275E-2</v>
      </c>
      <c r="T37" s="12">
        <f t="shared" si="8"/>
        <v>4.5194331573210418</v>
      </c>
      <c r="U37" s="12">
        <f t="shared" si="9"/>
        <v>0</v>
      </c>
      <c r="V37" s="8"/>
    </row>
    <row r="38" spans="1:22" x14ac:dyDescent="0.3">
      <c r="A38" s="10">
        <f t="shared" si="10"/>
        <v>37</v>
      </c>
      <c r="B38" s="5" t="s">
        <v>47</v>
      </c>
      <c r="C38" s="8">
        <v>1212.5713861179288</v>
      </c>
      <c r="D38" s="8">
        <v>1198.6515354299647</v>
      </c>
      <c r="E38" s="8">
        <v>1225.3181167311036</v>
      </c>
      <c r="F38" s="8">
        <v>1173.1564030664786</v>
      </c>
      <c r="G38" s="8">
        <v>1197.9932339931408</v>
      </c>
      <c r="H38" s="8">
        <v>1104.6887382391017</v>
      </c>
      <c r="I38" s="8">
        <v>1165.6789934302224</v>
      </c>
      <c r="J38" s="8">
        <v>1233.9239564423235</v>
      </c>
      <c r="K38" s="8">
        <v>1161.2883707235815</v>
      </c>
      <c r="M38" s="12">
        <f t="shared" si="1"/>
        <v>4.416044859072656</v>
      </c>
      <c r="N38" s="12">
        <f t="shared" si="2"/>
        <v>3.2173890351715855</v>
      </c>
      <c r="O38" s="12">
        <f t="shared" si="3"/>
        <v>5.5136818400778571</v>
      </c>
      <c r="P38" s="12">
        <f t="shared" si="4"/>
        <v>1.0219711694436673</v>
      </c>
      <c r="Q38" s="12">
        <f t="shared" si="5"/>
        <v>3.1607018717227944</v>
      </c>
      <c r="R38" s="12">
        <f t="shared" si="6"/>
        <v>4.8738654335454514</v>
      </c>
      <c r="S38" s="12">
        <f t="shared" si="7"/>
        <v>0.37808203520587791</v>
      </c>
      <c r="T38" s="12">
        <f t="shared" si="8"/>
        <v>6.2547415052028725</v>
      </c>
      <c r="U38" s="12">
        <f t="shared" si="9"/>
        <v>0</v>
      </c>
      <c r="V38" s="8"/>
    </row>
    <row r="39" spans="1:22" x14ac:dyDescent="0.3">
      <c r="A39" s="10">
        <f t="shared" si="10"/>
        <v>38</v>
      </c>
      <c r="B39" s="5" t="s">
        <v>48</v>
      </c>
      <c r="C39" s="8">
        <v>1181.3804841094916</v>
      </c>
      <c r="D39" s="8">
        <v>1137.84616761288</v>
      </c>
      <c r="E39" s="8">
        <v>1176.8037811542472</v>
      </c>
      <c r="F39" s="8">
        <v>1127.4201775165229</v>
      </c>
      <c r="G39" s="8">
        <v>1161.8354079972139</v>
      </c>
      <c r="H39" s="8">
        <v>1043.8833704220172</v>
      </c>
      <c r="I39" s="8">
        <v>1140.0443114755869</v>
      </c>
      <c r="J39" s="8">
        <v>1190.0865737727079</v>
      </c>
      <c r="K39" s="8">
        <v>1100.4830029064969</v>
      </c>
      <c r="M39" s="12">
        <f t="shared" si="1"/>
        <v>7.3510886573745768</v>
      </c>
      <c r="N39" s="12">
        <f t="shared" si="2"/>
        <v>3.3951605438432759</v>
      </c>
      <c r="O39" s="12">
        <f t="shared" si="3"/>
        <v>6.9352073631467865</v>
      </c>
      <c r="P39" s="12">
        <f t="shared" si="4"/>
        <v>2.4477592601504909</v>
      </c>
      <c r="Q39" s="12">
        <f t="shared" si="5"/>
        <v>5.5750434062751077</v>
      </c>
      <c r="R39" s="12">
        <f t="shared" si="6"/>
        <v>5.143162805331289</v>
      </c>
      <c r="S39" s="12">
        <f t="shared" si="7"/>
        <v>3.5949040979828135</v>
      </c>
      <c r="T39" s="12">
        <f t="shared" si="8"/>
        <v>8.1422039803938837</v>
      </c>
      <c r="U39" s="12">
        <f t="shared" si="9"/>
        <v>0</v>
      </c>
      <c r="V39" s="8"/>
    </row>
    <row r="40" spans="1:22" x14ac:dyDescent="0.3">
      <c r="A40" s="10">
        <f t="shared" si="10"/>
        <v>39</v>
      </c>
      <c r="B40" s="5" t="s">
        <v>49</v>
      </c>
      <c r="C40" s="8">
        <v>1654.6350933884055</v>
      </c>
      <c r="D40" s="8">
        <v>1609.6696293021787</v>
      </c>
      <c r="E40" s="8">
        <v>1636.0555934288832</v>
      </c>
      <c r="F40" s="8">
        <v>1524.5807629946335</v>
      </c>
      <c r="G40" s="8">
        <v>1608.6465255385899</v>
      </c>
      <c r="H40" s="8">
        <v>1515.7068321113156</v>
      </c>
      <c r="I40" s="8">
        <v>1574.3586108488162</v>
      </c>
      <c r="J40" s="8">
        <v>1633.6238242790155</v>
      </c>
      <c r="K40" s="8">
        <v>1572.3064645957952</v>
      </c>
      <c r="M40" s="12">
        <f t="shared" si="1"/>
        <v>5.2361693249016268</v>
      </c>
      <c r="N40" s="12">
        <f t="shared" si="2"/>
        <v>2.3763283779405384</v>
      </c>
      <c r="O40" s="12">
        <f t="shared" si="3"/>
        <v>4.0544976611462609</v>
      </c>
      <c r="P40" s="12">
        <f t="shared" si="4"/>
        <v>3.0353943506446726</v>
      </c>
      <c r="Q40" s="12">
        <f t="shared" si="5"/>
        <v>2.3112581269032004</v>
      </c>
      <c r="R40" s="12">
        <f t="shared" si="6"/>
        <v>3.599783741843869</v>
      </c>
      <c r="S40" s="12">
        <f t="shared" si="7"/>
        <v>0.13051820998195321</v>
      </c>
      <c r="T40" s="12">
        <f t="shared" si="8"/>
        <v>3.8998351189113505</v>
      </c>
      <c r="U40" s="12">
        <f t="shared" si="9"/>
        <v>0</v>
      </c>
      <c r="V40" s="8"/>
    </row>
    <row r="41" spans="1:22" x14ac:dyDescent="0.3">
      <c r="A41" s="10">
        <f t="shared" si="10"/>
        <v>40</v>
      </c>
      <c r="B41" s="5" t="s">
        <v>50</v>
      </c>
      <c r="C41" s="8">
        <v>1346.4747969441632</v>
      </c>
      <c r="D41" s="8">
        <v>1289.6298724735452</v>
      </c>
      <c r="E41" s="8">
        <v>1338.0068691700949</v>
      </c>
      <c r="F41" s="8">
        <v>1261.5343542936334</v>
      </c>
      <c r="G41" s="8">
        <v>1310.6352169030595</v>
      </c>
      <c r="H41" s="8">
        <v>1195.6670752826826</v>
      </c>
      <c r="I41" s="8">
        <v>1248.7906956838244</v>
      </c>
      <c r="J41" s="8">
        <v>1332.3292947026023</v>
      </c>
      <c r="K41" s="8">
        <v>1252.2667077671622</v>
      </c>
      <c r="M41" s="12">
        <f t="shared" si="1"/>
        <v>7.5230051707577186</v>
      </c>
      <c r="N41" s="12">
        <f t="shared" si="2"/>
        <v>2.9836427395728613</v>
      </c>
      <c r="O41" s="12">
        <f t="shared" si="3"/>
        <v>6.846797161589528</v>
      </c>
      <c r="P41" s="12">
        <f t="shared" si="4"/>
        <v>0.74006970471935718</v>
      </c>
      <c r="Q41" s="12">
        <f t="shared" si="5"/>
        <v>4.6610285791251682</v>
      </c>
      <c r="R41" s="12">
        <f t="shared" si="6"/>
        <v>4.5197745922191608</v>
      </c>
      <c r="S41" s="12">
        <f t="shared" si="7"/>
        <v>0.2775776167950374</v>
      </c>
      <c r="T41" s="12">
        <f t="shared" si="8"/>
        <v>6.3934133550667207</v>
      </c>
      <c r="U41" s="12">
        <f t="shared" si="9"/>
        <v>0</v>
      </c>
      <c r="V41" s="8"/>
    </row>
    <row r="42" spans="1:22" x14ac:dyDescent="0.3">
      <c r="A42" s="10">
        <f t="shared" si="10"/>
        <v>41</v>
      </c>
      <c r="B42" s="5" t="s">
        <v>51</v>
      </c>
      <c r="C42" s="8">
        <v>1283.4422477992193</v>
      </c>
      <c r="D42" s="8">
        <v>1229.0854622752533</v>
      </c>
      <c r="E42" s="8">
        <v>1233.5271633611853</v>
      </c>
      <c r="F42" s="8">
        <v>1201.2612073639614</v>
      </c>
      <c r="G42" s="8">
        <v>1224.6107672661212</v>
      </c>
      <c r="H42" s="8">
        <v>1135.1226650843905</v>
      </c>
      <c r="I42" s="8">
        <v>1173.4016369579513</v>
      </c>
      <c r="J42" s="8">
        <v>1248.0072559238995</v>
      </c>
      <c r="K42" s="8">
        <v>1191.7222975688703</v>
      </c>
      <c r="M42" s="12">
        <f t="shared" si="1"/>
        <v>7.6964197462327384</v>
      </c>
      <c r="N42" s="12">
        <f t="shared" si="2"/>
        <v>3.1352241023436749</v>
      </c>
      <c r="O42" s="12">
        <f t="shared" si="3"/>
        <v>3.5079368639487156</v>
      </c>
      <c r="P42" s="12">
        <f t="shared" si="4"/>
        <v>0.80043058811189194</v>
      </c>
      <c r="Q42" s="12">
        <f t="shared" si="5"/>
        <v>2.7597427491575712</v>
      </c>
      <c r="R42" s="12">
        <f t="shared" si="6"/>
        <v>4.7493977917459311</v>
      </c>
      <c r="S42" s="12">
        <f t="shared" si="7"/>
        <v>1.5373263257969954</v>
      </c>
      <c r="T42" s="12">
        <f t="shared" si="8"/>
        <v>4.7229928037640363</v>
      </c>
      <c r="U42" s="12">
        <f t="shared" si="9"/>
        <v>0</v>
      </c>
      <c r="V42" s="8"/>
    </row>
    <row r="43" spans="1:22" x14ac:dyDescent="0.3">
      <c r="A43" s="10">
        <f t="shared" si="10"/>
        <v>42</v>
      </c>
      <c r="B43" s="5" t="s">
        <v>52</v>
      </c>
      <c r="C43" s="8">
        <v>1429.4610515787726</v>
      </c>
      <c r="D43" s="8">
        <v>1370.446020959195</v>
      </c>
      <c r="E43" s="8">
        <v>1384.8028622084771</v>
      </c>
      <c r="F43" s="8">
        <v>1322.7914857212033</v>
      </c>
      <c r="G43" s="8">
        <v>1366.7757618501082</v>
      </c>
      <c r="H43" s="8">
        <v>1276.4832237683322</v>
      </c>
      <c r="I43" s="8">
        <v>1260.1353856853232</v>
      </c>
      <c r="J43" s="8">
        <v>1378.7324236967761</v>
      </c>
      <c r="K43" s="8">
        <v>1333.0828562528118</v>
      </c>
      <c r="M43" s="12">
        <f t="shared" si="1"/>
        <v>7.2297228093437624</v>
      </c>
      <c r="N43" s="12">
        <f t="shared" si="2"/>
        <v>2.8027638740631695</v>
      </c>
      <c r="O43" s="12">
        <f t="shared" si="3"/>
        <v>3.8797292841231257</v>
      </c>
      <c r="P43" s="12">
        <f t="shared" si="4"/>
        <v>0.77199781568991499</v>
      </c>
      <c r="Q43" s="12">
        <f t="shared" si="5"/>
        <v>2.5274427196524356</v>
      </c>
      <c r="R43" s="12">
        <f t="shared" si="6"/>
        <v>4.2457700373986178</v>
      </c>
      <c r="S43" s="12">
        <f t="shared" si="7"/>
        <v>5.4720882670817668</v>
      </c>
      <c r="T43" s="12">
        <f t="shared" si="8"/>
        <v>3.4243608512288248</v>
      </c>
      <c r="U43" s="12">
        <f t="shared" si="9"/>
        <v>0</v>
      </c>
      <c r="V43" s="8"/>
    </row>
    <row r="44" spans="1:22" x14ac:dyDescent="0.3">
      <c r="A44" s="10">
        <f t="shared" si="10"/>
        <v>43</v>
      </c>
      <c r="B44" s="5" t="s">
        <v>53</v>
      </c>
      <c r="C44" s="8">
        <v>1890.133654625751</v>
      </c>
      <c r="D44" s="8">
        <v>1879.4689631612262</v>
      </c>
      <c r="E44" s="8">
        <v>1945.4032410715567</v>
      </c>
      <c r="F44" s="8">
        <v>1703.5630253008842</v>
      </c>
      <c r="G44" s="8">
        <v>1944.157047744367</v>
      </c>
      <c r="H44" s="8">
        <v>1785.5061659703633</v>
      </c>
      <c r="I44" s="8">
        <v>1653.3289121866351</v>
      </c>
      <c r="J44" s="8">
        <v>1886.8948065638749</v>
      </c>
      <c r="K44" s="8">
        <v>1842.1057984548429</v>
      </c>
      <c r="M44" s="12">
        <f t="shared" si="1"/>
        <v>2.6072257202161686</v>
      </c>
      <c r="N44" s="12">
        <f t="shared" si="2"/>
        <v>2.0282854946617865</v>
      </c>
      <c r="O44" s="12">
        <f t="shared" si="3"/>
        <v>5.6075738268322963</v>
      </c>
      <c r="P44" s="12">
        <f t="shared" si="4"/>
        <v>7.5208912142922673</v>
      </c>
      <c r="Q44" s="12">
        <f t="shared" si="5"/>
        <v>5.5399233515862445</v>
      </c>
      <c r="R44" s="12">
        <f t="shared" si="6"/>
        <v>3.0725505848771175</v>
      </c>
      <c r="S44" s="12">
        <f t="shared" si="7"/>
        <v>10.247885133772106</v>
      </c>
      <c r="T44" s="12">
        <f t="shared" si="8"/>
        <v>2.4314025908067278</v>
      </c>
      <c r="U44" s="12">
        <f t="shared" si="9"/>
        <v>0</v>
      </c>
      <c r="V44" s="8"/>
    </row>
    <row r="45" spans="1:22" x14ac:dyDescent="0.3">
      <c r="A45" s="10">
        <f t="shared" si="10"/>
        <v>44</v>
      </c>
      <c r="B45" s="5" t="s">
        <v>54</v>
      </c>
      <c r="C45" s="8">
        <v>2512.7793122322023</v>
      </c>
      <c r="D45" s="8">
        <v>2463.9413311387807</v>
      </c>
      <c r="E45" s="8">
        <v>2471.8346234702558</v>
      </c>
      <c r="F45" s="8">
        <v>2251.7703004356954</v>
      </c>
      <c r="G45" s="8">
        <v>2479.661718783113</v>
      </c>
      <c r="H45" s="8">
        <v>2369.9785339479176</v>
      </c>
      <c r="I45" s="8">
        <v>2105.1816035264765</v>
      </c>
      <c r="J45" s="8">
        <v>2458.55232357559</v>
      </c>
      <c r="K45" s="8">
        <v>2426.5781664323972</v>
      </c>
      <c r="M45" s="12">
        <f t="shared" si="1"/>
        <v>3.55237457388565</v>
      </c>
      <c r="N45" s="12">
        <f t="shared" si="2"/>
        <v>1.5397470076686439</v>
      </c>
      <c r="O45" s="12">
        <f t="shared" si="3"/>
        <v>1.8650319064065228</v>
      </c>
      <c r="P45" s="12">
        <f t="shared" si="4"/>
        <v>7.2038835762586535</v>
      </c>
      <c r="Q45" s="12">
        <f t="shared" si="5"/>
        <v>2.1875888065357585</v>
      </c>
      <c r="R45" s="12">
        <f t="shared" si="6"/>
        <v>2.3324875030790149</v>
      </c>
      <c r="S45" s="12">
        <f t="shared" si="7"/>
        <v>13.244846893947138</v>
      </c>
      <c r="T45" s="12">
        <f t="shared" si="8"/>
        <v>1.3176644208499495</v>
      </c>
      <c r="U45" s="12">
        <f t="shared" si="9"/>
        <v>0</v>
      </c>
      <c r="V45" s="8"/>
    </row>
    <row r="46" spans="1:22" x14ac:dyDescent="0.3">
      <c r="A46" s="10">
        <f t="shared" si="10"/>
        <v>45</v>
      </c>
      <c r="B46" s="5" t="s">
        <v>55</v>
      </c>
      <c r="C46" s="8">
        <v>2145.2213569619998</v>
      </c>
      <c r="D46" s="8">
        <v>2104.3529036225159</v>
      </c>
      <c r="E46" s="8">
        <v>2121.3475463114814</v>
      </c>
      <c r="F46" s="8">
        <v>1994.2610470728628</v>
      </c>
      <c r="G46" s="8">
        <v>2115.302799301463</v>
      </c>
      <c r="H46" s="8">
        <v>2010.3901064316528</v>
      </c>
      <c r="I46" s="8">
        <v>1834.5488203059272</v>
      </c>
      <c r="J46" s="8">
        <v>2101.5923435931945</v>
      </c>
      <c r="K46" s="8">
        <v>2066.9897389161329</v>
      </c>
      <c r="M46" s="12">
        <f t="shared" si="1"/>
        <v>3.7848092118197592</v>
      </c>
      <c r="N46" s="12">
        <f t="shared" si="2"/>
        <v>1.8076124909055014</v>
      </c>
      <c r="O46" s="12">
        <f t="shared" si="3"/>
        <v>2.6298053818037901</v>
      </c>
      <c r="P46" s="12">
        <f t="shared" si="4"/>
        <v>3.5185802074376444</v>
      </c>
      <c r="Q46" s="12">
        <f t="shared" si="5"/>
        <v>2.3373633393392672</v>
      </c>
      <c r="R46" s="12">
        <f t="shared" si="6"/>
        <v>2.738263834544199</v>
      </c>
      <c r="S46" s="12">
        <f t="shared" si="7"/>
        <v>11.245383285361189</v>
      </c>
      <c r="T46" s="12">
        <f t="shared" si="8"/>
        <v>1.6740578835774109</v>
      </c>
      <c r="U46" s="12">
        <f t="shared" si="9"/>
        <v>0</v>
      </c>
      <c r="V46" s="8"/>
    </row>
    <row r="47" spans="1:22" x14ac:dyDescent="0.3">
      <c r="A47" s="10">
        <f t="shared" si="10"/>
        <v>46</v>
      </c>
      <c r="B47" s="5" t="s">
        <v>56</v>
      </c>
      <c r="C47" s="8">
        <v>1485.8617154015271</v>
      </c>
      <c r="D47" s="8">
        <v>1442.4489996805041</v>
      </c>
      <c r="E47" s="8">
        <v>1447.9757538409158</v>
      </c>
      <c r="F47" s="8">
        <v>1407.4409451036906</v>
      </c>
      <c r="G47" s="8">
        <v>1438.853571817933</v>
      </c>
      <c r="H47" s="8">
        <v>1348.4862024896411</v>
      </c>
      <c r="I47" s="8">
        <v>1349.1531190831734</v>
      </c>
      <c r="J47" s="8">
        <v>1455.6087873474296</v>
      </c>
      <c r="K47" s="8">
        <v>1405.0858349741209</v>
      </c>
      <c r="M47" s="12">
        <f t="shared" si="1"/>
        <v>5.748821774215239</v>
      </c>
      <c r="N47" s="12">
        <f t="shared" si="2"/>
        <v>2.6591375257207273</v>
      </c>
      <c r="O47" s="12">
        <f t="shared" si="3"/>
        <v>3.0524767810775679</v>
      </c>
      <c r="P47" s="12">
        <f t="shared" si="4"/>
        <v>0.16761325685225081</v>
      </c>
      <c r="Q47" s="12">
        <f t="shared" si="5"/>
        <v>2.4032508195084099</v>
      </c>
      <c r="R47" s="12">
        <f t="shared" si="6"/>
        <v>4.0281975005122916</v>
      </c>
      <c r="S47" s="12">
        <f t="shared" si="7"/>
        <v>3.9807330270308858</v>
      </c>
      <c r="T47" s="12">
        <f t="shared" si="8"/>
        <v>3.5957199991443414</v>
      </c>
      <c r="U47" s="12">
        <f t="shared" si="9"/>
        <v>0</v>
      </c>
      <c r="V47" s="8"/>
    </row>
    <row r="48" spans="1:22" x14ac:dyDescent="0.3">
      <c r="A48" s="10">
        <f t="shared" si="10"/>
        <v>47</v>
      </c>
      <c r="B48" s="5" t="s">
        <v>57</v>
      </c>
      <c r="C48" s="8">
        <v>1412.7238262416413</v>
      </c>
      <c r="D48" s="8">
        <v>1381.3121716805974</v>
      </c>
      <c r="E48" s="8">
        <v>1382.7232072826375</v>
      </c>
      <c r="F48" s="8">
        <v>1377.8548414160286</v>
      </c>
      <c r="G48" s="8">
        <v>1373.7787494701302</v>
      </c>
      <c r="H48" s="8">
        <v>1287.3493744897346</v>
      </c>
      <c r="I48" s="8">
        <v>1260.5906392352083</v>
      </c>
      <c r="J48" s="8">
        <v>1400.3649200106463</v>
      </c>
      <c r="K48" s="8">
        <v>1343.9490069742144</v>
      </c>
      <c r="M48" s="12">
        <f t="shared" si="1"/>
        <v>5.1173682119284782</v>
      </c>
      <c r="N48" s="12">
        <f t="shared" si="2"/>
        <v>2.7801028545348596</v>
      </c>
      <c r="O48" s="12">
        <f t="shared" si="3"/>
        <v>2.8850946060609775</v>
      </c>
      <c r="P48" s="12">
        <f t="shared" si="4"/>
        <v>2.5228512589291108</v>
      </c>
      <c r="Q48" s="12">
        <f t="shared" si="5"/>
        <v>2.2195591009122326</v>
      </c>
      <c r="R48" s="12">
        <f t="shared" si="6"/>
        <v>4.2114419662327078</v>
      </c>
      <c r="S48" s="12">
        <f t="shared" si="7"/>
        <v>6.2024948347318842</v>
      </c>
      <c r="T48" s="12">
        <f t="shared" si="8"/>
        <v>4.1977718457821158</v>
      </c>
      <c r="U48" s="12">
        <f t="shared" si="9"/>
        <v>0</v>
      </c>
      <c r="V48" s="8"/>
    </row>
  </sheetData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D7290-7707-45C0-BC3F-97D9971BFCE3}">
  <dimension ref="A1:T48"/>
  <sheetViews>
    <sheetView workbookViewId="0">
      <selection activeCell="M2" sqref="M2:S48"/>
    </sheetView>
  </sheetViews>
  <sheetFormatPr defaultRowHeight="14.4" x14ac:dyDescent="0.3"/>
  <cols>
    <col min="1" max="1" width="8.88671875" style="10"/>
    <col min="3" max="3" width="7.6640625" bestFit="1" customWidth="1"/>
    <col min="4" max="9" width="7.6640625" customWidth="1"/>
    <col min="10" max="10" width="7.6640625" bestFit="1" customWidth="1"/>
  </cols>
  <sheetData>
    <row r="1" spans="1:20" x14ac:dyDescent="0.3">
      <c r="A1" s="10" t="s">
        <v>62</v>
      </c>
      <c r="B1" s="9" t="s">
        <v>61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6" t="s">
        <v>64</v>
      </c>
      <c r="I1" s="13" t="s">
        <v>6</v>
      </c>
      <c r="J1" s="13" t="s">
        <v>10</v>
      </c>
    </row>
    <row r="2" spans="1:20" x14ac:dyDescent="0.3">
      <c r="A2" s="10">
        <v>1</v>
      </c>
      <c r="B2" s="9" t="s">
        <v>11</v>
      </c>
      <c r="C2" s="8">
        <v>1458.6037023284221</v>
      </c>
      <c r="D2" s="8">
        <v>1545.9940304399167</v>
      </c>
      <c r="E2" s="8">
        <v>1478.4141946648444</v>
      </c>
      <c r="F2" s="8">
        <v>1265.0634631818334</v>
      </c>
      <c r="G2" s="8">
        <v>1469.7920033378855</v>
      </c>
      <c r="H2" s="8">
        <v>1331.0404374684099</v>
      </c>
      <c r="I2" s="8">
        <v>1409.3466004958364</v>
      </c>
      <c r="J2" s="8">
        <v>1440.5183111638758</v>
      </c>
      <c r="M2" s="12">
        <f>ABS((C2-$J2)/$J2)*100</f>
        <v>1.2554780473379825</v>
      </c>
      <c r="N2" s="12">
        <f t="shared" ref="N2:T2" si="0">ABS((D2-$J2)/$J2)*100</f>
        <v>7.3220672350094063</v>
      </c>
      <c r="O2" s="12">
        <f t="shared" si="0"/>
        <v>2.6307116825436587</v>
      </c>
      <c r="P2" s="12">
        <f t="shared" si="0"/>
        <v>12.179980401657129</v>
      </c>
      <c r="Q2" s="12">
        <f t="shared" si="0"/>
        <v>2.0321638362484871</v>
      </c>
      <c r="R2" s="12">
        <f t="shared" si="0"/>
        <v>7.5998946245266765</v>
      </c>
      <c r="S2" s="12">
        <f t="shared" si="0"/>
        <v>2.1639232508508703</v>
      </c>
      <c r="T2" s="12">
        <f t="shared" si="0"/>
        <v>0</v>
      </c>
    </row>
    <row r="3" spans="1:20" x14ac:dyDescent="0.3">
      <c r="A3" s="10">
        <f>A2+1</f>
        <v>2</v>
      </c>
      <c r="B3" s="9" t="s">
        <v>12</v>
      </c>
      <c r="C3" s="8">
        <v>1455.0184114701328</v>
      </c>
      <c r="D3" s="8">
        <v>1542.8927303527992</v>
      </c>
      <c r="E3" s="8">
        <v>1471.5819365941336</v>
      </c>
      <c r="F3" s="8">
        <v>1260.9377942780618</v>
      </c>
      <c r="G3" s="8">
        <v>1465.0883648724237</v>
      </c>
      <c r="H3" s="8">
        <v>1327.9391373812923</v>
      </c>
      <c r="I3" s="8">
        <v>1405.6156425122433</v>
      </c>
      <c r="J3" s="8">
        <v>1437.4170110767582</v>
      </c>
      <c r="M3" s="12">
        <f t="shared" ref="M3:M48" si="1">ABS((C3-$J3)/$J3)*100</f>
        <v>1.2245159378063561</v>
      </c>
      <c r="N3" s="12">
        <f t="shared" ref="N3:N48" si="2">ABS((D3-$J3)/$J3)*100</f>
        <v>7.3378649663419475</v>
      </c>
      <c r="O3" s="12">
        <f t="shared" ref="O3:O48" si="3">ABS((E3-$J3)/$J3)*100</f>
        <v>2.376827688423051</v>
      </c>
      <c r="P3" s="12">
        <f t="shared" ref="P3:P48" si="4">ABS((F3-$J3)/$J3)*100</f>
        <v>12.27752388059587</v>
      </c>
      <c r="Q3" s="12">
        <f t="shared" ref="Q3:Q48" si="5">ABS((G3-$J3)/$J3)*100</f>
        <v>1.925074879622934</v>
      </c>
      <c r="R3" s="12">
        <f t="shared" ref="R3:R48" si="6">ABS((H3-$J3)/$J3)*100</f>
        <v>7.6162917825396272</v>
      </c>
      <c r="S3" s="12">
        <f t="shared" ref="S3:S48" si="7">ABS((I3-$J3)/$J3)*100</f>
        <v>2.2123968423535421</v>
      </c>
      <c r="T3" s="12">
        <f t="shared" ref="T3:T48" si="8">ABS((J3-$J3)/$J3)*100</f>
        <v>0</v>
      </c>
    </row>
    <row r="4" spans="1:20" x14ac:dyDescent="0.3">
      <c r="A4" s="10">
        <f t="shared" ref="A4:A48" si="9">A3+1</f>
        <v>3</v>
      </c>
      <c r="B4" s="9" t="s">
        <v>13</v>
      </c>
      <c r="C4" s="8">
        <v>1450.8598499896796</v>
      </c>
      <c r="D4" s="8">
        <v>1537.1600241311571</v>
      </c>
      <c r="E4" s="8">
        <v>1465.5860897590394</v>
      </c>
      <c r="F4" s="8">
        <v>1258.0338496510333</v>
      </c>
      <c r="G4" s="8">
        <v>1462.8281749604485</v>
      </c>
      <c r="H4" s="8">
        <v>1322.2064311596505</v>
      </c>
      <c r="I4" s="8">
        <v>1403.1815918378084</v>
      </c>
      <c r="J4" s="8">
        <v>1431.6843048551161</v>
      </c>
      <c r="M4" s="12">
        <f t="shared" si="1"/>
        <v>1.3393696549955521</v>
      </c>
      <c r="N4" s="12">
        <f t="shared" si="2"/>
        <v>7.3672470193570314</v>
      </c>
      <c r="O4" s="12">
        <f t="shared" si="3"/>
        <v>2.36796511556045</v>
      </c>
      <c r="P4" s="12">
        <f t="shared" si="4"/>
        <v>12.129102387670301</v>
      </c>
      <c r="Q4" s="12">
        <f t="shared" si="5"/>
        <v>2.1753308323432399</v>
      </c>
      <c r="R4" s="12">
        <f t="shared" si="6"/>
        <v>7.6467887036412403</v>
      </c>
      <c r="S4" s="12">
        <f t="shared" si="7"/>
        <v>1.9908518184246067</v>
      </c>
      <c r="T4" s="12">
        <f t="shared" si="8"/>
        <v>0</v>
      </c>
    </row>
    <row r="5" spans="1:20" x14ac:dyDescent="0.3">
      <c r="A5" s="10">
        <f t="shared" si="9"/>
        <v>4</v>
      </c>
      <c r="B5" s="9" t="s">
        <v>14</v>
      </c>
      <c r="C5" s="8">
        <v>1453.2140186921736</v>
      </c>
      <c r="D5" s="8">
        <v>1540.1485496696525</v>
      </c>
      <c r="E5" s="8">
        <v>1467.5831390575622</v>
      </c>
      <c r="F5" s="8">
        <v>1258.1654199577595</v>
      </c>
      <c r="G5" s="8">
        <v>1463.0960145134268</v>
      </c>
      <c r="H5" s="8">
        <v>1325.1949566981457</v>
      </c>
      <c r="I5" s="8">
        <v>1403.9146264038545</v>
      </c>
      <c r="J5" s="8">
        <v>1434.6728303936115</v>
      </c>
      <c r="M5" s="12">
        <f t="shared" si="1"/>
        <v>1.2923635205021013</v>
      </c>
      <c r="N5" s="12">
        <f t="shared" si="2"/>
        <v>7.3519005198629888</v>
      </c>
      <c r="O5" s="12">
        <f t="shared" si="3"/>
        <v>2.2939242987491109</v>
      </c>
      <c r="P5" s="12">
        <f t="shared" si="4"/>
        <v>12.30297296334985</v>
      </c>
      <c r="Q5" s="12">
        <f t="shared" si="5"/>
        <v>1.9811613852070475</v>
      </c>
      <c r="R5" s="12">
        <f t="shared" si="6"/>
        <v>7.630859898938068</v>
      </c>
      <c r="S5" s="12">
        <f t="shared" si="7"/>
        <v>2.1439176471557153</v>
      </c>
      <c r="T5" s="12">
        <f t="shared" si="8"/>
        <v>0</v>
      </c>
    </row>
    <row r="6" spans="1:20" x14ac:dyDescent="0.3">
      <c r="A6" s="10">
        <f t="shared" si="9"/>
        <v>5</v>
      </c>
      <c r="B6" s="9" t="s">
        <v>15</v>
      </c>
      <c r="C6" s="8">
        <v>1452.4105000332383</v>
      </c>
      <c r="D6" s="8">
        <v>1540.552658468883</v>
      </c>
      <c r="E6" s="8">
        <v>1467.1602345002279</v>
      </c>
      <c r="F6" s="8">
        <v>1256.003907775829</v>
      </c>
      <c r="G6" s="8">
        <v>1461.8132040228463</v>
      </c>
      <c r="H6" s="8">
        <v>1325.5990654973762</v>
      </c>
      <c r="I6" s="8">
        <v>1402.9701395591412</v>
      </c>
      <c r="J6" s="8">
        <v>1435.076939192842</v>
      </c>
      <c r="M6" s="12">
        <f t="shared" si="1"/>
        <v>1.2078488871924582</v>
      </c>
      <c r="N6" s="12">
        <f t="shared" si="2"/>
        <v>7.3498302701014584</v>
      </c>
      <c r="O6" s="12">
        <f t="shared" si="3"/>
        <v>2.2356498408671488</v>
      </c>
      <c r="P6" s="12">
        <f t="shared" si="4"/>
        <v>12.478287855265272</v>
      </c>
      <c r="Q6" s="12">
        <f t="shared" si="5"/>
        <v>1.8630544537244182</v>
      </c>
      <c r="R6" s="12">
        <f t="shared" si="6"/>
        <v>7.6287110959389821</v>
      </c>
      <c r="S6" s="12">
        <f t="shared" si="7"/>
        <v>2.2372876851996</v>
      </c>
      <c r="T6" s="12">
        <f t="shared" si="8"/>
        <v>0</v>
      </c>
    </row>
    <row r="7" spans="1:20" x14ac:dyDescent="0.3">
      <c r="A7" s="10">
        <f t="shared" si="9"/>
        <v>6</v>
      </c>
      <c r="B7" s="9" t="s">
        <v>16</v>
      </c>
      <c r="C7" s="8">
        <v>1450.2724825489377</v>
      </c>
      <c r="D7" s="8">
        <v>1538.0481237015592</v>
      </c>
      <c r="E7" s="8">
        <v>1463.4198786375828</v>
      </c>
      <c r="F7" s="8">
        <v>1251.3096671894189</v>
      </c>
      <c r="G7" s="8">
        <v>1460.8358246014516</v>
      </c>
      <c r="H7" s="8">
        <v>1323.0945307300522</v>
      </c>
      <c r="I7" s="8">
        <v>1402.3921699974512</v>
      </c>
      <c r="J7" s="8">
        <v>1432.572404425518</v>
      </c>
      <c r="M7" s="12">
        <f t="shared" si="1"/>
        <v>1.2355450983657352</v>
      </c>
      <c r="N7" s="12">
        <f t="shared" si="2"/>
        <v>7.3626798164061018</v>
      </c>
      <c r="O7" s="12">
        <f t="shared" si="3"/>
        <v>2.1532925049212457</v>
      </c>
      <c r="P7" s="12">
        <f t="shared" si="4"/>
        <v>12.652954690188109</v>
      </c>
      <c r="Q7" s="12">
        <f t="shared" si="5"/>
        <v>1.972913905686156</v>
      </c>
      <c r="R7" s="12">
        <f t="shared" si="6"/>
        <v>7.6420482034461665</v>
      </c>
      <c r="S7" s="12">
        <f t="shared" si="7"/>
        <v>2.1067161656076645</v>
      </c>
      <c r="T7" s="12">
        <f t="shared" si="8"/>
        <v>0</v>
      </c>
    </row>
    <row r="8" spans="1:20" x14ac:dyDescent="0.3">
      <c r="A8" s="10">
        <f t="shared" si="9"/>
        <v>7</v>
      </c>
      <c r="B8" s="9" t="s">
        <v>17</v>
      </c>
      <c r="C8" s="8">
        <v>1452.9837706554026</v>
      </c>
      <c r="D8" s="8">
        <v>1541.4360590997589</v>
      </c>
      <c r="E8" s="8">
        <v>1467.3904825369987</v>
      </c>
      <c r="F8" s="8">
        <v>1256.2106611149702</v>
      </c>
      <c r="G8" s="8">
        <v>1462.6026258632035</v>
      </c>
      <c r="H8" s="8">
        <v>1326.4824661282521</v>
      </c>
      <c r="I8" s="8">
        <v>1404.4127139936036</v>
      </c>
      <c r="J8" s="8">
        <v>1435.960339823718</v>
      </c>
      <c r="M8" s="12">
        <f t="shared" si="1"/>
        <v>1.1855084266306759</v>
      </c>
      <c r="N8" s="12">
        <f t="shared" si="2"/>
        <v>7.3453086656271758</v>
      </c>
      <c r="O8" s="12">
        <f t="shared" si="3"/>
        <v>2.1887890522895042</v>
      </c>
      <c r="P8" s="12">
        <f t="shared" si="4"/>
        <v>12.517732817802912</v>
      </c>
      <c r="Q8" s="12">
        <f t="shared" si="5"/>
        <v>1.8553636406668566</v>
      </c>
      <c r="R8" s="12">
        <f t="shared" si="6"/>
        <v>7.6240179244021213</v>
      </c>
      <c r="S8" s="12">
        <f t="shared" si="7"/>
        <v>2.1969705537958832</v>
      </c>
      <c r="T8" s="12">
        <f t="shared" si="8"/>
        <v>0</v>
      </c>
    </row>
    <row r="9" spans="1:20" x14ac:dyDescent="0.3">
      <c r="A9" s="10">
        <f t="shared" si="9"/>
        <v>8</v>
      </c>
      <c r="B9" s="9" t="s">
        <v>18</v>
      </c>
      <c r="C9" s="8">
        <v>1452.7817162557874</v>
      </c>
      <c r="D9" s="8">
        <v>1540.0780655767635</v>
      </c>
      <c r="E9" s="8">
        <v>1465.3558417222685</v>
      </c>
      <c r="F9" s="8">
        <v>1257.032975532009</v>
      </c>
      <c r="G9" s="8">
        <v>1461.3245143121489</v>
      </c>
      <c r="H9" s="8">
        <v>1325.1244726052566</v>
      </c>
      <c r="I9" s="8">
        <v>1401.3537043622193</v>
      </c>
      <c r="J9" s="8">
        <v>1434.6023463007223</v>
      </c>
      <c r="M9" s="12">
        <f t="shared" si="1"/>
        <v>1.2672062053950064</v>
      </c>
      <c r="N9" s="12">
        <f t="shared" si="2"/>
        <v>7.3522617293929438</v>
      </c>
      <c r="O9" s="12">
        <f t="shared" si="3"/>
        <v>2.1436947667656754</v>
      </c>
      <c r="P9" s="12">
        <f t="shared" si="4"/>
        <v>12.377602143659889</v>
      </c>
      <c r="Q9" s="12">
        <f t="shared" si="5"/>
        <v>1.8626881574767169</v>
      </c>
      <c r="R9" s="12">
        <f t="shared" si="6"/>
        <v>7.6312348141466657</v>
      </c>
      <c r="S9" s="12">
        <f t="shared" si="7"/>
        <v>2.31762076956295</v>
      </c>
      <c r="T9" s="12">
        <f t="shared" si="8"/>
        <v>0</v>
      </c>
    </row>
    <row r="10" spans="1:20" x14ac:dyDescent="0.3">
      <c r="A10" s="10">
        <f t="shared" si="9"/>
        <v>9</v>
      </c>
      <c r="B10" s="9" t="s">
        <v>19</v>
      </c>
      <c r="C10" s="8">
        <v>1451.6821644067184</v>
      </c>
      <c r="D10" s="8">
        <v>1539.5846769265402</v>
      </c>
      <c r="E10" s="8">
        <v>1466.3849094784484</v>
      </c>
      <c r="F10" s="8">
        <v>1255.9522194410438</v>
      </c>
      <c r="G10" s="8">
        <v>1462.0528499386689</v>
      </c>
      <c r="H10" s="8">
        <v>1324.6310839550333</v>
      </c>
      <c r="I10" s="8">
        <v>1400.0286034159053</v>
      </c>
      <c r="J10" s="8">
        <v>1434.1089576504992</v>
      </c>
      <c r="M10" s="12">
        <f t="shared" si="1"/>
        <v>1.225374589738939</v>
      </c>
      <c r="N10" s="12">
        <f t="shared" si="2"/>
        <v>7.3547911902622705</v>
      </c>
      <c r="O10" s="12">
        <f t="shared" si="3"/>
        <v>2.2505927221057842</v>
      </c>
      <c r="P10" s="12">
        <f t="shared" si="4"/>
        <v>12.422817475551481</v>
      </c>
      <c r="Q10" s="12">
        <f t="shared" si="5"/>
        <v>1.9485194719061127</v>
      </c>
      <c r="R10" s="12">
        <f t="shared" si="6"/>
        <v>7.6338602524890069</v>
      </c>
      <c r="S10" s="12">
        <f t="shared" si="7"/>
        <v>2.3764131764735446</v>
      </c>
      <c r="T10" s="12">
        <f t="shared" si="8"/>
        <v>0</v>
      </c>
    </row>
    <row r="11" spans="1:20" x14ac:dyDescent="0.3">
      <c r="A11" s="10">
        <f t="shared" si="9"/>
        <v>10</v>
      </c>
      <c r="B11" s="9" t="s">
        <v>20</v>
      </c>
      <c r="C11" s="8">
        <v>1453.2704059664848</v>
      </c>
      <c r="D11" s="8">
        <v>1540.1391517906006</v>
      </c>
      <c r="E11" s="8">
        <v>1467.8274839129108</v>
      </c>
      <c r="F11" s="8">
        <v>1257.5028694846026</v>
      </c>
      <c r="G11" s="8">
        <v>1462.8375728395004</v>
      </c>
      <c r="H11" s="8">
        <v>1325.1855588190938</v>
      </c>
      <c r="I11" s="8">
        <v>1402.3874710579253</v>
      </c>
      <c r="J11" s="8">
        <v>1434.6634325145596</v>
      </c>
      <c r="M11" s="12">
        <f t="shared" si="1"/>
        <v>1.2969573929484177</v>
      </c>
      <c r="N11" s="12">
        <f t="shared" si="2"/>
        <v>7.3519486790829998</v>
      </c>
      <c r="O11" s="12">
        <f t="shared" si="3"/>
        <v>2.3116258940414989</v>
      </c>
      <c r="P11" s="12">
        <f t="shared" si="4"/>
        <v>12.348580093063685</v>
      </c>
      <c r="Q11" s="12">
        <f t="shared" si="5"/>
        <v>1.9638153232608293</v>
      </c>
      <c r="R11" s="12">
        <f t="shared" si="6"/>
        <v>7.6309098855040922</v>
      </c>
      <c r="S11" s="12">
        <f t="shared" si="7"/>
        <v>2.249723574543455</v>
      </c>
      <c r="T11" s="12">
        <f t="shared" si="8"/>
        <v>0</v>
      </c>
    </row>
    <row r="12" spans="1:20" x14ac:dyDescent="0.3">
      <c r="A12" s="10">
        <f t="shared" si="9"/>
        <v>11</v>
      </c>
      <c r="B12" s="9" t="s">
        <v>21</v>
      </c>
      <c r="C12" s="8">
        <v>1454.4827323641762</v>
      </c>
      <c r="D12" s="8">
        <v>1542.0422222986047</v>
      </c>
      <c r="E12" s="8">
        <v>1471.2718065854219</v>
      </c>
      <c r="F12" s="8">
        <v>1259.161595137258</v>
      </c>
      <c r="G12" s="8">
        <v>1460.6384691413623</v>
      </c>
      <c r="H12" s="8">
        <v>1327.0886293270978</v>
      </c>
      <c r="I12" s="8">
        <v>1400.056797053061</v>
      </c>
      <c r="J12" s="8">
        <v>1436.5665030225637</v>
      </c>
      <c r="M12" s="12">
        <f t="shared" si="1"/>
        <v>1.2471562788020196</v>
      </c>
      <c r="N12" s="12">
        <f t="shared" si="2"/>
        <v>7.342209292373032</v>
      </c>
      <c r="O12" s="12">
        <f t="shared" si="3"/>
        <v>2.41585081441323</v>
      </c>
      <c r="P12" s="12">
        <f t="shared" si="4"/>
        <v>12.349230440222732</v>
      </c>
      <c r="Q12" s="12">
        <f t="shared" si="5"/>
        <v>1.6756597114126457</v>
      </c>
      <c r="R12" s="12">
        <f t="shared" si="6"/>
        <v>7.6208009490073936</v>
      </c>
      <c r="S12" s="12">
        <f t="shared" si="7"/>
        <v>2.541456026761415</v>
      </c>
      <c r="T12" s="12">
        <f t="shared" si="8"/>
        <v>0</v>
      </c>
    </row>
    <row r="13" spans="1:20" x14ac:dyDescent="0.3">
      <c r="A13" s="10">
        <f t="shared" si="9"/>
        <v>12</v>
      </c>
      <c r="B13" s="9" t="s">
        <v>22</v>
      </c>
      <c r="C13" s="8">
        <v>1450.9303340825686</v>
      </c>
      <c r="D13" s="8">
        <v>1537.7990799066845</v>
      </c>
      <c r="E13" s="8">
        <v>1466.8172119148346</v>
      </c>
      <c r="F13" s="8">
        <v>1256.4268123331631</v>
      </c>
      <c r="G13" s="8">
        <v>1458.3688813503352</v>
      </c>
      <c r="H13" s="8">
        <v>1322.8454869351776</v>
      </c>
      <c r="I13" s="8">
        <v>1396.1190857303266</v>
      </c>
      <c r="J13" s="8">
        <v>1432.3233606306435</v>
      </c>
      <c r="M13" s="12">
        <f t="shared" si="1"/>
        <v>1.2990763093979403</v>
      </c>
      <c r="N13" s="12">
        <f t="shared" si="2"/>
        <v>7.3639599950112284</v>
      </c>
      <c r="O13" s="12">
        <f t="shared" si="3"/>
        <v>2.408244690570688</v>
      </c>
      <c r="P13" s="12">
        <f t="shared" si="4"/>
        <v>12.28050544536495</v>
      </c>
      <c r="Q13" s="12">
        <f t="shared" si="5"/>
        <v>1.8184106630938426</v>
      </c>
      <c r="R13" s="12">
        <f t="shared" si="6"/>
        <v>7.6433769569507968</v>
      </c>
      <c r="S13" s="12">
        <f t="shared" si="7"/>
        <v>2.52766071513184</v>
      </c>
      <c r="T13" s="12">
        <f t="shared" si="8"/>
        <v>0</v>
      </c>
    </row>
    <row r="14" spans="1:20" x14ac:dyDescent="0.3">
      <c r="A14" s="10">
        <f t="shared" si="9"/>
        <v>13</v>
      </c>
      <c r="B14" s="9" t="s">
        <v>23</v>
      </c>
      <c r="C14" s="8">
        <v>1287.8751343030442</v>
      </c>
      <c r="D14" s="8">
        <v>1300.443119409339</v>
      </c>
      <c r="E14" s="8">
        <v>1316.6861595313535</v>
      </c>
      <c r="F14" s="8">
        <v>1192.1396275363809</v>
      </c>
      <c r="G14" s="8">
        <v>1338.8659584358966</v>
      </c>
      <c r="H14" s="8">
        <v>1061.4853803509113</v>
      </c>
      <c r="I14" s="8">
        <v>1154.4452377326231</v>
      </c>
      <c r="J14" s="8">
        <v>1210.4562916197822</v>
      </c>
      <c r="M14" s="12">
        <f t="shared" si="1"/>
        <v>6.3958395870422846</v>
      </c>
      <c r="N14" s="12">
        <f t="shared" si="2"/>
        <v>7.4341245043338349</v>
      </c>
      <c r="O14" s="12">
        <f t="shared" si="3"/>
        <v>8.7760184855100327</v>
      </c>
      <c r="P14" s="12">
        <f t="shared" si="4"/>
        <v>1.5132032614652029</v>
      </c>
      <c r="Q14" s="12">
        <f t="shared" si="5"/>
        <v>10.608368737072029</v>
      </c>
      <c r="R14" s="12">
        <f t="shared" si="6"/>
        <v>12.307004581679209</v>
      </c>
      <c r="S14" s="12">
        <f t="shared" si="7"/>
        <v>4.6272677728997049</v>
      </c>
      <c r="T14" s="12">
        <f t="shared" si="8"/>
        <v>0</v>
      </c>
    </row>
    <row r="15" spans="1:20" x14ac:dyDescent="0.3">
      <c r="A15" s="10">
        <f t="shared" si="9"/>
        <v>14</v>
      </c>
      <c r="B15" s="9" t="s">
        <v>24</v>
      </c>
      <c r="C15" s="8">
        <v>1284.2052625332881</v>
      </c>
      <c r="D15" s="8">
        <v>1294.3016054489408</v>
      </c>
      <c r="E15" s="8">
        <v>1311.1790024069564</v>
      </c>
      <c r="F15" s="8">
        <v>1189.1088115421521</v>
      </c>
      <c r="G15" s="8">
        <v>1335.017526964155</v>
      </c>
      <c r="H15" s="8">
        <v>1055.3438663905129</v>
      </c>
      <c r="I15" s="8">
        <v>1151.9923913000846</v>
      </c>
      <c r="J15" s="8">
        <v>1204.3147776593839</v>
      </c>
      <c r="M15" s="12">
        <f t="shared" si="1"/>
        <v>6.6336879988447297</v>
      </c>
      <c r="N15" s="12">
        <f t="shared" si="2"/>
        <v>7.4720355059039072</v>
      </c>
      <c r="O15" s="12">
        <f t="shared" si="3"/>
        <v>8.8734462725157126</v>
      </c>
      <c r="P15" s="12">
        <f t="shared" si="4"/>
        <v>1.26262389196826</v>
      </c>
      <c r="Q15" s="12">
        <f t="shared" si="5"/>
        <v>10.852872664968466</v>
      </c>
      <c r="R15" s="12">
        <f t="shared" si="6"/>
        <v>12.369765283325659</v>
      </c>
      <c r="S15" s="12">
        <f t="shared" si="7"/>
        <v>4.3445772924076556</v>
      </c>
      <c r="T15" s="12">
        <f t="shared" si="8"/>
        <v>0</v>
      </c>
    </row>
    <row r="16" spans="1:20" x14ac:dyDescent="0.3">
      <c r="A16" s="10">
        <f t="shared" si="9"/>
        <v>15</v>
      </c>
      <c r="B16" s="9" t="s">
        <v>25</v>
      </c>
      <c r="C16" s="8">
        <v>1284.5999734534669</v>
      </c>
      <c r="D16" s="8">
        <v>1294.5882407600227</v>
      </c>
      <c r="E16" s="8">
        <v>1310.04185904168</v>
      </c>
      <c r="F16" s="8">
        <v>1187.06477284837</v>
      </c>
      <c r="G16" s="8">
        <v>1331.5920000497476</v>
      </c>
      <c r="H16" s="8">
        <v>1055.630501701595</v>
      </c>
      <c r="I16" s="8">
        <v>1148.1768524050246</v>
      </c>
      <c r="J16" s="8">
        <v>1204.6014129704658</v>
      </c>
      <c r="M16" s="12">
        <f t="shared" si="1"/>
        <v>6.6410814084743572</v>
      </c>
      <c r="N16" s="12">
        <f t="shared" si="2"/>
        <v>7.4702575325439309</v>
      </c>
      <c r="O16" s="12">
        <f t="shared" si="3"/>
        <v>8.7531398299795402</v>
      </c>
      <c r="P16" s="12">
        <f t="shared" si="4"/>
        <v>1.4558043792138398</v>
      </c>
      <c r="Q16" s="12">
        <f t="shared" si="5"/>
        <v>10.542125030895621</v>
      </c>
      <c r="R16" s="12">
        <f t="shared" si="6"/>
        <v>12.366821893519004</v>
      </c>
      <c r="S16" s="12">
        <f t="shared" si="7"/>
        <v>4.6840855371655294</v>
      </c>
      <c r="T16" s="12">
        <f t="shared" si="8"/>
        <v>0</v>
      </c>
    </row>
    <row r="17" spans="1:20" x14ac:dyDescent="0.3">
      <c r="A17" s="10">
        <f t="shared" si="9"/>
        <v>16</v>
      </c>
      <c r="B17" s="9" t="s">
        <v>26</v>
      </c>
      <c r="C17" s="8">
        <v>1283.0540223494338</v>
      </c>
      <c r="D17" s="8">
        <v>1292.0179208393358</v>
      </c>
      <c r="E17" s="8">
        <v>1305.1455640556546</v>
      </c>
      <c r="F17" s="8">
        <v>1185.0630246103215</v>
      </c>
      <c r="G17" s="8">
        <v>1328.2181614701256</v>
      </c>
      <c r="H17" s="8">
        <v>1053.0601817809081</v>
      </c>
      <c r="I17" s="8">
        <v>1143.4168266652514</v>
      </c>
      <c r="J17" s="8">
        <v>1202.031093049779</v>
      </c>
      <c r="M17" s="12">
        <f t="shared" si="1"/>
        <v>6.7405019527476959</v>
      </c>
      <c r="N17" s="12">
        <f t="shared" si="2"/>
        <v>7.4862312888465592</v>
      </c>
      <c r="O17" s="12">
        <f t="shared" si="3"/>
        <v>8.5783530560973134</v>
      </c>
      <c r="P17" s="12">
        <f t="shared" si="4"/>
        <v>1.4116164330164147</v>
      </c>
      <c r="Q17" s="12">
        <f t="shared" si="5"/>
        <v>10.497820659546022</v>
      </c>
      <c r="R17" s="12">
        <f t="shared" si="6"/>
        <v>12.39326604197098</v>
      </c>
      <c r="S17" s="12">
        <f t="shared" si="7"/>
        <v>4.8762687357622472</v>
      </c>
      <c r="T17" s="12">
        <f t="shared" si="8"/>
        <v>0</v>
      </c>
    </row>
    <row r="18" spans="1:20" x14ac:dyDescent="0.3">
      <c r="A18" s="10">
        <f t="shared" si="9"/>
        <v>17</v>
      </c>
      <c r="B18" s="9" t="s">
        <v>27</v>
      </c>
      <c r="C18" s="8">
        <v>1283.782357975954</v>
      </c>
      <c r="D18" s="8">
        <v>1292.2763625132623</v>
      </c>
      <c r="E18" s="8">
        <v>1305.8316092264413</v>
      </c>
      <c r="F18" s="8">
        <v>1186.6136746538803</v>
      </c>
      <c r="G18" s="8">
        <v>1326.799081733293</v>
      </c>
      <c r="H18" s="8">
        <v>1053.3186234548346</v>
      </c>
      <c r="I18" s="8">
        <v>1145.1648321688997</v>
      </c>
      <c r="J18" s="8">
        <v>1202.2895347237054</v>
      </c>
      <c r="M18" s="12">
        <f t="shared" si="1"/>
        <v>6.7781362890242782</v>
      </c>
      <c r="N18" s="12">
        <f t="shared" si="2"/>
        <v>7.4846220640385486</v>
      </c>
      <c r="O18" s="12">
        <f t="shared" si="3"/>
        <v>8.6120748382402397</v>
      </c>
      <c r="P18" s="12">
        <f t="shared" si="4"/>
        <v>1.303834028084389</v>
      </c>
      <c r="Q18" s="12">
        <f t="shared" si="5"/>
        <v>10.35603682919861</v>
      </c>
      <c r="R18" s="12">
        <f t="shared" si="6"/>
        <v>12.390602011112524</v>
      </c>
      <c r="S18" s="12">
        <f t="shared" si="7"/>
        <v>4.7513266068587514</v>
      </c>
      <c r="T18" s="12">
        <f t="shared" si="8"/>
        <v>0</v>
      </c>
    </row>
    <row r="19" spans="1:20" x14ac:dyDescent="0.3">
      <c r="A19" s="10">
        <f t="shared" si="9"/>
        <v>18</v>
      </c>
      <c r="B19" s="9" t="s">
        <v>28</v>
      </c>
      <c r="C19" s="8">
        <v>1288.6645561434013</v>
      </c>
      <c r="D19" s="8">
        <v>1296.331547324145</v>
      </c>
      <c r="E19" s="8">
        <v>1310.9910448259191</v>
      </c>
      <c r="F19" s="8">
        <v>1190.7487414367038</v>
      </c>
      <c r="G19" s="8">
        <v>1329.7500157555808</v>
      </c>
      <c r="H19" s="8">
        <v>1057.3738082657173</v>
      </c>
      <c r="I19" s="8">
        <v>1149.5348459280201</v>
      </c>
      <c r="J19" s="8">
        <v>1206.3447195345882</v>
      </c>
      <c r="M19" s="12">
        <f t="shared" si="1"/>
        <v>6.823906572954737</v>
      </c>
      <c r="N19" s="12">
        <f t="shared" si="2"/>
        <v>7.4594621530961787</v>
      </c>
      <c r="O19" s="12">
        <f t="shared" si="3"/>
        <v>8.6746618604758154</v>
      </c>
      <c r="P19" s="12">
        <f t="shared" si="4"/>
        <v>1.2928293086822984</v>
      </c>
      <c r="Q19" s="12">
        <f t="shared" si="5"/>
        <v>10.229687602777648</v>
      </c>
      <c r="R19" s="12">
        <f t="shared" si="6"/>
        <v>12.348950416622566</v>
      </c>
      <c r="S19" s="12">
        <f t="shared" si="7"/>
        <v>4.7092570379456324</v>
      </c>
      <c r="T19" s="12">
        <f t="shared" si="8"/>
        <v>0</v>
      </c>
    </row>
    <row r="20" spans="1:20" x14ac:dyDescent="0.3">
      <c r="A20" s="10">
        <f t="shared" si="9"/>
        <v>19</v>
      </c>
      <c r="B20" s="9" t="s">
        <v>29</v>
      </c>
      <c r="C20" s="8">
        <v>1287.5415095967028</v>
      </c>
      <c r="D20" s="8">
        <v>1298.1359401021045</v>
      </c>
      <c r="E20" s="8">
        <v>1314.5481420470526</v>
      </c>
      <c r="F20" s="8">
        <v>1186.1484796408126</v>
      </c>
      <c r="G20" s="8">
        <v>1334.4207616443612</v>
      </c>
      <c r="H20" s="8">
        <v>1059.1782010436766</v>
      </c>
      <c r="I20" s="8">
        <v>1151.4097227988686</v>
      </c>
      <c r="J20" s="8">
        <v>1208.1491123125477</v>
      </c>
      <c r="M20" s="12">
        <f t="shared" si="1"/>
        <v>6.5714071611730249</v>
      </c>
      <c r="N20" s="12">
        <f t="shared" si="2"/>
        <v>7.4483213100501207</v>
      </c>
      <c r="O20" s="12">
        <f t="shared" si="3"/>
        <v>8.8067796143841797</v>
      </c>
      <c r="P20" s="12">
        <f t="shared" si="4"/>
        <v>1.8210196446383262</v>
      </c>
      <c r="Q20" s="12">
        <f t="shared" si="5"/>
        <v>10.451660978346773</v>
      </c>
      <c r="R20" s="12">
        <f t="shared" si="6"/>
        <v>12.330507033500378</v>
      </c>
      <c r="S20" s="12">
        <f t="shared" si="7"/>
        <v>4.6963896207375262</v>
      </c>
      <c r="T20" s="12">
        <f t="shared" si="8"/>
        <v>0</v>
      </c>
    </row>
    <row r="21" spans="1:20" x14ac:dyDescent="0.3">
      <c r="A21" s="10">
        <f t="shared" si="9"/>
        <v>20</v>
      </c>
      <c r="B21" s="9" t="s">
        <v>30</v>
      </c>
      <c r="C21" s="8">
        <v>1293.0674624792034</v>
      </c>
      <c r="D21" s="8">
        <v>1300.4008289536055</v>
      </c>
      <c r="E21" s="8">
        <v>1316.1175878487152</v>
      </c>
      <c r="F21" s="8">
        <v>1195.7014236970404</v>
      </c>
      <c r="G21" s="8">
        <v>1335.5062166748523</v>
      </c>
      <c r="H21" s="8">
        <v>1061.4430898951778</v>
      </c>
      <c r="I21" s="8">
        <v>1152.1568541834924</v>
      </c>
      <c r="J21" s="8">
        <v>1210.4140011640488</v>
      </c>
      <c r="M21" s="12">
        <f t="shared" si="1"/>
        <v>6.8285281924752335</v>
      </c>
      <c r="N21" s="12">
        <f t="shared" si="2"/>
        <v>7.4343842439873269</v>
      </c>
      <c r="O21" s="12">
        <f t="shared" si="3"/>
        <v>8.732845669581792</v>
      </c>
      <c r="P21" s="12">
        <f t="shared" si="4"/>
        <v>1.2154996102870157</v>
      </c>
      <c r="Q21" s="12">
        <f t="shared" si="5"/>
        <v>10.334663626701522</v>
      </c>
      <c r="R21" s="12">
        <f t="shared" si="6"/>
        <v>12.307434574088413</v>
      </c>
      <c r="S21" s="12">
        <f t="shared" si="7"/>
        <v>4.812993481943435</v>
      </c>
      <c r="T21" s="12">
        <f t="shared" si="8"/>
        <v>0</v>
      </c>
    </row>
    <row r="22" spans="1:20" x14ac:dyDescent="0.3">
      <c r="A22" s="10">
        <f t="shared" si="9"/>
        <v>21</v>
      </c>
      <c r="B22" s="9" t="s">
        <v>31</v>
      </c>
      <c r="C22" s="8">
        <v>1293.9649599286572</v>
      </c>
      <c r="D22" s="8">
        <v>1304.5311967969033</v>
      </c>
      <c r="E22" s="8">
        <v>1321.0185817742663</v>
      </c>
      <c r="F22" s="8">
        <v>1196.3827699283011</v>
      </c>
      <c r="G22" s="8">
        <v>1339.4815195137942</v>
      </c>
      <c r="H22" s="8">
        <v>1065.5734577384756</v>
      </c>
      <c r="I22" s="8">
        <v>1154.8540454713795</v>
      </c>
      <c r="J22" s="8">
        <v>1214.5443690073464</v>
      </c>
      <c r="M22" s="12">
        <f t="shared" si="1"/>
        <v>6.5391263545375198</v>
      </c>
      <c r="N22" s="12">
        <f t="shared" si="2"/>
        <v>7.4091017245507107</v>
      </c>
      <c r="O22" s="12">
        <f t="shared" si="3"/>
        <v>8.7665972099431677</v>
      </c>
      <c r="P22" s="12">
        <f t="shared" si="4"/>
        <v>1.4953425780475122</v>
      </c>
      <c r="Q22" s="12">
        <f t="shared" si="5"/>
        <v>10.286750628020251</v>
      </c>
      <c r="R22" s="12">
        <f t="shared" si="6"/>
        <v>12.265580004345628</v>
      </c>
      <c r="S22" s="12">
        <f t="shared" si="7"/>
        <v>4.9146268394255594</v>
      </c>
      <c r="T22" s="12">
        <f t="shared" si="8"/>
        <v>0</v>
      </c>
    </row>
    <row r="23" spans="1:20" x14ac:dyDescent="0.3">
      <c r="A23" s="10">
        <f t="shared" si="9"/>
        <v>22</v>
      </c>
      <c r="B23" s="9" t="s">
        <v>32</v>
      </c>
      <c r="C23" s="8">
        <v>1288.0067046097704</v>
      </c>
      <c r="D23" s="8">
        <v>1299.9638275776936</v>
      </c>
      <c r="E23" s="8">
        <v>1316.639170136094</v>
      </c>
      <c r="F23" s="8">
        <v>1191.4112919098609</v>
      </c>
      <c r="G23" s="8">
        <v>1337.0286730812556</v>
      </c>
      <c r="H23" s="8">
        <v>1061.0060885192659</v>
      </c>
      <c r="I23" s="8">
        <v>1152.3166181273741</v>
      </c>
      <c r="J23" s="8">
        <v>1209.9769997881367</v>
      </c>
      <c r="M23" s="12">
        <f t="shared" si="1"/>
        <v>6.4488585184095601</v>
      </c>
      <c r="N23" s="12">
        <f t="shared" si="2"/>
        <v>7.4370692835742558</v>
      </c>
      <c r="O23" s="12">
        <f t="shared" si="3"/>
        <v>8.815222964290518</v>
      </c>
      <c r="P23" s="12">
        <f t="shared" si="4"/>
        <v>1.5343851892661278</v>
      </c>
      <c r="Q23" s="12">
        <f t="shared" si="5"/>
        <v>10.500337883725502</v>
      </c>
      <c r="R23" s="12">
        <f t="shared" si="6"/>
        <v>12.311879589029809</v>
      </c>
      <c r="S23" s="12">
        <f t="shared" si="7"/>
        <v>4.7654113814443377</v>
      </c>
      <c r="T23" s="12">
        <f t="shared" si="8"/>
        <v>0</v>
      </c>
    </row>
    <row r="24" spans="1:20" x14ac:dyDescent="0.3">
      <c r="A24" s="10">
        <f t="shared" si="9"/>
        <v>23</v>
      </c>
      <c r="B24" s="9" t="s">
        <v>33</v>
      </c>
      <c r="C24" s="8">
        <v>1288.9934819102168</v>
      </c>
      <c r="D24" s="8">
        <v>1302.2381143082466</v>
      </c>
      <c r="E24" s="8">
        <v>1317.7058294084816</v>
      </c>
      <c r="F24" s="8">
        <v>1191.3643025146016</v>
      </c>
      <c r="G24" s="8">
        <v>1339.4815195137942</v>
      </c>
      <c r="H24" s="8">
        <v>1063.2803752498189</v>
      </c>
      <c r="I24" s="8">
        <v>1154.8587444109055</v>
      </c>
      <c r="J24" s="8">
        <v>1212.2512865186898</v>
      </c>
      <c r="M24" s="12">
        <f t="shared" si="1"/>
        <v>6.3305517795665276</v>
      </c>
      <c r="N24" s="12">
        <f t="shared" si="2"/>
        <v>7.423116707756078</v>
      </c>
      <c r="O24" s="12">
        <f t="shared" si="3"/>
        <v>8.6990662796187479</v>
      </c>
      <c r="P24" s="12">
        <f t="shared" si="4"/>
        <v>1.7229912837684696</v>
      </c>
      <c r="Q24" s="12">
        <f t="shared" si="5"/>
        <v>10.495367949699665</v>
      </c>
      <c r="R24" s="12">
        <f t="shared" si="6"/>
        <v>12.288781453611113</v>
      </c>
      <c r="S24" s="12">
        <f t="shared" si="7"/>
        <v>4.7343766714080058</v>
      </c>
      <c r="T24" s="12">
        <f t="shared" si="8"/>
        <v>0</v>
      </c>
    </row>
    <row r="25" spans="1:20" x14ac:dyDescent="0.3">
      <c r="A25" s="10">
        <f t="shared" si="9"/>
        <v>24</v>
      </c>
      <c r="B25" s="9" t="s">
        <v>34</v>
      </c>
      <c r="C25" s="8">
        <v>1292.8184186843289</v>
      </c>
      <c r="D25" s="8">
        <v>1304.4701105830661</v>
      </c>
      <c r="E25" s="8">
        <v>1321.5965513359565</v>
      </c>
      <c r="F25" s="8">
        <v>1194.7992273080608</v>
      </c>
      <c r="G25" s="8">
        <v>1341.9766564020661</v>
      </c>
      <c r="H25" s="8">
        <v>1065.5123715246384</v>
      </c>
      <c r="I25" s="8">
        <v>1154.8634433504315</v>
      </c>
      <c r="J25" s="8">
        <v>1214.4832827935093</v>
      </c>
      <c r="M25" s="12">
        <f t="shared" si="1"/>
        <v>6.4500793877241405</v>
      </c>
      <c r="N25" s="12">
        <f t="shared" si="2"/>
        <v>7.409474388364778</v>
      </c>
      <c r="O25" s="12">
        <f t="shared" si="3"/>
        <v>8.8196577145194865</v>
      </c>
      <c r="P25" s="12">
        <f t="shared" si="4"/>
        <v>1.6207761575912263</v>
      </c>
      <c r="Q25" s="12">
        <f t="shared" si="5"/>
        <v>10.497746277355196</v>
      </c>
      <c r="R25" s="12">
        <f t="shared" si="6"/>
        <v>12.266196939838768</v>
      </c>
      <c r="S25" s="12">
        <f t="shared" si="7"/>
        <v>4.9090704077821865</v>
      </c>
      <c r="T25" s="12">
        <f t="shared" si="8"/>
        <v>0</v>
      </c>
    </row>
    <row r="26" spans="1:20" x14ac:dyDescent="0.3">
      <c r="A26" s="10">
        <f t="shared" si="9"/>
        <v>25</v>
      </c>
      <c r="B26" s="9" t="s">
        <v>35</v>
      </c>
      <c r="C26" s="8">
        <v>1333.8586661089814</v>
      </c>
      <c r="D26" s="8">
        <v>1341.959185617507</v>
      </c>
      <c r="E26" s="8">
        <v>1339.6845956708828</v>
      </c>
      <c r="F26" s="8">
        <v>1239.7334904388208</v>
      </c>
      <c r="G26" s="8">
        <v>1262.1372794630365</v>
      </c>
      <c r="H26" s="8">
        <v>1146.6233905120275</v>
      </c>
      <c r="I26" s="8">
        <v>1039.7900211489978</v>
      </c>
      <c r="J26" s="8">
        <v>1211.1250071131642</v>
      </c>
      <c r="M26" s="12">
        <f t="shared" si="1"/>
        <v>10.133855570232589</v>
      </c>
      <c r="N26" s="12">
        <f t="shared" si="2"/>
        <v>10.80269813074036</v>
      </c>
      <c r="O26" s="12">
        <f t="shared" si="3"/>
        <v>10.614890106526085</v>
      </c>
      <c r="P26" s="12">
        <f t="shared" si="4"/>
        <v>2.3621412453407884</v>
      </c>
      <c r="Q26" s="12">
        <f t="shared" si="5"/>
        <v>4.211974160410171</v>
      </c>
      <c r="R26" s="12">
        <f t="shared" si="6"/>
        <v>5.3257604477082543</v>
      </c>
      <c r="S26" s="12">
        <f t="shared" si="7"/>
        <v>14.146763129972872</v>
      </c>
      <c r="T26" s="12">
        <f t="shared" si="8"/>
        <v>0</v>
      </c>
    </row>
    <row r="27" spans="1:20" x14ac:dyDescent="0.3">
      <c r="A27" s="10">
        <f t="shared" si="9"/>
        <v>26</v>
      </c>
      <c r="B27" s="9" t="s">
        <v>36</v>
      </c>
      <c r="C27" s="8">
        <v>1333.6801064069959</v>
      </c>
      <c r="D27" s="8">
        <v>1340.0420182909252</v>
      </c>
      <c r="E27" s="8">
        <v>1334.7695049267538</v>
      </c>
      <c r="F27" s="8">
        <v>1241.3593235147946</v>
      </c>
      <c r="G27" s="8">
        <v>1260.1966174388249</v>
      </c>
      <c r="H27" s="8">
        <v>1144.7062231854457</v>
      </c>
      <c r="I27" s="8">
        <v>1024.9601680051437</v>
      </c>
      <c r="J27" s="8">
        <v>1209.2078397865823</v>
      </c>
      <c r="M27" s="12">
        <f t="shared" si="1"/>
        <v>10.293703243139921</v>
      </c>
      <c r="N27" s="12">
        <f t="shared" si="2"/>
        <v>10.819825525398038</v>
      </c>
      <c r="O27" s="12">
        <f t="shared" si="3"/>
        <v>10.38379515984054</v>
      </c>
      <c r="P27" s="12">
        <f t="shared" si="4"/>
        <v>2.6588881307523451</v>
      </c>
      <c r="Q27" s="12">
        <f t="shared" si="5"/>
        <v>4.2167091524350155</v>
      </c>
      <c r="R27" s="12">
        <f t="shared" si="6"/>
        <v>5.3342043012655962</v>
      </c>
      <c r="S27" s="12">
        <f t="shared" si="7"/>
        <v>15.237055675553442</v>
      </c>
      <c r="T27" s="12">
        <f t="shared" si="8"/>
        <v>0</v>
      </c>
    </row>
    <row r="28" spans="1:20" x14ac:dyDescent="0.3">
      <c r="A28" s="10">
        <f t="shared" si="9"/>
        <v>27</v>
      </c>
      <c r="B28" s="9" t="s">
        <v>37</v>
      </c>
      <c r="C28" s="8">
        <v>1331.6454655922657</v>
      </c>
      <c r="D28" s="8">
        <v>1339.3230805434569</v>
      </c>
      <c r="E28" s="8">
        <v>1335.3427755489179</v>
      </c>
      <c r="F28" s="8">
        <v>1233.9631927009714</v>
      </c>
      <c r="G28" s="8">
        <v>1262.0010102167844</v>
      </c>
      <c r="H28" s="8">
        <v>1143.9872854379773</v>
      </c>
      <c r="I28" s="8">
        <v>1032.9201715620793</v>
      </c>
      <c r="J28" s="8">
        <v>1208.4889020391142</v>
      </c>
      <c r="M28" s="12">
        <f t="shared" si="1"/>
        <v>10.190955278558727</v>
      </c>
      <c r="N28" s="12">
        <f t="shared" si="2"/>
        <v>10.826262308539429</v>
      </c>
      <c r="O28" s="12">
        <f t="shared" si="3"/>
        <v>10.496900161495885</v>
      </c>
      <c r="P28" s="12">
        <f t="shared" si="4"/>
        <v>2.1079457675510067</v>
      </c>
      <c r="Q28" s="12">
        <f t="shared" si="5"/>
        <v>4.4280181710711446</v>
      </c>
      <c r="R28" s="12">
        <f t="shared" si="6"/>
        <v>5.3373776533902522</v>
      </c>
      <c r="S28" s="12">
        <f t="shared" si="7"/>
        <v>14.527955546864627</v>
      </c>
      <c r="T28" s="12">
        <f t="shared" si="8"/>
        <v>0</v>
      </c>
    </row>
    <row r="29" spans="1:20" x14ac:dyDescent="0.3">
      <c r="A29" s="10">
        <f t="shared" si="9"/>
        <v>28</v>
      </c>
      <c r="B29" s="9" t="s">
        <v>38</v>
      </c>
      <c r="C29" s="8">
        <v>1332.7074259251272</v>
      </c>
      <c r="D29" s="8">
        <v>1342.3679933562635</v>
      </c>
      <c r="E29" s="8">
        <v>1341.4138054164273</v>
      </c>
      <c r="F29" s="8">
        <v>1232.952920702895</v>
      </c>
      <c r="G29" s="8">
        <v>1266.0702918462448</v>
      </c>
      <c r="H29" s="8">
        <v>1147.0321982507839</v>
      </c>
      <c r="I29" s="8">
        <v>1042.120695153862</v>
      </c>
      <c r="J29" s="8">
        <v>1211.5338148519206</v>
      </c>
      <c r="M29" s="12">
        <f t="shared" si="1"/>
        <v>10.001669750176715</v>
      </c>
      <c r="N29" s="12">
        <f t="shared" si="2"/>
        <v>10.799052977347893</v>
      </c>
      <c r="O29" s="12">
        <f t="shared" si="3"/>
        <v>10.720294305642737</v>
      </c>
      <c r="P29" s="12">
        <f t="shared" si="4"/>
        <v>1.7679329778832704</v>
      </c>
      <c r="Q29" s="12">
        <f t="shared" si="5"/>
        <v>4.5014407625914989</v>
      </c>
      <c r="R29" s="12">
        <f t="shared" si="6"/>
        <v>5.3239633768720163</v>
      </c>
      <c r="S29" s="12">
        <f t="shared" si="7"/>
        <v>13.983358749154275</v>
      </c>
      <c r="T29" s="12">
        <f t="shared" si="8"/>
        <v>0</v>
      </c>
    </row>
    <row r="30" spans="1:20" x14ac:dyDescent="0.3">
      <c r="A30" s="10">
        <f t="shared" si="9"/>
        <v>29</v>
      </c>
      <c r="B30" s="9" t="s">
        <v>39</v>
      </c>
      <c r="C30" s="8">
        <v>1335.8228228308228</v>
      </c>
      <c r="D30" s="8">
        <v>1342.2129283519075</v>
      </c>
      <c r="E30" s="8">
        <v>1337.7063421304638</v>
      </c>
      <c r="F30" s="8">
        <v>1237.285342945808</v>
      </c>
      <c r="G30" s="8">
        <v>1266.4790995850012</v>
      </c>
      <c r="H30" s="8">
        <v>1146.877133246428</v>
      </c>
      <c r="I30" s="8">
        <v>1043.1168703333603</v>
      </c>
      <c r="J30" s="8">
        <v>1211.3787498475649</v>
      </c>
      <c r="M30" s="12">
        <f t="shared" si="1"/>
        <v>10.272928512153401</v>
      </c>
      <c r="N30" s="12">
        <f t="shared" si="2"/>
        <v>10.800435332121046</v>
      </c>
      <c r="O30" s="12">
        <f t="shared" si="3"/>
        <v>10.428414094171243</v>
      </c>
      <c r="P30" s="12">
        <f t="shared" si="4"/>
        <v>2.1386038925895865</v>
      </c>
      <c r="Q30" s="12">
        <f t="shared" si="5"/>
        <v>4.5485649921108431</v>
      </c>
      <c r="R30" s="12">
        <f t="shared" si="6"/>
        <v>5.3246448816485783</v>
      </c>
      <c r="S30" s="12">
        <f t="shared" si="7"/>
        <v>13.890113190063632</v>
      </c>
      <c r="T30" s="12">
        <f t="shared" si="8"/>
        <v>0</v>
      </c>
    </row>
    <row r="31" spans="1:20" x14ac:dyDescent="0.3">
      <c r="A31" s="10">
        <f t="shared" si="9"/>
        <v>30</v>
      </c>
      <c r="B31" s="9" t="s">
        <v>40</v>
      </c>
      <c r="C31" s="8">
        <v>1344.8024962648865</v>
      </c>
      <c r="D31" s="8">
        <v>1351.9867225658543</v>
      </c>
      <c r="E31" s="8">
        <v>1346.3054014629265</v>
      </c>
      <c r="F31" s="8">
        <v>1238.0700658466394</v>
      </c>
      <c r="G31" s="8">
        <v>1273.4993152367497</v>
      </c>
      <c r="H31" s="8">
        <v>1156.6509274603748</v>
      </c>
      <c r="I31" s="8">
        <v>1050.696259788695</v>
      </c>
      <c r="J31" s="8">
        <v>1221.1525440615117</v>
      </c>
      <c r="M31" s="12">
        <f t="shared" si="1"/>
        <v>10.125676174093639</v>
      </c>
      <c r="N31" s="12">
        <f t="shared" si="2"/>
        <v>10.713991396127515</v>
      </c>
      <c r="O31" s="12">
        <f t="shared" si="3"/>
        <v>10.248748856974144</v>
      </c>
      <c r="P31" s="12">
        <f t="shared" si="4"/>
        <v>1.3853733399154742</v>
      </c>
      <c r="Q31" s="12">
        <f t="shared" si="5"/>
        <v>4.2866692969524056</v>
      </c>
      <c r="R31" s="12">
        <f t="shared" si="6"/>
        <v>5.2820277789871142</v>
      </c>
      <c r="S31" s="12">
        <f t="shared" si="7"/>
        <v>13.95863973766004</v>
      </c>
      <c r="T31" s="12">
        <f t="shared" si="8"/>
        <v>0</v>
      </c>
    </row>
    <row r="32" spans="1:20" x14ac:dyDescent="0.3">
      <c r="A32" s="10">
        <f t="shared" si="9"/>
        <v>31</v>
      </c>
      <c r="B32" s="9" t="s">
        <v>41</v>
      </c>
      <c r="C32" s="8">
        <v>1347.9648825658412</v>
      </c>
      <c r="D32" s="8">
        <v>1355.3511632664245</v>
      </c>
      <c r="E32" s="8">
        <v>1348.5373977377462</v>
      </c>
      <c r="F32" s="8">
        <v>1244.5968928481643</v>
      </c>
      <c r="G32" s="8">
        <v>1281.8822233510193</v>
      </c>
      <c r="H32" s="8">
        <v>1160.0153681609449</v>
      </c>
      <c r="I32" s="8">
        <v>1054.953498999193</v>
      </c>
      <c r="J32" s="8">
        <v>1224.5169847620818</v>
      </c>
      <c r="M32" s="12">
        <f t="shared" si="1"/>
        <v>10.081354472003893</v>
      </c>
      <c r="N32" s="12">
        <f t="shared" si="2"/>
        <v>10.684554002308357</v>
      </c>
      <c r="O32" s="12">
        <f t="shared" si="3"/>
        <v>10.128108839565096</v>
      </c>
      <c r="P32" s="12">
        <f t="shared" si="4"/>
        <v>1.6398227493744324</v>
      </c>
      <c r="Q32" s="12">
        <f t="shared" si="5"/>
        <v>4.684723797447635</v>
      </c>
      <c r="R32" s="12">
        <f t="shared" si="6"/>
        <v>5.267515061350438</v>
      </c>
      <c r="S32" s="12">
        <f t="shared" si="7"/>
        <v>13.847377200393366</v>
      </c>
      <c r="T32" s="12">
        <f t="shared" si="8"/>
        <v>0</v>
      </c>
    </row>
    <row r="33" spans="1:20" x14ac:dyDescent="0.3">
      <c r="A33" s="10">
        <f t="shared" si="9"/>
        <v>32</v>
      </c>
      <c r="B33" s="9" t="s">
        <v>42</v>
      </c>
      <c r="C33" s="8">
        <v>1349.3886612421998</v>
      </c>
      <c r="D33" s="8">
        <v>1356.0654020743668</v>
      </c>
      <c r="E33" s="8">
        <v>1348.109794240886</v>
      </c>
      <c r="F33" s="8">
        <v>1248.7319596309881</v>
      </c>
      <c r="G33" s="8">
        <v>1286.5529692397997</v>
      </c>
      <c r="H33" s="8">
        <v>1160.7296069688873</v>
      </c>
      <c r="I33" s="8">
        <v>1061.3957450892512</v>
      </c>
      <c r="J33" s="8">
        <v>1225.231223570024</v>
      </c>
      <c r="M33" s="12">
        <f t="shared" si="1"/>
        <v>10.133388317546412</v>
      </c>
      <c r="N33" s="12">
        <f t="shared" si="2"/>
        <v>10.678325526436067</v>
      </c>
      <c r="O33" s="12">
        <f t="shared" si="3"/>
        <v>10.029010713000272</v>
      </c>
      <c r="P33" s="12">
        <f t="shared" si="4"/>
        <v>1.9180653911584689</v>
      </c>
      <c r="Q33" s="12">
        <f t="shared" si="5"/>
        <v>5.0049120925190902</v>
      </c>
      <c r="R33" s="12">
        <f t="shared" si="6"/>
        <v>5.264444405293129</v>
      </c>
      <c r="S33" s="12">
        <f t="shared" si="7"/>
        <v>13.371800793926573</v>
      </c>
      <c r="T33" s="12">
        <f t="shared" si="8"/>
        <v>0</v>
      </c>
    </row>
    <row r="34" spans="1:20" x14ac:dyDescent="0.3">
      <c r="A34" s="10">
        <f t="shared" si="9"/>
        <v>33</v>
      </c>
      <c r="B34" s="9" t="s">
        <v>43</v>
      </c>
      <c r="C34" s="8">
        <v>1368.7811846657376</v>
      </c>
      <c r="D34" s="8">
        <v>1377.4596737359532</v>
      </c>
      <c r="E34" s="8">
        <v>1375.3166540960553</v>
      </c>
      <c r="F34" s="8">
        <v>1259.0931212856769</v>
      </c>
      <c r="G34" s="8">
        <v>1308.2103815148384</v>
      </c>
      <c r="H34" s="8">
        <v>1182.1238786304737</v>
      </c>
      <c r="I34" s="8">
        <v>1085.0408087837611</v>
      </c>
      <c r="J34" s="8">
        <v>1246.6254952316106</v>
      </c>
      <c r="M34" s="12">
        <f t="shared" si="1"/>
        <v>9.7989083250244047</v>
      </c>
      <c r="N34" s="12">
        <f t="shared" si="2"/>
        <v>10.495066802723695</v>
      </c>
      <c r="O34" s="12">
        <f t="shared" si="3"/>
        <v>10.323161154387851</v>
      </c>
      <c r="P34" s="12">
        <f t="shared" si="4"/>
        <v>1.0001099850560995</v>
      </c>
      <c r="Q34" s="12">
        <f t="shared" si="5"/>
        <v>4.9401272891331356</v>
      </c>
      <c r="R34" s="12">
        <f t="shared" si="6"/>
        <v>5.1740973410104329</v>
      </c>
      <c r="S34" s="12">
        <f t="shared" si="7"/>
        <v>12.961766550252419</v>
      </c>
      <c r="T34" s="12">
        <f t="shared" si="8"/>
        <v>0</v>
      </c>
    </row>
    <row r="35" spans="1:20" x14ac:dyDescent="0.3">
      <c r="A35" s="10">
        <f t="shared" si="9"/>
        <v>34</v>
      </c>
      <c r="B35" s="9" t="s">
        <v>44</v>
      </c>
      <c r="C35" s="8">
        <v>1363.2223392065553</v>
      </c>
      <c r="D35" s="8">
        <v>1382.7224860050014</v>
      </c>
      <c r="E35" s="8">
        <v>1392.8155048906408</v>
      </c>
      <c r="F35" s="8">
        <v>1245.9971768268933</v>
      </c>
      <c r="G35" s="8">
        <v>1335.8918342621273</v>
      </c>
      <c r="H35" s="8">
        <v>1187.3866908995219</v>
      </c>
      <c r="I35" s="8">
        <v>1105.373120112486</v>
      </c>
      <c r="J35" s="8">
        <v>1251.8883075006588</v>
      </c>
      <c r="M35" s="12">
        <f t="shared" si="1"/>
        <v>8.8932879266338105</v>
      </c>
      <c r="N35" s="12">
        <f t="shared" si="2"/>
        <v>10.450946599664904</v>
      </c>
      <c r="O35" s="12">
        <f t="shared" si="3"/>
        <v>11.257170192070655</v>
      </c>
      <c r="P35" s="12">
        <f t="shared" si="4"/>
        <v>0.47057957474871404</v>
      </c>
      <c r="Q35" s="12">
        <f t="shared" si="5"/>
        <v>6.7101454864753798</v>
      </c>
      <c r="R35" s="12">
        <f t="shared" si="6"/>
        <v>5.1523459572772596</v>
      </c>
      <c r="S35" s="12">
        <f t="shared" si="7"/>
        <v>11.703535092574196</v>
      </c>
      <c r="T35" s="12">
        <f t="shared" si="8"/>
        <v>0</v>
      </c>
    </row>
    <row r="36" spans="1:20" x14ac:dyDescent="0.3">
      <c r="A36" s="10">
        <f t="shared" si="9"/>
        <v>35</v>
      </c>
      <c r="B36" s="9" t="s">
        <v>45</v>
      </c>
      <c r="C36" s="8">
        <v>1375.9282716846863</v>
      </c>
      <c r="D36" s="8">
        <v>1399.9722930047124</v>
      </c>
      <c r="E36" s="8">
        <v>1413.8197645715745</v>
      </c>
      <c r="F36" s="8">
        <v>1255.0943237491053</v>
      </c>
      <c r="G36" s="8">
        <v>1339.8201477058099</v>
      </c>
      <c r="H36" s="8">
        <v>1204.6364978992328</v>
      </c>
      <c r="I36" s="8">
        <v>1102.577251094554</v>
      </c>
      <c r="J36" s="8">
        <v>1269.1381145003697</v>
      </c>
      <c r="M36" s="12">
        <f t="shared" si="1"/>
        <v>8.4143842158863329</v>
      </c>
      <c r="N36" s="12">
        <f t="shared" si="2"/>
        <v>10.308899954190487</v>
      </c>
      <c r="O36" s="12">
        <f t="shared" si="3"/>
        <v>11.399992516036177</v>
      </c>
      <c r="P36" s="12">
        <f t="shared" si="4"/>
        <v>1.1065612631760817</v>
      </c>
      <c r="Q36" s="12">
        <f t="shared" si="5"/>
        <v>5.5692940270150189</v>
      </c>
      <c r="R36" s="12">
        <f t="shared" si="6"/>
        <v>5.0823165630424469</v>
      </c>
      <c r="S36" s="12">
        <f t="shared" si="7"/>
        <v>13.123935173232656</v>
      </c>
      <c r="T36" s="12">
        <f t="shared" si="8"/>
        <v>0</v>
      </c>
    </row>
    <row r="37" spans="1:20" x14ac:dyDescent="0.3">
      <c r="A37" s="10">
        <f t="shared" si="9"/>
        <v>36</v>
      </c>
      <c r="B37" s="9" t="s">
        <v>46</v>
      </c>
      <c r="C37" s="8">
        <v>1399.4182703748402</v>
      </c>
      <c r="D37" s="8">
        <v>1420.9812516251723</v>
      </c>
      <c r="E37" s="8">
        <v>1440.7305912366098</v>
      </c>
      <c r="F37" s="8">
        <v>1290.7639736904853</v>
      </c>
      <c r="G37" s="8">
        <v>1365.640820400828</v>
      </c>
      <c r="H37" s="8">
        <v>1225.6454565196927</v>
      </c>
      <c r="I37" s="8">
        <v>1123.8399524494143</v>
      </c>
      <c r="J37" s="8">
        <v>1290.1470731208294</v>
      </c>
      <c r="M37" s="12">
        <f t="shared" si="1"/>
        <v>8.469669817541563</v>
      </c>
      <c r="N37" s="12">
        <f t="shared" si="2"/>
        <v>10.141028199820557</v>
      </c>
      <c r="O37" s="12">
        <f t="shared" si="3"/>
        <v>11.671810234124944</v>
      </c>
      <c r="P37" s="12">
        <f t="shared" si="4"/>
        <v>4.7816298041399974E-2</v>
      </c>
      <c r="Q37" s="12">
        <f t="shared" si="5"/>
        <v>5.851561333808351</v>
      </c>
      <c r="R37" s="12">
        <f t="shared" si="6"/>
        <v>4.9995553177599419</v>
      </c>
      <c r="S37" s="12">
        <f t="shared" si="7"/>
        <v>12.890555203843762</v>
      </c>
      <c r="T37" s="12">
        <f t="shared" si="8"/>
        <v>0</v>
      </c>
    </row>
    <row r="38" spans="1:20" x14ac:dyDescent="0.3">
      <c r="A38" s="10">
        <f t="shared" si="9"/>
        <v>37</v>
      </c>
      <c r="B38" s="9" t="s">
        <v>47</v>
      </c>
      <c r="C38" s="8">
        <v>1555.8040504770795</v>
      </c>
      <c r="D38" s="8">
        <v>1599.7144780021845</v>
      </c>
      <c r="E38" s="8">
        <v>1609.7701838962355</v>
      </c>
      <c r="F38" s="8">
        <v>1435.2952720580361</v>
      </c>
      <c r="G38" s="8">
        <v>1523.1739241612936</v>
      </c>
      <c r="H38" s="8">
        <v>1492.243743149166</v>
      </c>
      <c r="I38" s="8">
        <v>1256.0633334428398</v>
      </c>
      <c r="J38" s="8">
        <v>1448.6777533703676</v>
      </c>
      <c r="L38" s="31"/>
      <c r="M38" s="12">
        <f t="shared" si="1"/>
        <v>7.3947637324782018</v>
      </c>
      <c r="N38" s="12">
        <f t="shared" si="2"/>
        <v>10.425833093690299</v>
      </c>
      <c r="O38" s="12">
        <f t="shared" si="3"/>
        <v>11.119963024978075</v>
      </c>
      <c r="P38" s="12">
        <f t="shared" si="4"/>
        <v>0.92377212814906384</v>
      </c>
      <c r="Q38" s="12">
        <f t="shared" si="5"/>
        <v>5.142356236064904</v>
      </c>
      <c r="R38" s="12">
        <f t="shared" si="6"/>
        <v>3.0072933526756795</v>
      </c>
      <c r="S38" s="12">
        <f t="shared" si="7"/>
        <v>13.295877532419324</v>
      </c>
      <c r="T38" s="12">
        <f t="shared" si="8"/>
        <v>0</v>
      </c>
    </row>
    <row r="39" spans="1:20" x14ac:dyDescent="0.3">
      <c r="A39" s="10">
        <f t="shared" si="9"/>
        <v>38</v>
      </c>
      <c r="B39" s="9" t="s">
        <v>48</v>
      </c>
      <c r="C39" s="8">
        <v>1552.3127384093091</v>
      </c>
      <c r="D39" s="8">
        <v>1581.3463233953007</v>
      </c>
      <c r="E39" s="8">
        <v>1597.5764358264316</v>
      </c>
      <c r="F39" s="8">
        <v>1424.4971090274353</v>
      </c>
      <c r="G39" s="8">
        <v>1517.1874752052511</v>
      </c>
      <c r="H39" s="8">
        <v>1473.8755885422825</v>
      </c>
      <c r="I39" s="8">
        <v>1255.3631914534753</v>
      </c>
      <c r="J39" s="8">
        <v>1430.309598763484</v>
      </c>
      <c r="M39" s="12">
        <f t="shared" si="1"/>
        <v>8.5298413540185933</v>
      </c>
      <c r="N39" s="12">
        <f t="shared" si="2"/>
        <v>10.559722507797566</v>
      </c>
      <c r="O39" s="12">
        <f t="shared" si="3"/>
        <v>11.694449733648669</v>
      </c>
      <c r="P39" s="12">
        <f t="shared" si="4"/>
        <v>0.40637983140668971</v>
      </c>
      <c r="Q39" s="12">
        <f t="shared" si="5"/>
        <v>6.0740609247727759</v>
      </c>
      <c r="R39" s="12">
        <f t="shared" si="6"/>
        <v>3.0459132635662685</v>
      </c>
      <c r="S39" s="12">
        <f t="shared" si="7"/>
        <v>12.231366374192795</v>
      </c>
      <c r="T39" s="12">
        <f t="shared" si="8"/>
        <v>0</v>
      </c>
    </row>
    <row r="40" spans="1:20" x14ac:dyDescent="0.3">
      <c r="A40" s="10">
        <f t="shared" si="9"/>
        <v>39</v>
      </c>
      <c r="B40" s="9" t="s">
        <v>49</v>
      </c>
      <c r="C40" s="8">
        <v>1610.8192344467377</v>
      </c>
      <c r="D40" s="8">
        <v>1639.1338816852613</v>
      </c>
      <c r="E40" s="8">
        <v>1649.0486193935344</v>
      </c>
      <c r="F40" s="8">
        <v>1444.777732021375</v>
      </c>
      <c r="G40" s="8">
        <v>1562.4100692028589</v>
      </c>
      <c r="H40" s="8">
        <v>1531.663146832243</v>
      </c>
      <c r="I40" s="8">
        <v>1294.3080022444328</v>
      </c>
      <c r="J40" s="8">
        <v>1488.0971570534443</v>
      </c>
      <c r="M40" s="12">
        <f t="shared" si="1"/>
        <v>8.2469129661058727</v>
      </c>
      <c r="N40" s="12">
        <f t="shared" si="2"/>
        <v>10.149654806873103</v>
      </c>
      <c r="O40" s="12">
        <f t="shared" si="3"/>
        <v>10.815924321687927</v>
      </c>
      <c r="P40" s="12">
        <f t="shared" si="4"/>
        <v>2.9110616082249243</v>
      </c>
      <c r="Q40" s="12">
        <f t="shared" si="5"/>
        <v>4.9938212567088254</v>
      </c>
      <c r="R40" s="12">
        <f t="shared" si="6"/>
        <v>2.9276307378385784</v>
      </c>
      <c r="S40" s="12">
        <f t="shared" si="7"/>
        <v>13.022614409984499</v>
      </c>
      <c r="T40" s="12">
        <f t="shared" si="8"/>
        <v>0</v>
      </c>
    </row>
    <row r="41" spans="1:20" x14ac:dyDescent="0.3">
      <c r="A41" s="10">
        <f t="shared" si="9"/>
        <v>40</v>
      </c>
      <c r="B41" s="9" t="s">
        <v>50</v>
      </c>
      <c r="C41" s="8">
        <v>1576.4887822702494</v>
      </c>
      <c r="D41" s="8">
        <v>1598.8357763108345</v>
      </c>
      <c r="E41" s="8">
        <v>1619.7977208445827</v>
      </c>
      <c r="F41" s="8">
        <v>1433.1102651784759</v>
      </c>
      <c r="G41" s="8">
        <v>1533.1779664120113</v>
      </c>
      <c r="H41" s="8">
        <v>1491.365041457816</v>
      </c>
      <c r="I41" s="8">
        <v>1251.2328236101775</v>
      </c>
      <c r="J41" s="8">
        <v>1447.7990516790176</v>
      </c>
      <c r="M41" s="12">
        <f t="shared" si="1"/>
        <v>8.8886458684988039</v>
      </c>
      <c r="N41" s="12">
        <f t="shared" si="2"/>
        <v>10.432160765450089</v>
      </c>
      <c r="O41" s="12">
        <f t="shared" si="3"/>
        <v>11.88000979597947</v>
      </c>
      <c r="P41" s="12">
        <f t="shared" si="4"/>
        <v>1.014559754235719</v>
      </c>
      <c r="Q41" s="12">
        <f t="shared" si="5"/>
        <v>5.8971522763452233</v>
      </c>
      <c r="R41" s="12">
        <f t="shared" si="6"/>
        <v>3.0091185464084127</v>
      </c>
      <c r="S41" s="12">
        <f t="shared" si="7"/>
        <v>13.576899904781778</v>
      </c>
      <c r="T41" s="12">
        <f t="shared" si="8"/>
        <v>0</v>
      </c>
    </row>
    <row r="42" spans="1:20" x14ac:dyDescent="0.3">
      <c r="A42" s="10">
        <f t="shared" si="9"/>
        <v>41</v>
      </c>
      <c r="B42" s="9" t="s">
        <v>51</v>
      </c>
      <c r="C42" s="8">
        <v>1580.6473437507029</v>
      </c>
      <c r="D42" s="8">
        <v>1604.2442557051868</v>
      </c>
      <c r="E42" s="8">
        <v>1603.1352812856139</v>
      </c>
      <c r="F42" s="8">
        <v>1438.6550138190803</v>
      </c>
      <c r="G42" s="8">
        <v>1525.786534537714</v>
      </c>
      <c r="H42" s="8">
        <v>1496.7735208521683</v>
      </c>
      <c r="I42" s="8">
        <v>1249.1840859768695</v>
      </c>
      <c r="J42" s="8">
        <v>1453.2075310733699</v>
      </c>
      <c r="M42" s="12">
        <f t="shared" si="1"/>
        <v>8.769553553249434</v>
      </c>
      <c r="N42" s="12">
        <f t="shared" si="2"/>
        <v>10.393334840499897</v>
      </c>
      <c r="O42" s="12">
        <f t="shared" si="3"/>
        <v>10.317022655498095</v>
      </c>
      <c r="P42" s="12">
        <f t="shared" si="4"/>
        <v>1.0014066775129338</v>
      </c>
      <c r="Q42" s="12">
        <f t="shared" si="5"/>
        <v>4.9944004495170615</v>
      </c>
      <c r="R42" s="12">
        <f t="shared" si="6"/>
        <v>2.9979193506256934</v>
      </c>
      <c r="S42" s="12">
        <f t="shared" si="7"/>
        <v>14.039525720445747</v>
      </c>
      <c r="T42" s="12">
        <f t="shared" si="8"/>
        <v>0</v>
      </c>
    </row>
    <row r="43" spans="1:20" x14ac:dyDescent="0.3">
      <c r="A43" s="10">
        <f t="shared" si="9"/>
        <v>42</v>
      </c>
      <c r="B43" s="9" t="s">
        <v>52</v>
      </c>
      <c r="C43" s="8">
        <v>1602.0980026866005</v>
      </c>
      <c r="D43" s="8">
        <v>1623.3548427571684</v>
      </c>
      <c r="E43" s="8">
        <v>1627.2267442350876</v>
      </c>
      <c r="F43" s="8">
        <v>1447.8038490760775</v>
      </c>
      <c r="G43" s="8">
        <v>1545.3012303889259</v>
      </c>
      <c r="H43" s="8">
        <v>1515.8841079041499</v>
      </c>
      <c r="I43" s="8">
        <v>1240.8528661973851</v>
      </c>
      <c r="J43" s="8">
        <v>1472.3181181253515</v>
      </c>
      <c r="M43" s="12">
        <f t="shared" si="1"/>
        <v>8.8146632825854887</v>
      </c>
      <c r="N43" s="12">
        <f t="shared" si="2"/>
        <v>10.258430075161096</v>
      </c>
      <c r="O43" s="12">
        <f t="shared" si="3"/>
        <v>10.521410026997128</v>
      </c>
      <c r="P43" s="12">
        <f t="shared" si="4"/>
        <v>1.6650117082364679</v>
      </c>
      <c r="Q43" s="12">
        <f t="shared" si="5"/>
        <v>4.9570205898505906</v>
      </c>
      <c r="R43" s="12">
        <f t="shared" si="6"/>
        <v>2.9590065653929067</v>
      </c>
      <c r="S43" s="12">
        <f t="shared" si="7"/>
        <v>15.721144029843401</v>
      </c>
      <c r="T43" s="12">
        <f t="shared" si="8"/>
        <v>0</v>
      </c>
    </row>
    <row r="44" spans="1:20" x14ac:dyDescent="0.3">
      <c r="A44" s="10">
        <f t="shared" si="9"/>
        <v>43</v>
      </c>
      <c r="B44" s="9" t="s">
        <v>53</v>
      </c>
      <c r="C44" s="8">
        <v>1623.4264891948239</v>
      </c>
      <c r="D44" s="8">
        <v>1668.9721476749546</v>
      </c>
      <c r="E44" s="8">
        <v>1698.7540016988848</v>
      </c>
      <c r="F44" s="8">
        <v>1428.9939941537559</v>
      </c>
      <c r="G44" s="8">
        <v>1625.2583853622525</v>
      </c>
      <c r="H44" s="8">
        <v>1561.5014128219364</v>
      </c>
      <c r="I44" s="8">
        <v>1228.2832029655065</v>
      </c>
      <c r="J44" s="8">
        <v>1517.9354230431379</v>
      </c>
      <c r="M44" s="12">
        <f t="shared" si="1"/>
        <v>6.949641239691136</v>
      </c>
      <c r="N44" s="12">
        <f t="shared" si="2"/>
        <v>9.9501416423249527</v>
      </c>
      <c r="O44" s="12">
        <f t="shared" si="3"/>
        <v>11.912139074615185</v>
      </c>
      <c r="P44" s="12">
        <f t="shared" si="4"/>
        <v>5.8593684249803806</v>
      </c>
      <c r="Q44" s="12">
        <f t="shared" si="5"/>
        <v>7.0703246455606701</v>
      </c>
      <c r="R44" s="12">
        <f t="shared" si="6"/>
        <v>2.8700818965972803</v>
      </c>
      <c r="S44" s="12">
        <f t="shared" si="7"/>
        <v>19.081985681376374</v>
      </c>
      <c r="T44" s="12">
        <f t="shared" si="8"/>
        <v>0</v>
      </c>
    </row>
    <row r="45" spans="1:20" x14ac:dyDescent="0.3">
      <c r="A45" s="10">
        <f t="shared" si="9"/>
        <v>44</v>
      </c>
      <c r="B45" s="9" t="s">
        <v>54</v>
      </c>
      <c r="C45" s="8">
        <v>1715.0088205553159</v>
      </c>
      <c r="D45" s="8">
        <v>1741.3781068301021</v>
      </c>
      <c r="E45" s="8">
        <v>1742.0030410955997</v>
      </c>
      <c r="F45" s="8">
        <v>1483.1821647668494</v>
      </c>
      <c r="G45" s="8">
        <v>1673.0653960991249</v>
      </c>
      <c r="H45" s="8">
        <v>1633.9073719770836</v>
      </c>
      <c r="I45" s="8">
        <v>1234.0675975219335</v>
      </c>
      <c r="J45" s="8">
        <v>1590.3413821982854</v>
      </c>
      <c r="M45" s="12">
        <f t="shared" si="1"/>
        <v>7.8390363070793088</v>
      </c>
      <c r="N45" s="12">
        <f t="shared" si="2"/>
        <v>9.4971259832931452</v>
      </c>
      <c r="O45" s="12">
        <f t="shared" si="3"/>
        <v>9.5364215881546457</v>
      </c>
      <c r="P45" s="12">
        <f t="shared" si="4"/>
        <v>6.7381267085757868</v>
      </c>
      <c r="Q45" s="12">
        <f t="shared" si="5"/>
        <v>5.2016513452283037</v>
      </c>
      <c r="R45" s="12">
        <f t="shared" si="6"/>
        <v>2.7394111897269586</v>
      </c>
      <c r="S45" s="12">
        <f t="shared" si="7"/>
        <v>22.402346355590922</v>
      </c>
      <c r="T45" s="12">
        <f t="shared" si="8"/>
        <v>0</v>
      </c>
    </row>
    <row r="46" spans="1:20" x14ac:dyDescent="0.3">
      <c r="A46" s="10">
        <f t="shared" si="9"/>
        <v>45</v>
      </c>
      <c r="B46" s="9" t="s">
        <v>55</v>
      </c>
      <c r="C46" s="8">
        <v>1659.7070012745755</v>
      </c>
      <c r="D46" s="8">
        <v>1690.079784025459</v>
      </c>
      <c r="E46" s="8">
        <v>1695.2767864496923</v>
      </c>
      <c r="F46" s="8">
        <v>1483.1633690087458</v>
      </c>
      <c r="G46" s="8">
        <v>1619.3706141362547</v>
      </c>
      <c r="H46" s="8">
        <v>1582.6090491724408</v>
      </c>
      <c r="I46" s="8">
        <v>1227.4561896089417</v>
      </c>
      <c r="J46" s="8">
        <v>1539.0430593936421</v>
      </c>
      <c r="M46" s="12">
        <f t="shared" si="1"/>
        <v>7.8401927187451816</v>
      </c>
      <c r="N46" s="12">
        <f t="shared" si="2"/>
        <v>9.8136776427374901</v>
      </c>
      <c r="O46" s="12">
        <f t="shared" si="3"/>
        <v>10.151355162057889</v>
      </c>
      <c r="P46" s="12">
        <f t="shared" si="4"/>
        <v>3.6308074711640623</v>
      </c>
      <c r="Q46" s="12">
        <f t="shared" si="5"/>
        <v>5.2193182154539821</v>
      </c>
      <c r="R46" s="12">
        <f t="shared" si="6"/>
        <v>2.8307193559589527</v>
      </c>
      <c r="S46" s="12">
        <f t="shared" si="7"/>
        <v>20.245493969964723</v>
      </c>
      <c r="T46" s="12">
        <f t="shared" si="8"/>
        <v>0</v>
      </c>
    </row>
    <row r="47" spans="1:20" x14ac:dyDescent="0.3">
      <c r="A47" s="10">
        <f t="shared" si="9"/>
        <v>46</v>
      </c>
      <c r="B47" s="9" t="s">
        <v>56</v>
      </c>
      <c r="C47" s="8">
        <v>1565.8785768206862</v>
      </c>
      <c r="D47" s="8">
        <v>1594.9732480205153</v>
      </c>
      <c r="E47" s="8">
        <v>1594.4093505859507</v>
      </c>
      <c r="F47" s="8">
        <v>1425.7752205784898</v>
      </c>
      <c r="G47" s="8">
        <v>1516.9572271684801</v>
      </c>
      <c r="H47" s="8">
        <v>1487.5025131674965</v>
      </c>
      <c r="I47" s="8">
        <v>1221.0186424584094</v>
      </c>
      <c r="J47" s="8">
        <v>1443.9365233886983</v>
      </c>
      <c r="M47" s="12">
        <f t="shared" si="1"/>
        <v>8.4451117799699773</v>
      </c>
      <c r="N47" s="12">
        <f t="shared" si="2"/>
        <v>10.460066781700126</v>
      </c>
      <c r="O47" s="12">
        <f t="shared" si="3"/>
        <v>10.42101399610806</v>
      </c>
      <c r="P47" s="12">
        <f t="shared" si="4"/>
        <v>1.2577632406988883</v>
      </c>
      <c r="Q47" s="12">
        <f t="shared" si="5"/>
        <v>5.0570577443676932</v>
      </c>
      <c r="R47" s="12">
        <f t="shared" si="6"/>
        <v>3.0171679345401898</v>
      </c>
      <c r="S47" s="12">
        <f t="shared" si="7"/>
        <v>15.438205026294002</v>
      </c>
      <c r="T47" s="12">
        <f t="shared" si="8"/>
        <v>0</v>
      </c>
    </row>
    <row r="48" spans="1:20" x14ac:dyDescent="0.3">
      <c r="A48" s="10">
        <f t="shared" si="9"/>
        <v>47</v>
      </c>
      <c r="B48" s="9" t="s">
        <v>57</v>
      </c>
      <c r="C48" s="8">
        <v>1568.1528635512391</v>
      </c>
      <c r="D48" s="8">
        <v>1603.2762741628439</v>
      </c>
      <c r="E48" s="8">
        <v>1600.6448433368678</v>
      </c>
      <c r="F48" s="8">
        <v>1449.9277697418006</v>
      </c>
      <c r="G48" s="8">
        <v>1523.28199977039</v>
      </c>
      <c r="H48" s="8">
        <v>1495.8055393098255</v>
      </c>
      <c r="I48" s="8">
        <v>1215.544377910694</v>
      </c>
      <c r="J48" s="8">
        <v>1452.239549531027</v>
      </c>
      <c r="M48" s="12">
        <f t="shared" si="1"/>
        <v>7.9816937954653584</v>
      </c>
      <c r="N48" s="12">
        <f t="shared" si="2"/>
        <v>10.400262455363602</v>
      </c>
      <c r="O48" s="12">
        <f t="shared" si="3"/>
        <v>10.219064330933929</v>
      </c>
      <c r="P48" s="12">
        <f t="shared" si="4"/>
        <v>0.15918722155535331</v>
      </c>
      <c r="Q48" s="12">
        <f t="shared" si="5"/>
        <v>4.8919236679860987</v>
      </c>
      <c r="R48" s="12">
        <f t="shared" si="6"/>
        <v>2.9999175957483906</v>
      </c>
      <c r="S48" s="12">
        <f t="shared" si="7"/>
        <v>16.298631427354334</v>
      </c>
      <c r="T48" s="12">
        <f t="shared" si="8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9F663-E7D0-44EE-A820-32D1CD0043C0}">
  <dimension ref="A1:S48"/>
  <sheetViews>
    <sheetView topLeftCell="A6" workbookViewId="0">
      <selection activeCell="M2" sqref="M2:S48"/>
    </sheetView>
  </sheetViews>
  <sheetFormatPr defaultRowHeight="14.4" x14ac:dyDescent="0.3"/>
  <cols>
    <col min="3" max="9" width="7.6640625" bestFit="1" customWidth="1"/>
  </cols>
  <sheetData>
    <row r="1" spans="1:19" x14ac:dyDescent="0.3">
      <c r="A1" s="11" t="s">
        <v>62</v>
      </c>
      <c r="B1" s="11" t="s">
        <v>61</v>
      </c>
      <c r="C1" s="14" t="s">
        <v>2</v>
      </c>
      <c r="D1" s="14" t="s">
        <v>3</v>
      </c>
      <c r="E1" s="14" t="s">
        <v>5</v>
      </c>
      <c r="F1" s="16" t="s">
        <v>64</v>
      </c>
      <c r="G1" s="14" t="s">
        <v>6</v>
      </c>
      <c r="H1" s="14" t="s">
        <v>63</v>
      </c>
      <c r="I1" s="14" t="s">
        <v>10</v>
      </c>
    </row>
    <row r="2" spans="1:19" x14ac:dyDescent="0.3">
      <c r="A2" s="11">
        <v>1</v>
      </c>
      <c r="B2" s="11" t="s">
        <v>11</v>
      </c>
      <c r="C2" s="8">
        <v>2068.9391935119411</v>
      </c>
      <c r="D2" s="8">
        <v>2014.5335912295996</v>
      </c>
      <c r="E2" s="8">
        <v>1770.4049397963975</v>
      </c>
      <c r="F2" s="8">
        <v>1833.2835283012719</v>
      </c>
      <c r="G2" s="8">
        <v>1737.6697056634559</v>
      </c>
      <c r="H2" s="8">
        <v>2472.5102452458632</v>
      </c>
      <c r="I2" s="8">
        <v>1851.9325305979548</v>
      </c>
      <c r="M2" s="12">
        <f>ABS((C2-$I2)/$I2)*100</f>
        <v>11.717849291405816</v>
      </c>
      <c r="N2" s="12">
        <f t="shared" ref="N2:S2" si="0">ABS((D2-$I2)/$I2)*100</f>
        <v>8.7800747567808983</v>
      </c>
      <c r="O2" s="12">
        <f t="shared" si="0"/>
        <v>4.4022981104626755</v>
      </c>
      <c r="P2" s="12">
        <f t="shared" si="0"/>
        <v>1.0070022524341935</v>
      </c>
      <c r="Q2" s="12">
        <f t="shared" si="0"/>
        <v>6.1699237443388686</v>
      </c>
      <c r="R2" s="12">
        <f t="shared" si="0"/>
        <v>33.509736688276391</v>
      </c>
      <c r="S2" s="12">
        <f t="shared" si="0"/>
        <v>0</v>
      </c>
    </row>
    <row r="3" spans="1:19" x14ac:dyDescent="0.3">
      <c r="A3" s="11">
        <f>A2+1</f>
        <v>2</v>
      </c>
      <c r="B3" s="11" t="s">
        <v>12</v>
      </c>
      <c r="C3" s="8">
        <v>2065.8378934248235</v>
      </c>
      <c r="D3" s="8">
        <v>2007.7013331588887</v>
      </c>
      <c r="E3" s="8">
        <v>1765.7013013309356</v>
      </c>
      <c r="F3" s="8">
        <v>1830.1822282141543</v>
      </c>
      <c r="G3" s="8">
        <v>1733.9387476798629</v>
      </c>
      <c r="H3" s="8">
        <v>2467.1299594886668</v>
      </c>
      <c r="I3" s="8">
        <v>1848.831230510837</v>
      </c>
      <c r="M3" s="12">
        <f t="shared" ref="M3:M48" si="1">ABS((C3-$I3)/$I3)*100</f>
        <v>11.737505259148341</v>
      </c>
      <c r="N3" s="12">
        <f t="shared" ref="N3:N48" si="2">ABS((D3-$I3)/$I3)*100</f>
        <v>8.5930018936425832</v>
      </c>
      <c r="O3" s="12">
        <f t="shared" ref="O3:O48" si="3">ABS((E3-$I3)/$I3)*100</f>
        <v>4.4963503324709846</v>
      </c>
      <c r="P3" s="12">
        <f t="shared" ref="P3:P48" si="4">ABS((F3-$I3)/$I3)*100</f>
        <v>1.0086914364557749</v>
      </c>
      <c r="Q3" s="12">
        <f t="shared" ref="Q3:Q48" si="5">ABS((G3-$I3)/$I3)*100</f>
        <v>6.214330488090523</v>
      </c>
      <c r="R3" s="12">
        <f t="shared" ref="R3:R48" si="6">ABS((H3-$I3)/$I3)*100</f>
        <v>33.442680909657298</v>
      </c>
      <c r="S3" s="12">
        <f t="shared" ref="S3:S48" si="7">ABS((I3-$I3)/$I3)*100</f>
        <v>0</v>
      </c>
    </row>
    <row r="4" spans="1:19" x14ac:dyDescent="0.3">
      <c r="A4" s="11">
        <f t="shared" ref="A4:A48" si="8">A3+1</f>
        <v>3</v>
      </c>
      <c r="B4" s="11" t="s">
        <v>13</v>
      </c>
      <c r="C4" s="8">
        <v>2060.1051872031817</v>
      </c>
      <c r="D4" s="8">
        <v>2001.7054863237945</v>
      </c>
      <c r="E4" s="8">
        <v>1763.4411114189604</v>
      </c>
      <c r="F4" s="8">
        <v>1824.4495219925125</v>
      </c>
      <c r="G4" s="8">
        <v>1731.5046970054279</v>
      </c>
      <c r="H4" s="8">
        <v>2464.1461328896971</v>
      </c>
      <c r="I4" s="8">
        <v>1843.0985242891952</v>
      </c>
      <c r="M4" s="12">
        <f t="shared" si="1"/>
        <v>11.774013166099014</v>
      </c>
      <c r="N4" s="12">
        <f t="shared" si="2"/>
        <v>8.6054521743902566</v>
      </c>
      <c r="O4" s="12">
        <f t="shared" si="3"/>
        <v>4.3219291763556305</v>
      </c>
      <c r="P4" s="12">
        <f t="shared" si="4"/>
        <v>1.0118288333975454</v>
      </c>
      <c r="Q4" s="12">
        <f t="shared" si="5"/>
        <v>6.0546859439760157</v>
      </c>
      <c r="R4" s="12">
        <f t="shared" si="6"/>
        <v>33.695844276149785</v>
      </c>
      <c r="S4" s="12">
        <f t="shared" si="7"/>
        <v>0</v>
      </c>
    </row>
    <row r="5" spans="1:19" x14ac:dyDescent="0.3">
      <c r="A5" s="11">
        <f t="shared" si="8"/>
        <v>4</v>
      </c>
      <c r="B5" s="11" t="s">
        <v>14</v>
      </c>
      <c r="C5" s="8">
        <v>2063.0937127416769</v>
      </c>
      <c r="D5" s="8">
        <v>2003.7025356223171</v>
      </c>
      <c r="E5" s="8">
        <v>1763.7089509719387</v>
      </c>
      <c r="F5" s="8">
        <v>1827.4380475310077</v>
      </c>
      <c r="G5" s="8">
        <v>1732.2377315714739</v>
      </c>
      <c r="H5" s="8">
        <v>2464.305896833579</v>
      </c>
      <c r="I5" s="8">
        <v>1846.0870498276904</v>
      </c>
      <c r="M5" s="12">
        <f t="shared" si="1"/>
        <v>11.754952884493793</v>
      </c>
      <c r="N5" s="12">
        <f t="shared" si="2"/>
        <v>8.5378143901360524</v>
      </c>
      <c r="O5" s="12">
        <f t="shared" si="3"/>
        <v>4.4623084736681644</v>
      </c>
      <c r="P5" s="12">
        <f t="shared" si="4"/>
        <v>1.0101908411319713</v>
      </c>
      <c r="Q5" s="12">
        <f t="shared" si="5"/>
        <v>6.1670612047705422</v>
      </c>
      <c r="R5" s="12">
        <f t="shared" si="6"/>
        <v>33.488065856027312</v>
      </c>
      <c r="S5" s="12">
        <f t="shared" si="7"/>
        <v>0</v>
      </c>
    </row>
    <row r="6" spans="1:19" x14ac:dyDescent="0.3">
      <c r="A6" s="11">
        <f t="shared" si="8"/>
        <v>5</v>
      </c>
      <c r="B6" s="11" t="s">
        <v>15</v>
      </c>
      <c r="C6" s="8">
        <v>2063.4978215409074</v>
      </c>
      <c r="D6" s="8">
        <v>2003.2796310649831</v>
      </c>
      <c r="E6" s="8">
        <v>1762.4261404813583</v>
      </c>
      <c r="F6" s="8">
        <v>1827.8421563302381</v>
      </c>
      <c r="G6" s="8">
        <v>1731.2932447267608</v>
      </c>
      <c r="H6" s="8">
        <v>2464.0004657643931</v>
      </c>
      <c r="I6" s="8">
        <v>1846.4911586269211</v>
      </c>
      <c r="M6" s="12">
        <f t="shared" si="1"/>
        <v>11.752380286259031</v>
      </c>
      <c r="N6" s="12">
        <f t="shared" si="2"/>
        <v>8.4911574965055472</v>
      </c>
      <c r="O6" s="12">
        <f t="shared" si="3"/>
        <v>4.5526899900281599</v>
      </c>
      <c r="P6" s="12">
        <f t="shared" si="4"/>
        <v>1.0099697585636234</v>
      </c>
      <c r="Q6" s="12">
        <f t="shared" si="5"/>
        <v>6.2387471156820062</v>
      </c>
      <c r="R6" s="12">
        <f t="shared" si="6"/>
        <v>33.442310527858758</v>
      </c>
      <c r="S6" s="12">
        <f t="shared" si="7"/>
        <v>0</v>
      </c>
    </row>
    <row r="7" spans="1:19" x14ac:dyDescent="0.3">
      <c r="A7" s="11">
        <f t="shared" si="8"/>
        <v>6</v>
      </c>
      <c r="B7" s="11" t="s">
        <v>16</v>
      </c>
      <c r="C7" s="8">
        <v>2060.9932867735833</v>
      </c>
      <c r="D7" s="8">
        <v>1999.5392752023379</v>
      </c>
      <c r="E7" s="8">
        <v>1761.4487610599635</v>
      </c>
      <c r="F7" s="8">
        <v>1825.3376215629141</v>
      </c>
      <c r="G7" s="8">
        <v>1730.7152751650708</v>
      </c>
      <c r="H7" s="8">
        <v>2462.1396857121226</v>
      </c>
      <c r="I7" s="8">
        <v>1843.9866238595971</v>
      </c>
      <c r="M7" s="12">
        <f t="shared" si="1"/>
        <v>11.768342573970283</v>
      </c>
      <c r="N7" s="12">
        <f t="shared" si="2"/>
        <v>8.4356713508668442</v>
      </c>
      <c r="O7" s="12">
        <f t="shared" si="3"/>
        <v>4.476055397130585</v>
      </c>
      <c r="P7" s="12">
        <f t="shared" si="4"/>
        <v>1.0113415170902518</v>
      </c>
      <c r="Q7" s="12">
        <f t="shared" si="5"/>
        <v>6.1427424271354631</v>
      </c>
      <c r="R7" s="12">
        <f t="shared" si="6"/>
        <v>33.522643486354937</v>
      </c>
      <c r="S7" s="12">
        <f t="shared" si="7"/>
        <v>0</v>
      </c>
    </row>
    <row r="8" spans="1:19" x14ac:dyDescent="0.3">
      <c r="A8" s="11">
        <f t="shared" si="8"/>
        <v>7</v>
      </c>
      <c r="B8" s="11" t="s">
        <v>17</v>
      </c>
      <c r="C8" s="8">
        <v>2064.3812221717835</v>
      </c>
      <c r="D8" s="8">
        <v>2003.5098791017538</v>
      </c>
      <c r="E8" s="8">
        <v>1763.2155623217154</v>
      </c>
      <c r="F8" s="8">
        <v>1828.7255569611141</v>
      </c>
      <c r="G8" s="8">
        <v>1732.7358191612232</v>
      </c>
      <c r="H8" s="8">
        <v>2463.7326262114148</v>
      </c>
      <c r="I8" s="8">
        <v>1847.374559257797</v>
      </c>
      <c r="M8" s="12">
        <f t="shared" si="1"/>
        <v>11.746760386327464</v>
      </c>
      <c r="N8" s="12">
        <f t="shared" si="2"/>
        <v>8.4517413678515627</v>
      </c>
      <c r="O8" s="12">
        <f t="shared" si="3"/>
        <v>4.5556000819830178</v>
      </c>
      <c r="P8" s="12">
        <f t="shared" si="4"/>
        <v>1.0094867986151876</v>
      </c>
      <c r="Q8" s="12">
        <f t="shared" si="5"/>
        <v>6.2054952268386359</v>
      </c>
      <c r="R8" s="12">
        <f t="shared" si="6"/>
        <v>33.364001028640686</v>
      </c>
      <c r="S8" s="12">
        <f t="shared" si="7"/>
        <v>0</v>
      </c>
    </row>
    <row r="9" spans="1:19" x14ac:dyDescent="0.3">
      <c r="A9" s="11">
        <f t="shared" si="8"/>
        <v>8</v>
      </c>
      <c r="B9" s="11" t="s">
        <v>18</v>
      </c>
      <c r="C9" s="8">
        <v>2063.0232286487876</v>
      </c>
      <c r="D9" s="8">
        <v>2001.4752382870236</v>
      </c>
      <c r="E9" s="8">
        <v>1761.9374507706609</v>
      </c>
      <c r="F9" s="8">
        <v>1827.3675634381186</v>
      </c>
      <c r="G9" s="8">
        <v>1729.6768095298389</v>
      </c>
      <c r="H9" s="8">
        <v>2462.6941605761831</v>
      </c>
      <c r="I9" s="8">
        <v>1846.0165657348016</v>
      </c>
      <c r="M9" s="12">
        <f t="shared" si="1"/>
        <v>11.755401708846916</v>
      </c>
      <c r="N9" s="12">
        <f t="shared" si="2"/>
        <v>8.4213043066784223</v>
      </c>
      <c r="O9" s="12">
        <f t="shared" si="3"/>
        <v>4.5546240767711215</v>
      </c>
      <c r="P9" s="12">
        <f t="shared" si="4"/>
        <v>1.010229411958705</v>
      </c>
      <c r="Q9" s="12">
        <f t="shared" si="5"/>
        <v>6.3022054278615833</v>
      </c>
      <c r="R9" s="12">
        <f t="shared" si="6"/>
        <v>33.405853787445011</v>
      </c>
      <c r="S9" s="12">
        <f t="shared" si="7"/>
        <v>0</v>
      </c>
    </row>
    <row r="10" spans="1:19" x14ac:dyDescent="0.3">
      <c r="A10" s="11">
        <f t="shared" si="8"/>
        <v>9</v>
      </c>
      <c r="B10" s="11" t="s">
        <v>19</v>
      </c>
      <c r="C10" s="8">
        <v>2062.5298399985645</v>
      </c>
      <c r="D10" s="8">
        <v>2002.5043060432035</v>
      </c>
      <c r="E10" s="8">
        <v>1762.6657863971809</v>
      </c>
      <c r="F10" s="8">
        <v>1826.8741747878953</v>
      </c>
      <c r="G10" s="8">
        <v>1728.3517085835249</v>
      </c>
      <c r="H10" s="8">
        <v>2462.3041485955305</v>
      </c>
      <c r="I10" s="8">
        <v>1845.5231770845783</v>
      </c>
      <c r="M10" s="12">
        <f t="shared" si="1"/>
        <v>11.758544439241202</v>
      </c>
      <c r="N10" s="12">
        <f t="shared" si="2"/>
        <v>8.5060502576083881</v>
      </c>
      <c r="O10" s="12">
        <f t="shared" si="3"/>
        <v>4.489642379798739</v>
      </c>
      <c r="P10" s="12">
        <f t="shared" si="4"/>
        <v>1.0104994902390383</v>
      </c>
      <c r="Q10" s="12">
        <f t="shared" si="5"/>
        <v>6.3489567595760157</v>
      </c>
      <c r="R10" s="12">
        <f t="shared" si="6"/>
        <v>33.420386108902598</v>
      </c>
      <c r="S10" s="12">
        <f t="shared" si="7"/>
        <v>0</v>
      </c>
    </row>
    <row r="11" spans="1:19" x14ac:dyDescent="0.3">
      <c r="A11" s="11">
        <f t="shared" si="8"/>
        <v>10</v>
      </c>
      <c r="B11" s="11" t="s">
        <v>20</v>
      </c>
      <c r="C11" s="8">
        <v>2063.084314862625</v>
      </c>
      <c r="D11" s="8">
        <v>2003.9468804776659</v>
      </c>
      <c r="E11" s="8">
        <v>1763.4505092980123</v>
      </c>
      <c r="F11" s="8">
        <v>1827.4286496519558</v>
      </c>
      <c r="G11" s="8">
        <v>1730.7105762255449</v>
      </c>
      <c r="H11" s="8">
        <v>2462.9526022501095</v>
      </c>
      <c r="I11" s="8">
        <v>1846.0776519486387</v>
      </c>
      <c r="M11" s="12">
        <f t="shared" si="1"/>
        <v>11.75501272576067</v>
      </c>
      <c r="N11" s="12">
        <f t="shared" si="2"/>
        <v>8.5516028192198377</v>
      </c>
      <c r="O11" s="12">
        <f t="shared" si="3"/>
        <v>4.4758216190640097</v>
      </c>
      <c r="P11" s="12">
        <f t="shared" si="4"/>
        <v>1.0101959837387064</v>
      </c>
      <c r="Q11" s="12">
        <f t="shared" si="5"/>
        <v>6.249307855567042</v>
      </c>
      <c r="R11" s="12">
        <f t="shared" si="6"/>
        <v>33.415438925352063</v>
      </c>
      <c r="S11" s="12">
        <f t="shared" si="7"/>
        <v>0</v>
      </c>
    </row>
    <row r="12" spans="1:19" x14ac:dyDescent="0.3">
      <c r="A12" s="11">
        <f t="shared" si="8"/>
        <v>11</v>
      </c>
      <c r="B12" s="11" t="s">
        <v>21</v>
      </c>
      <c r="C12" s="8">
        <v>2064.987385370629</v>
      </c>
      <c r="D12" s="8">
        <v>2007.391203150177</v>
      </c>
      <c r="E12" s="8">
        <v>1761.2514055998743</v>
      </c>
      <c r="F12" s="8">
        <v>1829.3317201599598</v>
      </c>
      <c r="G12" s="8">
        <v>1728.3799022206806</v>
      </c>
      <c r="H12" s="8">
        <v>2465.1845985249292</v>
      </c>
      <c r="I12" s="8">
        <v>1847.9807224566428</v>
      </c>
      <c r="M12" s="12">
        <f t="shared" si="1"/>
        <v>11.742907286689928</v>
      </c>
      <c r="N12" s="12">
        <f t="shared" si="2"/>
        <v>8.626198247437312</v>
      </c>
      <c r="O12" s="12">
        <f t="shared" si="3"/>
        <v>4.6931938089415501</v>
      </c>
      <c r="P12" s="12">
        <f t="shared" si="4"/>
        <v>1.0091556730035374</v>
      </c>
      <c r="Q12" s="12">
        <f t="shared" si="5"/>
        <v>6.4719733697745987</v>
      </c>
      <c r="R12" s="12">
        <f t="shared" si="6"/>
        <v>33.398826544456405</v>
      </c>
      <c r="S12" s="12">
        <f t="shared" si="7"/>
        <v>0</v>
      </c>
    </row>
    <row r="13" spans="1:19" x14ac:dyDescent="0.3">
      <c r="A13" s="11">
        <f t="shared" si="8"/>
        <v>12</v>
      </c>
      <c r="B13" s="11" t="s">
        <v>22</v>
      </c>
      <c r="C13" s="8">
        <v>2060.7442429787088</v>
      </c>
      <c r="D13" s="8">
        <v>2002.9366084795897</v>
      </c>
      <c r="E13" s="8">
        <v>1758.9818178088472</v>
      </c>
      <c r="F13" s="8">
        <v>1825.0885777680396</v>
      </c>
      <c r="G13" s="8">
        <v>1724.4421908979461</v>
      </c>
      <c r="H13" s="8">
        <v>2462.6894616366571</v>
      </c>
      <c r="I13" s="8">
        <v>1843.7375800647226</v>
      </c>
      <c r="M13" s="12">
        <f t="shared" si="1"/>
        <v>11.769932188851325</v>
      </c>
      <c r="N13" s="12">
        <f t="shared" si="2"/>
        <v>8.634581739624716</v>
      </c>
      <c r="O13" s="12">
        <f t="shared" si="3"/>
        <v>4.5969536647888987</v>
      </c>
      <c r="P13" s="12">
        <f t="shared" si="4"/>
        <v>1.0114781245619733</v>
      </c>
      <c r="Q13" s="12">
        <f t="shared" si="5"/>
        <v>6.4703019809678493</v>
      </c>
      <c r="R13" s="12">
        <f t="shared" si="6"/>
        <v>33.570497681682383</v>
      </c>
      <c r="S13" s="12">
        <f t="shared" si="7"/>
        <v>0</v>
      </c>
    </row>
    <row r="14" spans="1:19" x14ac:dyDescent="0.3">
      <c r="A14" s="11">
        <f t="shared" si="8"/>
        <v>13</v>
      </c>
      <c r="B14" s="11" t="s">
        <v>23</v>
      </c>
      <c r="C14" s="8">
        <v>1976.4020714200356</v>
      </c>
      <c r="D14" s="8">
        <v>1977.1946182380434</v>
      </c>
      <c r="E14" s="8">
        <v>1858.7453882738616</v>
      </c>
      <c r="F14" s="8">
        <v>1717.8032258537798</v>
      </c>
      <c r="G14" s="8">
        <v>1681.935314394372</v>
      </c>
      <c r="H14" s="8">
        <v>2340.9616059554896</v>
      </c>
      <c r="I14" s="8">
        <v>1811.536954546091</v>
      </c>
      <c r="M14" s="12">
        <f t="shared" si="1"/>
        <v>9.1008420479754495</v>
      </c>
      <c r="N14" s="12">
        <f t="shared" si="2"/>
        <v>9.1445920148761477</v>
      </c>
      <c r="O14" s="12">
        <f t="shared" si="3"/>
        <v>2.605987893832364</v>
      </c>
      <c r="P14" s="12">
        <f t="shared" si="4"/>
        <v>5.1742653362430362</v>
      </c>
      <c r="Q14" s="12">
        <f t="shared" si="5"/>
        <v>7.1542366180541297</v>
      </c>
      <c r="R14" s="12">
        <f t="shared" si="6"/>
        <v>29.225164304862567</v>
      </c>
      <c r="S14" s="12">
        <f t="shared" si="7"/>
        <v>0</v>
      </c>
    </row>
    <row r="15" spans="1:19" x14ac:dyDescent="0.3">
      <c r="A15" s="11">
        <f t="shared" si="8"/>
        <v>14</v>
      </c>
      <c r="B15" s="11" t="s">
        <v>24</v>
      </c>
      <c r="C15" s="8">
        <v>1970.2605574596373</v>
      </c>
      <c r="D15" s="8">
        <v>1971.6874611136463</v>
      </c>
      <c r="E15" s="8">
        <v>1854.89695680212</v>
      </c>
      <c r="F15" s="8">
        <v>1711.6617118933814</v>
      </c>
      <c r="G15" s="8">
        <v>1679.4824679618334</v>
      </c>
      <c r="H15" s="8">
        <v>2337.4280034319854</v>
      </c>
      <c r="I15" s="8">
        <v>1805.3954405856928</v>
      </c>
      <c r="M15" s="12">
        <f t="shared" si="1"/>
        <v>9.1318008879240473</v>
      </c>
      <c r="N15" s="12">
        <f t="shared" si="2"/>
        <v>9.2108364067877773</v>
      </c>
      <c r="O15" s="12">
        <f t="shared" si="3"/>
        <v>2.7418655826652776</v>
      </c>
      <c r="P15" s="12">
        <f t="shared" si="4"/>
        <v>5.1918669220690505</v>
      </c>
      <c r="Q15" s="12">
        <f t="shared" si="5"/>
        <v>6.974260031531462</v>
      </c>
      <c r="R15" s="12">
        <f t="shared" si="6"/>
        <v>29.469032151410257</v>
      </c>
      <c r="S15" s="12">
        <f t="shared" si="7"/>
        <v>0</v>
      </c>
    </row>
    <row r="16" spans="1:19" x14ac:dyDescent="0.3">
      <c r="A16" s="11">
        <f t="shared" si="8"/>
        <v>15</v>
      </c>
      <c r="B16" s="11" t="s">
        <v>25</v>
      </c>
      <c r="C16" s="8">
        <v>1970.5471927707192</v>
      </c>
      <c r="D16" s="8">
        <v>1970.5503177483699</v>
      </c>
      <c r="E16" s="8">
        <v>1851.4714298877127</v>
      </c>
      <c r="F16" s="8">
        <v>1711.9483472044635</v>
      </c>
      <c r="G16" s="8">
        <v>1675.6669290667735</v>
      </c>
      <c r="H16" s="8">
        <v>2335.1725124595364</v>
      </c>
      <c r="I16" s="8">
        <v>1805.6820758967747</v>
      </c>
      <c r="M16" s="12">
        <f t="shared" si="1"/>
        <v>9.1303512990826956</v>
      </c>
      <c r="N16" s="12">
        <f t="shared" si="2"/>
        <v>9.1305243626409176</v>
      </c>
      <c r="O16" s="12">
        <f t="shared" si="3"/>
        <v>2.5358480655127056</v>
      </c>
      <c r="P16" s="12">
        <f t="shared" si="4"/>
        <v>5.1910427612656678</v>
      </c>
      <c r="Q16" s="12">
        <f t="shared" si="5"/>
        <v>7.2003343537333624</v>
      </c>
      <c r="R16" s="12">
        <f t="shared" si="6"/>
        <v>29.323569394119136</v>
      </c>
      <c r="S16" s="12">
        <f t="shared" si="7"/>
        <v>0</v>
      </c>
    </row>
    <row r="17" spans="1:19" x14ac:dyDescent="0.3">
      <c r="A17" s="11">
        <f t="shared" si="8"/>
        <v>16</v>
      </c>
      <c r="B17" s="11" t="s">
        <v>26</v>
      </c>
      <c r="C17" s="8">
        <v>1967.9768728500324</v>
      </c>
      <c r="D17" s="8">
        <v>1965.6540227623445</v>
      </c>
      <c r="E17" s="8">
        <v>1848.0975913080906</v>
      </c>
      <c r="F17" s="8">
        <v>1709.3780272837766</v>
      </c>
      <c r="G17" s="8">
        <v>1670.9069033270002</v>
      </c>
      <c r="H17" s="8">
        <v>2332.4565254135455</v>
      </c>
      <c r="I17" s="8">
        <v>1803.1117559760878</v>
      </c>
      <c r="M17" s="12">
        <f t="shared" si="1"/>
        <v>9.1433665344108004</v>
      </c>
      <c r="N17" s="12">
        <f t="shared" si="2"/>
        <v>9.0145420131358893</v>
      </c>
      <c r="O17" s="12">
        <f t="shared" si="3"/>
        <v>2.4949000073292957</v>
      </c>
      <c r="P17" s="12">
        <f t="shared" si="4"/>
        <v>5.1984425469828848</v>
      </c>
      <c r="Q17" s="12">
        <f t="shared" si="5"/>
        <v>7.3320387497291</v>
      </c>
      <c r="R17" s="12">
        <f t="shared" si="6"/>
        <v>29.357291231840744</v>
      </c>
      <c r="S17" s="12">
        <f t="shared" si="7"/>
        <v>0</v>
      </c>
    </row>
    <row r="18" spans="1:19" x14ac:dyDescent="0.3">
      <c r="A18" s="11">
        <f t="shared" si="8"/>
        <v>17</v>
      </c>
      <c r="B18" s="11" t="s">
        <v>27</v>
      </c>
      <c r="C18" s="8">
        <v>1968.2353145239588</v>
      </c>
      <c r="D18" s="8">
        <v>1966.3400679331312</v>
      </c>
      <c r="E18" s="8">
        <v>1846.678511571258</v>
      </c>
      <c r="F18" s="8">
        <v>1709.6364689577031</v>
      </c>
      <c r="G18" s="8">
        <v>1672.6549088306485</v>
      </c>
      <c r="H18" s="8">
        <v>2331.8456632751736</v>
      </c>
      <c r="I18" s="8">
        <v>1803.3701976500142</v>
      </c>
      <c r="M18" s="12">
        <f t="shared" si="1"/>
        <v>9.1420561950497774</v>
      </c>
      <c r="N18" s="12">
        <f t="shared" si="2"/>
        <v>9.0369614899638613</v>
      </c>
      <c r="O18" s="12">
        <f t="shared" si="3"/>
        <v>2.4015209953940229</v>
      </c>
      <c r="P18" s="12">
        <f t="shared" si="4"/>
        <v>5.1976975561898664</v>
      </c>
      <c r="Q18" s="12">
        <f t="shared" si="5"/>
        <v>7.2483890989050277</v>
      </c>
      <c r="R18" s="12">
        <f t="shared" si="6"/>
        <v>29.304879625593227</v>
      </c>
      <c r="S18" s="12">
        <f t="shared" si="7"/>
        <v>0</v>
      </c>
    </row>
    <row r="19" spans="1:19" x14ac:dyDescent="0.3">
      <c r="A19" s="11">
        <f t="shared" si="8"/>
        <v>18</v>
      </c>
      <c r="B19" s="11" t="s">
        <v>28</v>
      </c>
      <c r="C19" s="8">
        <v>1972.2904993348416</v>
      </c>
      <c r="D19" s="8">
        <v>1971.499503532609</v>
      </c>
      <c r="E19" s="8">
        <v>1849.6294455935458</v>
      </c>
      <c r="F19" s="8">
        <v>1713.6916537685859</v>
      </c>
      <c r="G19" s="8">
        <v>1677.0249225897689</v>
      </c>
      <c r="H19" s="8">
        <v>2335.8820523279528</v>
      </c>
      <c r="I19" s="8">
        <v>1807.425382460897</v>
      </c>
      <c r="M19" s="12">
        <f t="shared" si="1"/>
        <v>9.1215448490312081</v>
      </c>
      <c r="N19" s="12">
        <f t="shared" si="2"/>
        <v>9.0777811722615667</v>
      </c>
      <c r="O19" s="12">
        <f t="shared" si="3"/>
        <v>2.335037647594941</v>
      </c>
      <c r="P19" s="12">
        <f t="shared" si="4"/>
        <v>5.1860358719035009</v>
      </c>
      <c r="Q19" s="12">
        <f t="shared" si="5"/>
        <v>7.2147077902370471</v>
      </c>
      <c r="R19" s="12">
        <f t="shared" si="6"/>
        <v>29.238090545543656</v>
      </c>
      <c r="S19" s="12">
        <f t="shared" si="7"/>
        <v>0</v>
      </c>
    </row>
    <row r="20" spans="1:19" x14ac:dyDescent="0.3">
      <c r="A20" s="11">
        <f t="shared" si="8"/>
        <v>19</v>
      </c>
      <c r="B20" s="11" t="s">
        <v>29</v>
      </c>
      <c r="C20" s="8">
        <v>1974.0948921128011</v>
      </c>
      <c r="D20" s="8">
        <v>1975.0566007537425</v>
      </c>
      <c r="E20" s="8">
        <v>1854.3001914823262</v>
      </c>
      <c r="F20" s="8">
        <v>1715.4960465465451</v>
      </c>
      <c r="G20" s="8">
        <v>1678.8997994606175</v>
      </c>
      <c r="H20" s="8">
        <v>2337.3340246414668</v>
      </c>
      <c r="I20" s="8">
        <v>1809.2297752388565</v>
      </c>
      <c r="M20" s="12">
        <f t="shared" si="1"/>
        <v>9.1124476907406002</v>
      </c>
      <c r="N20" s="12">
        <f t="shared" si="2"/>
        <v>9.1656033846222389</v>
      </c>
      <c r="O20" s="12">
        <f t="shared" si="3"/>
        <v>2.4911383208647151</v>
      </c>
      <c r="P20" s="12">
        <f t="shared" si="4"/>
        <v>5.1808637009600709</v>
      </c>
      <c r="Q20" s="12">
        <f t="shared" si="5"/>
        <v>7.2036165644594652</v>
      </c>
      <c r="R20" s="12">
        <f t="shared" si="6"/>
        <v>29.189451590408932</v>
      </c>
      <c r="S20" s="12">
        <f t="shared" si="7"/>
        <v>0</v>
      </c>
    </row>
    <row r="21" spans="1:19" x14ac:dyDescent="0.3">
      <c r="A21" s="11">
        <f t="shared" si="8"/>
        <v>20</v>
      </c>
      <c r="B21" s="11" t="s">
        <v>30</v>
      </c>
      <c r="C21" s="8">
        <v>1976.359780964302</v>
      </c>
      <c r="D21" s="8">
        <v>1976.6260465554051</v>
      </c>
      <c r="E21" s="8">
        <v>1855.3856465128174</v>
      </c>
      <c r="F21" s="8">
        <v>1717.7609353980463</v>
      </c>
      <c r="G21" s="8">
        <v>1679.6469308452413</v>
      </c>
      <c r="H21" s="8">
        <v>2339.5519240977087</v>
      </c>
      <c r="I21" s="8">
        <v>1811.4946640903577</v>
      </c>
      <c r="M21" s="12">
        <f t="shared" si="1"/>
        <v>9.1010545127236888</v>
      </c>
      <c r="N21" s="12">
        <f t="shared" si="2"/>
        <v>9.1157531809771104</v>
      </c>
      <c r="O21" s="12">
        <f t="shared" si="3"/>
        <v>2.4229153578268803</v>
      </c>
      <c r="P21" s="12">
        <f t="shared" si="4"/>
        <v>5.1743861326458722</v>
      </c>
      <c r="Q21" s="12">
        <f t="shared" si="5"/>
        <v>7.2783947896045138</v>
      </c>
      <c r="R21" s="12">
        <f t="shared" si="6"/>
        <v>29.150362431374592</v>
      </c>
      <c r="S21" s="12">
        <f t="shared" si="7"/>
        <v>0</v>
      </c>
    </row>
    <row r="22" spans="1:19" x14ac:dyDescent="0.3">
      <c r="A22" s="11">
        <f t="shared" si="8"/>
        <v>21</v>
      </c>
      <c r="B22" s="11" t="s">
        <v>31</v>
      </c>
      <c r="C22" s="8">
        <v>1980.4901488075998</v>
      </c>
      <c r="D22" s="8">
        <v>1981.5270404809562</v>
      </c>
      <c r="E22" s="8">
        <v>1859.3609493517592</v>
      </c>
      <c r="F22" s="8">
        <v>1721.8913032413441</v>
      </c>
      <c r="G22" s="8">
        <v>1682.3441221331284</v>
      </c>
      <c r="H22" s="8">
        <v>2343.5601195133322</v>
      </c>
      <c r="I22" s="8">
        <v>1815.6250319336552</v>
      </c>
      <c r="M22" s="12">
        <f t="shared" si="1"/>
        <v>9.080350511490904</v>
      </c>
      <c r="N22" s="12">
        <f t="shared" si="2"/>
        <v>9.1374598625473897</v>
      </c>
      <c r="O22" s="12">
        <f t="shared" si="3"/>
        <v>2.4088628791113829</v>
      </c>
      <c r="P22" s="12">
        <f t="shared" si="4"/>
        <v>5.1626149146271683</v>
      </c>
      <c r="Q22" s="12">
        <f t="shared" si="5"/>
        <v>7.3407728719504153</v>
      </c>
      <c r="R22" s="12">
        <f t="shared" si="6"/>
        <v>29.077319286428978</v>
      </c>
      <c r="S22" s="12">
        <f t="shared" si="7"/>
        <v>0</v>
      </c>
    </row>
    <row r="23" spans="1:19" x14ac:dyDescent="0.3">
      <c r="A23" s="11">
        <f t="shared" si="8"/>
        <v>22</v>
      </c>
      <c r="B23" s="11" t="s">
        <v>32</v>
      </c>
      <c r="C23" s="8">
        <v>1975.9227795883901</v>
      </c>
      <c r="D23" s="8">
        <v>1977.1476288427839</v>
      </c>
      <c r="E23" s="8">
        <v>1856.9081029192207</v>
      </c>
      <c r="F23" s="8">
        <v>1717.3239340221344</v>
      </c>
      <c r="G23" s="8">
        <v>1679.806694789123</v>
      </c>
      <c r="H23" s="8">
        <v>2340.980401713593</v>
      </c>
      <c r="I23" s="8">
        <v>1811.0576627144455</v>
      </c>
      <c r="M23" s="12">
        <f t="shared" si="1"/>
        <v>9.1032505628143152</v>
      </c>
      <c r="N23" s="12">
        <f t="shared" si="2"/>
        <v>9.1708822721524914</v>
      </c>
      <c r="O23" s="12">
        <f t="shared" si="3"/>
        <v>2.5316941116084459</v>
      </c>
      <c r="P23" s="12">
        <f t="shared" si="4"/>
        <v>5.175634692482479</v>
      </c>
      <c r="Q23" s="12">
        <f t="shared" si="5"/>
        <v>7.2471998339689137</v>
      </c>
      <c r="R23" s="12">
        <f t="shared" si="6"/>
        <v>29.260401251105929</v>
      </c>
      <c r="S23" s="12">
        <f t="shared" si="7"/>
        <v>0</v>
      </c>
    </row>
    <row r="24" spans="1:19" x14ac:dyDescent="0.3">
      <c r="A24" s="11">
        <f t="shared" si="8"/>
        <v>23</v>
      </c>
      <c r="B24" s="11" t="s">
        <v>33</v>
      </c>
      <c r="C24" s="8">
        <v>1978.1970663189431</v>
      </c>
      <c r="D24" s="8">
        <v>1978.2142881151715</v>
      </c>
      <c r="E24" s="8">
        <v>1859.3609493517592</v>
      </c>
      <c r="F24" s="8">
        <v>1719.5982207526872</v>
      </c>
      <c r="G24" s="8">
        <v>1682.3488210726543</v>
      </c>
      <c r="H24" s="8">
        <v>2342.831783886812</v>
      </c>
      <c r="I24" s="8">
        <v>1813.3319494449986</v>
      </c>
      <c r="M24" s="12">
        <f t="shared" si="1"/>
        <v>9.091833236843609</v>
      </c>
      <c r="N24" s="12">
        <f t="shared" si="2"/>
        <v>9.0927829689780726</v>
      </c>
      <c r="O24" s="12">
        <f t="shared" si="3"/>
        <v>2.5383659026604928</v>
      </c>
      <c r="P24" s="12">
        <f t="shared" si="4"/>
        <v>5.1691433948980059</v>
      </c>
      <c r="Q24" s="12">
        <f t="shared" si="5"/>
        <v>7.2233397979026339</v>
      </c>
      <c r="R24" s="12">
        <f t="shared" si="6"/>
        <v>29.200380801974834</v>
      </c>
      <c r="S24" s="12">
        <f t="shared" si="7"/>
        <v>0</v>
      </c>
    </row>
    <row r="25" spans="1:19" x14ac:dyDescent="0.3">
      <c r="A25" s="11">
        <f t="shared" si="8"/>
        <v>24</v>
      </c>
      <c r="B25" s="11" t="s">
        <v>34</v>
      </c>
      <c r="C25" s="8">
        <v>1980.4290625937626</v>
      </c>
      <c r="D25" s="8">
        <v>1982.1050100426464</v>
      </c>
      <c r="E25" s="8">
        <v>1861.8560862400311</v>
      </c>
      <c r="F25" s="8">
        <v>1721.8302170275069</v>
      </c>
      <c r="G25" s="8">
        <v>1682.3535200121803</v>
      </c>
      <c r="H25" s="8">
        <v>2346.2291171640636</v>
      </c>
      <c r="I25" s="8">
        <v>1815.5639457198181</v>
      </c>
      <c r="M25" s="12">
        <f t="shared" si="1"/>
        <v>9.0806560277104609</v>
      </c>
      <c r="N25" s="12">
        <f t="shared" si="2"/>
        <v>9.1729660481222908</v>
      </c>
      <c r="O25" s="12">
        <f t="shared" si="3"/>
        <v>2.5497389188272046</v>
      </c>
      <c r="P25" s="12">
        <f t="shared" si="4"/>
        <v>5.1627886152557672</v>
      </c>
      <c r="Q25" s="12">
        <f t="shared" si="5"/>
        <v>7.3371376437431817</v>
      </c>
      <c r="R25" s="12">
        <f t="shared" si="6"/>
        <v>29.228668739279918</v>
      </c>
      <c r="S25" s="12">
        <f t="shared" si="7"/>
        <v>0</v>
      </c>
    </row>
    <row r="26" spans="1:19" x14ac:dyDescent="0.3">
      <c r="A26" s="11">
        <f t="shared" si="8"/>
        <v>25</v>
      </c>
      <c r="B26" s="11" t="s">
        <v>35</v>
      </c>
      <c r="C26" s="8">
        <v>1896.5915085826573</v>
      </c>
      <c r="D26" s="8">
        <v>1768.3746978622817</v>
      </c>
      <c r="E26" s="8">
        <v>1743.3705580091432</v>
      </c>
      <c r="F26" s="8">
        <v>1728.2540168123794</v>
      </c>
      <c r="G26" s="8">
        <v>1703.3406699833536</v>
      </c>
      <c r="H26" s="8">
        <v>2097.1151613043926</v>
      </c>
      <c r="I26" s="8">
        <v>1710.3768304956945</v>
      </c>
      <c r="M26" s="12">
        <f t="shared" si="1"/>
        <v>10.887348025697632</v>
      </c>
      <c r="N26" s="12">
        <f t="shared" si="2"/>
        <v>3.3909408928194149</v>
      </c>
      <c r="O26" s="12">
        <f t="shared" si="3"/>
        <v>1.9290326508858615</v>
      </c>
      <c r="P26" s="12">
        <f t="shared" si="4"/>
        <v>1.0452191586051689</v>
      </c>
      <c r="Q26" s="12">
        <f t="shared" si="5"/>
        <v>0.4113807195518307</v>
      </c>
      <c r="R26" s="12">
        <f t="shared" si="6"/>
        <v>22.611293833804748</v>
      </c>
      <c r="S26" s="12">
        <f t="shared" si="7"/>
        <v>0</v>
      </c>
    </row>
    <row r="27" spans="1:19" x14ac:dyDescent="0.3">
      <c r="A27" s="11">
        <f t="shared" si="8"/>
        <v>26</v>
      </c>
      <c r="B27" s="11" t="s">
        <v>36</v>
      </c>
      <c r="C27" s="8">
        <v>1894.6743412560754</v>
      </c>
      <c r="D27" s="8">
        <v>1763.4596071181527</v>
      </c>
      <c r="E27" s="8">
        <v>1741.4298959849318</v>
      </c>
      <c r="F27" s="8">
        <v>1726.3368494857975</v>
      </c>
      <c r="G27" s="8">
        <v>1688.5108168394997</v>
      </c>
      <c r="H27" s="8">
        <v>2095.0523268525067</v>
      </c>
      <c r="I27" s="8">
        <v>1708.4596631691127</v>
      </c>
      <c r="M27" s="12">
        <f t="shared" si="1"/>
        <v>10.899565386375189</v>
      </c>
      <c r="N27" s="12">
        <f t="shared" si="2"/>
        <v>3.2192708516756956</v>
      </c>
      <c r="O27" s="12">
        <f t="shared" si="3"/>
        <v>1.9298221390056647</v>
      </c>
      <c r="P27" s="12">
        <f t="shared" si="4"/>
        <v>1.0463920631010692</v>
      </c>
      <c r="Q27" s="12">
        <f t="shared" si="5"/>
        <v>1.1676509992989099</v>
      </c>
      <c r="R27" s="12">
        <f t="shared" si="6"/>
        <v>22.628141127211791</v>
      </c>
      <c r="S27" s="12">
        <f t="shared" si="7"/>
        <v>0</v>
      </c>
    </row>
    <row r="28" spans="1:19" x14ac:dyDescent="0.3">
      <c r="A28" s="11">
        <f t="shared" si="8"/>
        <v>27</v>
      </c>
      <c r="B28" s="11" t="s">
        <v>37</v>
      </c>
      <c r="C28" s="8">
        <v>1893.9554035086071</v>
      </c>
      <c r="D28" s="8">
        <v>1764.032877740317</v>
      </c>
      <c r="E28" s="8">
        <v>1743.2342887628911</v>
      </c>
      <c r="F28" s="8">
        <v>1725.6179117383292</v>
      </c>
      <c r="G28" s="8">
        <v>1696.4708203964351</v>
      </c>
      <c r="H28" s="8">
        <v>2094.8925629086252</v>
      </c>
      <c r="I28" s="8">
        <v>1707.7407254216444</v>
      </c>
      <c r="M28" s="12">
        <f t="shared" si="1"/>
        <v>10.904153968746396</v>
      </c>
      <c r="N28" s="12">
        <f t="shared" si="2"/>
        <v>3.2962938390295728</v>
      </c>
      <c r="O28" s="12">
        <f t="shared" si="3"/>
        <v>2.078392979266996</v>
      </c>
      <c r="P28" s="12">
        <f t="shared" si="4"/>
        <v>1.0468325812321977</v>
      </c>
      <c r="Q28" s="12">
        <f t="shared" si="5"/>
        <v>0.65993068253535347</v>
      </c>
      <c r="R28" s="12">
        <f t="shared" si="6"/>
        <v>22.670410778626383</v>
      </c>
      <c r="S28" s="12">
        <f t="shared" si="7"/>
        <v>0</v>
      </c>
    </row>
    <row r="29" spans="1:19" x14ac:dyDescent="0.3">
      <c r="A29" s="11">
        <f t="shared" si="8"/>
        <v>28</v>
      </c>
      <c r="B29" s="11" t="s">
        <v>38</v>
      </c>
      <c r="C29" s="8">
        <v>1897.0003163214137</v>
      </c>
      <c r="D29" s="8">
        <v>1770.1039076078262</v>
      </c>
      <c r="E29" s="8">
        <v>1747.3035703923517</v>
      </c>
      <c r="F29" s="8">
        <v>1728.6628245511358</v>
      </c>
      <c r="G29" s="8">
        <v>1705.6713439882178</v>
      </c>
      <c r="H29" s="8">
        <v>2097.2326347925409</v>
      </c>
      <c r="I29" s="8">
        <v>1710.785638234451</v>
      </c>
      <c r="M29" s="12">
        <f t="shared" si="1"/>
        <v>10.884746395178899</v>
      </c>
      <c r="N29" s="12">
        <f t="shared" si="2"/>
        <v>3.4673116285095937</v>
      </c>
      <c r="O29" s="12">
        <f t="shared" si="3"/>
        <v>2.1345708861332069</v>
      </c>
      <c r="P29" s="12">
        <f t="shared" si="4"/>
        <v>1.044969394010947</v>
      </c>
      <c r="Q29" s="12">
        <f t="shared" si="5"/>
        <v>0.29894418867761618</v>
      </c>
      <c r="R29" s="12">
        <f t="shared" si="6"/>
        <v>22.588861393348346</v>
      </c>
      <c r="S29" s="12">
        <f t="shared" si="7"/>
        <v>0</v>
      </c>
    </row>
    <row r="30" spans="1:19" x14ac:dyDescent="0.3">
      <c r="A30" s="11">
        <f t="shared" si="8"/>
        <v>29</v>
      </c>
      <c r="B30" s="11" t="s">
        <v>39</v>
      </c>
      <c r="C30" s="8">
        <v>1896.8452513170578</v>
      </c>
      <c r="D30" s="8">
        <v>1766.3964443218626</v>
      </c>
      <c r="E30" s="8">
        <v>1747.7123781311082</v>
      </c>
      <c r="F30" s="8">
        <v>1728.5077595467799</v>
      </c>
      <c r="G30" s="8">
        <v>1706.6675191677164</v>
      </c>
      <c r="H30" s="8">
        <v>2098.2898961858768</v>
      </c>
      <c r="I30" s="8">
        <v>1710.630573230095</v>
      </c>
      <c r="M30" s="12">
        <f t="shared" si="1"/>
        <v>10.88573307416944</v>
      </c>
      <c r="N30" s="12">
        <f t="shared" si="2"/>
        <v>3.2599599214731572</v>
      </c>
      <c r="O30" s="12">
        <f t="shared" si="3"/>
        <v>2.1677272393766165</v>
      </c>
      <c r="P30" s="12">
        <f t="shared" si="4"/>
        <v>1.0450641182525044</v>
      </c>
      <c r="Q30" s="12">
        <f t="shared" si="5"/>
        <v>0.23167211696067316</v>
      </c>
      <c r="R30" s="12">
        <f t="shared" si="6"/>
        <v>22.661779172097035</v>
      </c>
      <c r="S30" s="12">
        <f t="shared" si="7"/>
        <v>0</v>
      </c>
    </row>
    <row r="31" spans="1:19" x14ac:dyDescent="0.3">
      <c r="A31" s="11">
        <f t="shared" si="8"/>
        <v>30</v>
      </c>
      <c r="B31" s="11" t="s">
        <v>40</v>
      </c>
      <c r="C31" s="8">
        <v>1906.6190455310045</v>
      </c>
      <c r="D31" s="8">
        <v>1774.9955036543256</v>
      </c>
      <c r="E31" s="8">
        <v>1754.7325937828564</v>
      </c>
      <c r="F31" s="8">
        <v>1738.2815537607266</v>
      </c>
      <c r="G31" s="8">
        <v>1714.246908623051</v>
      </c>
      <c r="H31" s="8">
        <v>2107.8710338792603</v>
      </c>
      <c r="I31" s="8">
        <v>1720.4043674440418</v>
      </c>
      <c r="M31" s="12">
        <f t="shared" si="1"/>
        <v>10.8238901046047</v>
      </c>
      <c r="N31" s="12">
        <f t="shared" si="2"/>
        <v>3.1731572671713448</v>
      </c>
      <c r="O31" s="12">
        <f t="shared" si="3"/>
        <v>1.9953580093391137</v>
      </c>
      <c r="P31" s="12">
        <f t="shared" si="4"/>
        <v>1.0391270014760836</v>
      </c>
      <c r="Q31" s="12">
        <f t="shared" si="5"/>
        <v>0.35790764877787068</v>
      </c>
      <c r="R31" s="12">
        <f t="shared" si="6"/>
        <v>22.521836945279745</v>
      </c>
      <c r="S31" s="12">
        <f t="shared" si="7"/>
        <v>0</v>
      </c>
    </row>
    <row r="32" spans="1:19" x14ac:dyDescent="0.3">
      <c r="A32" s="11">
        <f t="shared" si="8"/>
        <v>31</v>
      </c>
      <c r="B32" s="11" t="s">
        <v>41</v>
      </c>
      <c r="C32" s="8">
        <v>1909.9834862315747</v>
      </c>
      <c r="D32" s="8">
        <v>1777.2274999291451</v>
      </c>
      <c r="E32" s="8">
        <v>1763.1155018971263</v>
      </c>
      <c r="F32" s="8">
        <v>1741.6459944612968</v>
      </c>
      <c r="G32" s="8">
        <v>1718.5041478335488</v>
      </c>
      <c r="H32" s="8">
        <v>2110.7232901715033</v>
      </c>
      <c r="I32" s="8">
        <v>1723.768808144612</v>
      </c>
      <c r="M32" s="12">
        <f t="shared" si="1"/>
        <v>10.802764106597099</v>
      </c>
      <c r="N32" s="12">
        <f t="shared" si="2"/>
        <v>3.1012680779433346</v>
      </c>
      <c r="O32" s="12">
        <f t="shared" si="3"/>
        <v>2.2825969217336817</v>
      </c>
      <c r="P32" s="12">
        <f t="shared" si="4"/>
        <v>1.0370988401818839</v>
      </c>
      <c r="Q32" s="12">
        <f t="shared" si="5"/>
        <v>0.30541568487538645</v>
      </c>
      <c r="R32" s="12">
        <f t="shared" si="6"/>
        <v>22.448165914046907</v>
      </c>
      <c r="S32" s="12">
        <f t="shared" si="7"/>
        <v>0</v>
      </c>
    </row>
    <row r="33" spans="1:19" x14ac:dyDescent="0.3">
      <c r="A33" s="11">
        <f t="shared" si="8"/>
        <v>32</v>
      </c>
      <c r="B33" s="11" t="s">
        <v>42</v>
      </c>
      <c r="C33" s="8">
        <v>1910.6977250395171</v>
      </c>
      <c r="D33" s="8">
        <v>1776.7998964322849</v>
      </c>
      <c r="E33" s="8">
        <v>1767.7862477859067</v>
      </c>
      <c r="F33" s="8">
        <v>1742.3602332692392</v>
      </c>
      <c r="G33" s="8">
        <v>1724.946393923607</v>
      </c>
      <c r="H33" s="8">
        <v>2112.6404574980852</v>
      </c>
      <c r="I33" s="8">
        <v>1724.4830469525543</v>
      </c>
      <c r="M33" s="12">
        <f t="shared" si="1"/>
        <v>10.79828986524598</v>
      </c>
      <c r="N33" s="12">
        <f t="shared" si="2"/>
        <v>3.0337700084777888</v>
      </c>
      <c r="O33" s="12">
        <f t="shared" si="3"/>
        <v>2.5110830117974317</v>
      </c>
      <c r="P33" s="12">
        <f t="shared" si="4"/>
        <v>1.0366692991431137</v>
      </c>
      <c r="Q33" s="12">
        <f t="shared" si="5"/>
        <v>2.6868746078514694E-2</v>
      </c>
      <c r="R33" s="12">
        <f t="shared" si="6"/>
        <v>22.508624322603168</v>
      </c>
      <c r="S33" s="12">
        <f t="shared" si="7"/>
        <v>0</v>
      </c>
    </row>
    <row r="34" spans="1:19" x14ac:dyDescent="0.3">
      <c r="A34" s="11">
        <f t="shared" si="8"/>
        <v>33</v>
      </c>
      <c r="B34" s="11" t="s">
        <v>43</v>
      </c>
      <c r="C34" s="8">
        <v>1932.0919967011034</v>
      </c>
      <c r="D34" s="8">
        <v>1804.0067562874542</v>
      </c>
      <c r="E34" s="8">
        <v>1789.4436600609456</v>
      </c>
      <c r="F34" s="8">
        <v>1763.7545049308255</v>
      </c>
      <c r="G34" s="8">
        <v>1748.5914576181169</v>
      </c>
      <c r="H34" s="8">
        <v>2136.0082837605646</v>
      </c>
      <c r="I34" s="8">
        <v>1745.8773186141407</v>
      </c>
      <c r="M34" s="12">
        <f t="shared" si="1"/>
        <v>10.665965821400214</v>
      </c>
      <c r="N34" s="12">
        <f t="shared" si="2"/>
        <v>3.329525909612943</v>
      </c>
      <c r="O34" s="12">
        <f t="shared" si="3"/>
        <v>2.4953838956672763</v>
      </c>
      <c r="P34" s="12">
        <f t="shared" si="4"/>
        <v>1.0239657807614788</v>
      </c>
      <c r="Q34" s="12">
        <f t="shared" si="5"/>
        <v>0.15545989257313325</v>
      </c>
      <c r="R34" s="12">
        <f t="shared" si="6"/>
        <v>22.345840740751811</v>
      </c>
      <c r="S34" s="12">
        <f t="shared" si="7"/>
        <v>0</v>
      </c>
    </row>
    <row r="35" spans="1:19" x14ac:dyDescent="0.3">
      <c r="A35" s="11">
        <f t="shared" si="8"/>
        <v>34</v>
      </c>
      <c r="B35" s="11" t="s">
        <v>44</v>
      </c>
      <c r="C35" s="8">
        <v>1937.3548089701517</v>
      </c>
      <c r="D35" s="8">
        <v>1821.5056070820397</v>
      </c>
      <c r="E35" s="8">
        <v>1817.1251128082342</v>
      </c>
      <c r="F35" s="8">
        <v>1769.0173171998738</v>
      </c>
      <c r="G35" s="8">
        <v>1768.9237689468418</v>
      </c>
      <c r="H35" s="8">
        <v>2148.8927759406811</v>
      </c>
      <c r="I35" s="8">
        <v>1751.1401308831892</v>
      </c>
      <c r="M35" s="12">
        <f t="shared" si="1"/>
        <v>10.633910719243524</v>
      </c>
      <c r="N35" s="12">
        <f t="shared" si="2"/>
        <v>4.018266440125589</v>
      </c>
      <c r="O35" s="12">
        <f t="shared" si="3"/>
        <v>3.7681154558296535</v>
      </c>
      <c r="P35" s="12">
        <f t="shared" si="4"/>
        <v>1.0208883915913829</v>
      </c>
      <c r="Q35" s="12">
        <f t="shared" si="5"/>
        <v>1.0155462575507017</v>
      </c>
      <c r="R35" s="12">
        <f t="shared" si="6"/>
        <v>22.713924376622273</v>
      </c>
      <c r="S35" s="12">
        <f t="shared" si="7"/>
        <v>0</v>
      </c>
    </row>
    <row r="36" spans="1:19" x14ac:dyDescent="0.3">
      <c r="A36" s="11">
        <f t="shared" si="8"/>
        <v>35</v>
      </c>
      <c r="B36" s="11" t="s">
        <v>45</v>
      </c>
      <c r="C36" s="8">
        <v>1954.6046159698626</v>
      </c>
      <c r="D36" s="8">
        <v>1842.5098667629736</v>
      </c>
      <c r="E36" s="8">
        <v>1821.0534262519168</v>
      </c>
      <c r="F36" s="8">
        <v>1786.2671241995847</v>
      </c>
      <c r="G36" s="8">
        <v>1766.12789992891</v>
      </c>
      <c r="H36" s="8">
        <v>2159.4606909345111</v>
      </c>
      <c r="I36" s="8">
        <v>1768.3899378829001</v>
      </c>
      <c r="M36" s="12">
        <f t="shared" si="1"/>
        <v>10.530181952397728</v>
      </c>
      <c r="N36" s="12">
        <f t="shared" si="2"/>
        <v>4.191379247996017</v>
      </c>
      <c r="O36" s="12">
        <f t="shared" si="3"/>
        <v>2.9780472757080343</v>
      </c>
      <c r="P36" s="12">
        <f t="shared" si="4"/>
        <v>1.0109301084401685</v>
      </c>
      <c r="Q36" s="12">
        <f t="shared" si="5"/>
        <v>0.1279151111150402</v>
      </c>
      <c r="R36" s="12">
        <f t="shared" si="6"/>
        <v>22.114509061264922</v>
      </c>
      <c r="S36" s="12">
        <f t="shared" si="7"/>
        <v>0</v>
      </c>
    </row>
    <row r="37" spans="1:19" x14ac:dyDescent="0.3">
      <c r="A37" s="11">
        <f t="shared" si="8"/>
        <v>36</v>
      </c>
      <c r="B37" s="11" t="s">
        <v>46</v>
      </c>
      <c r="C37" s="8">
        <v>1975.6135745903225</v>
      </c>
      <c r="D37" s="8">
        <v>1869.4206934280087</v>
      </c>
      <c r="E37" s="8">
        <v>1846.874098946935</v>
      </c>
      <c r="F37" s="8">
        <v>1807.2760828200446</v>
      </c>
      <c r="G37" s="8">
        <v>1787.3906012837701</v>
      </c>
      <c r="H37" s="8">
        <v>2183.6602294930813</v>
      </c>
      <c r="I37" s="8">
        <v>1789.3988965033598</v>
      </c>
      <c r="M37" s="12">
        <f t="shared" si="1"/>
        <v>10.406549285955318</v>
      </c>
      <c r="N37" s="12">
        <f t="shared" si="2"/>
        <v>4.4719931973255616</v>
      </c>
      <c r="O37" s="12">
        <f t="shared" si="3"/>
        <v>3.2119837871749399</v>
      </c>
      <c r="P37" s="12">
        <f t="shared" si="4"/>
        <v>0.99906098923042952</v>
      </c>
      <c r="Q37" s="12">
        <f t="shared" si="5"/>
        <v>0.11223295283762662</v>
      </c>
      <c r="R37" s="12">
        <f t="shared" si="6"/>
        <v>22.033171796413995</v>
      </c>
      <c r="S37" s="12">
        <f t="shared" si="7"/>
        <v>0</v>
      </c>
    </row>
    <row r="38" spans="1:19" x14ac:dyDescent="0.3">
      <c r="A38" s="11">
        <f t="shared" si="8"/>
        <v>37</v>
      </c>
      <c r="B38" s="11" t="s">
        <v>47</v>
      </c>
      <c r="C38" s="8">
        <v>2240.1268000699956</v>
      </c>
      <c r="D38" s="8">
        <v>2104.761933248592</v>
      </c>
      <c r="E38" s="8">
        <v>2078.8352309571164</v>
      </c>
      <c r="F38" s="8">
        <v>2163.8299536019031</v>
      </c>
      <c r="G38" s="8">
        <v>2022.2394004231869</v>
      </c>
      <c r="H38" s="8">
        <v>2479.6746584454854</v>
      </c>
      <c r="I38" s="8">
        <v>2025.1443714709585</v>
      </c>
      <c r="K38" s="31"/>
      <c r="L38" s="31"/>
      <c r="M38" s="12">
        <f t="shared" si="1"/>
        <v>10.615659388416104</v>
      </c>
      <c r="N38" s="12">
        <f t="shared" si="2"/>
        <v>3.9314511547541389</v>
      </c>
      <c r="O38" s="12">
        <f t="shared" si="3"/>
        <v>2.6512114515154153</v>
      </c>
      <c r="P38" s="12">
        <f t="shared" si="4"/>
        <v>6.8481824844028596</v>
      </c>
      <c r="Q38" s="12">
        <f t="shared" si="5"/>
        <v>0.1434451335270274</v>
      </c>
      <c r="R38" s="12">
        <f t="shared" si="6"/>
        <v>22.444339938311657</v>
      </c>
      <c r="S38" s="12">
        <f t="shared" si="7"/>
        <v>0</v>
      </c>
    </row>
    <row r="39" spans="1:19" x14ac:dyDescent="0.3">
      <c r="A39" s="11">
        <f t="shared" si="8"/>
        <v>38</v>
      </c>
      <c r="B39" s="11" t="s">
        <v>48</v>
      </c>
      <c r="C39" s="8">
        <v>2221.7586454631119</v>
      </c>
      <c r="D39" s="8">
        <v>2092.5681851787881</v>
      </c>
      <c r="E39" s="8">
        <v>2072.8487820010741</v>
      </c>
      <c r="F39" s="8">
        <v>2145.4617989950193</v>
      </c>
      <c r="G39" s="8">
        <v>2021.5392584338226</v>
      </c>
      <c r="H39" s="8">
        <v>2469.8303801386496</v>
      </c>
      <c r="I39" s="8">
        <v>2006.7762168640747</v>
      </c>
      <c r="M39" s="12">
        <f t="shared" si="1"/>
        <v>10.712825216504873</v>
      </c>
      <c r="N39" s="12">
        <f t="shared" si="2"/>
        <v>4.2751138663970085</v>
      </c>
      <c r="O39" s="12">
        <f t="shared" si="3"/>
        <v>3.2924730013119698</v>
      </c>
      <c r="P39" s="12">
        <f t="shared" si="4"/>
        <v>6.9108643487744787</v>
      </c>
      <c r="Q39" s="12">
        <f t="shared" si="5"/>
        <v>0.73565958404757348</v>
      </c>
      <c r="R39" s="12">
        <f t="shared" si="6"/>
        <v>23.074529156926868</v>
      </c>
      <c r="S39" s="12">
        <f t="shared" si="7"/>
        <v>0</v>
      </c>
    </row>
    <row r="40" spans="1:19" x14ac:dyDescent="0.3">
      <c r="A40" s="11">
        <f t="shared" si="8"/>
        <v>39</v>
      </c>
      <c r="B40" s="11" t="s">
        <v>49</v>
      </c>
      <c r="C40" s="8">
        <v>2279.5462037530724</v>
      </c>
      <c r="D40" s="8">
        <v>2144.0403687458906</v>
      </c>
      <c r="E40" s="8">
        <v>2118.0713759986816</v>
      </c>
      <c r="F40" s="8">
        <v>2203.2493572849799</v>
      </c>
      <c r="G40" s="8">
        <v>2060.4840692247799</v>
      </c>
      <c r="H40" s="8">
        <v>2513.4083453021799</v>
      </c>
      <c r="I40" s="8">
        <v>2064.5637751540353</v>
      </c>
      <c r="M40" s="12">
        <f t="shared" si="1"/>
        <v>10.412971068573432</v>
      </c>
      <c r="N40" s="12">
        <f t="shared" si="2"/>
        <v>3.849558659718598</v>
      </c>
      <c r="O40" s="12">
        <f t="shared" si="3"/>
        <v>2.5917146027932279</v>
      </c>
      <c r="P40" s="12">
        <f t="shared" si="4"/>
        <v>6.7174278557027067</v>
      </c>
      <c r="Q40" s="12">
        <f t="shared" si="5"/>
        <v>0.19760619547589484</v>
      </c>
      <c r="R40" s="12">
        <f t="shared" si="6"/>
        <v>21.740407128603074</v>
      </c>
      <c r="S40" s="12">
        <f t="shared" si="7"/>
        <v>0</v>
      </c>
    </row>
    <row r="41" spans="1:19" x14ac:dyDescent="0.3">
      <c r="A41" s="11">
        <f t="shared" si="8"/>
        <v>40</v>
      </c>
      <c r="B41" s="11" t="s">
        <v>50</v>
      </c>
      <c r="C41" s="8">
        <v>2239.2480983786454</v>
      </c>
      <c r="D41" s="8">
        <v>2114.7894701969394</v>
      </c>
      <c r="E41" s="8">
        <v>2088.8392732078341</v>
      </c>
      <c r="F41" s="8">
        <v>2162.9512519105529</v>
      </c>
      <c r="G41" s="8">
        <v>2017.4088905905248</v>
      </c>
      <c r="H41" s="8">
        <v>2482.5269147377285</v>
      </c>
      <c r="I41" s="8">
        <v>2024.2656697796083</v>
      </c>
      <c r="M41" s="12">
        <f t="shared" si="1"/>
        <v>10.620267478153858</v>
      </c>
      <c r="N41" s="12">
        <f t="shared" si="2"/>
        <v>4.4719327985830493</v>
      </c>
      <c r="O41" s="12">
        <f t="shared" si="3"/>
        <v>3.1899767106783119</v>
      </c>
      <c r="P41" s="12">
        <f t="shared" si="4"/>
        <v>6.8511551720404338</v>
      </c>
      <c r="Q41" s="12">
        <f t="shared" si="5"/>
        <v>0.3387292138304151</v>
      </c>
      <c r="R41" s="12">
        <f t="shared" si="6"/>
        <v>22.638394347122102</v>
      </c>
      <c r="S41" s="12">
        <f t="shared" si="7"/>
        <v>0</v>
      </c>
    </row>
    <row r="42" spans="1:19" x14ac:dyDescent="0.3">
      <c r="A42" s="11">
        <f t="shared" si="8"/>
        <v>41</v>
      </c>
      <c r="B42" s="11" t="s">
        <v>51</v>
      </c>
      <c r="C42" s="8">
        <v>2244.6565777729979</v>
      </c>
      <c r="D42" s="8">
        <v>2098.1270306379702</v>
      </c>
      <c r="E42" s="8">
        <v>2081.4478413335369</v>
      </c>
      <c r="F42" s="8">
        <v>2168.3597313049049</v>
      </c>
      <c r="G42" s="8">
        <v>2015.3601529572168</v>
      </c>
      <c r="H42" s="8">
        <v>2475.9906898571517</v>
      </c>
      <c r="I42" s="8">
        <v>2029.6741491739606</v>
      </c>
      <c r="M42" s="12">
        <f t="shared" si="1"/>
        <v>10.591967616404395</v>
      </c>
      <c r="N42" s="12">
        <f t="shared" si="2"/>
        <v>3.3726044888470703</v>
      </c>
      <c r="O42" s="12">
        <f t="shared" si="3"/>
        <v>2.5508376396599033</v>
      </c>
      <c r="P42" s="12">
        <f t="shared" si="4"/>
        <v>6.8328988762746361</v>
      </c>
      <c r="Q42" s="12">
        <f t="shared" si="5"/>
        <v>0.70523616919343168</v>
      </c>
      <c r="R42" s="12">
        <f t="shared" si="6"/>
        <v>21.989566200310211</v>
      </c>
      <c r="S42" s="12">
        <f t="shared" si="7"/>
        <v>0</v>
      </c>
    </row>
    <row r="43" spans="1:19" x14ac:dyDescent="0.3">
      <c r="A43" s="11">
        <f t="shared" si="8"/>
        <v>42</v>
      </c>
      <c r="B43" s="11" t="s">
        <v>52</v>
      </c>
      <c r="C43" s="8">
        <v>2263.7671648249798</v>
      </c>
      <c r="D43" s="8">
        <v>2122.2184935874438</v>
      </c>
      <c r="E43" s="8">
        <v>2100.9625371847487</v>
      </c>
      <c r="F43" s="8">
        <v>2187.4703183568868</v>
      </c>
      <c r="G43" s="8">
        <v>2007.0289331777321</v>
      </c>
      <c r="H43" s="8">
        <v>2489.7585826681438</v>
      </c>
      <c r="I43" s="8">
        <v>2048.7847362259422</v>
      </c>
      <c r="M43" s="12">
        <f t="shared" si="1"/>
        <v>10.493168208342659</v>
      </c>
      <c r="N43" s="12">
        <f t="shared" si="2"/>
        <v>3.5842592959167425</v>
      </c>
      <c r="O43" s="12">
        <f t="shared" si="3"/>
        <v>2.5467683371618159</v>
      </c>
      <c r="P43" s="12">
        <f t="shared" si="4"/>
        <v>6.7691631862904593</v>
      </c>
      <c r="Q43" s="12">
        <f t="shared" si="5"/>
        <v>2.0380766368422019</v>
      </c>
      <c r="R43" s="12">
        <f t="shared" si="6"/>
        <v>21.523678825063765</v>
      </c>
      <c r="S43" s="12">
        <f t="shared" si="7"/>
        <v>0</v>
      </c>
    </row>
    <row r="44" spans="1:19" x14ac:dyDescent="0.3">
      <c r="A44" s="11">
        <f t="shared" si="8"/>
        <v>43</v>
      </c>
      <c r="B44" s="11" t="s">
        <v>53</v>
      </c>
      <c r="C44" s="8">
        <v>2309.3844697427658</v>
      </c>
      <c r="D44" s="8">
        <v>2193.7457510512413</v>
      </c>
      <c r="E44" s="8">
        <v>2180.9196921580751</v>
      </c>
      <c r="F44" s="8">
        <v>2233.0876232746732</v>
      </c>
      <c r="G44" s="8">
        <v>1994.4592699458535</v>
      </c>
      <c r="H44" s="8">
        <v>2534.9435851495441</v>
      </c>
      <c r="I44" s="8">
        <v>2094.4020411437286</v>
      </c>
      <c r="M44" s="12">
        <f t="shared" si="1"/>
        <v>10.264620850046427</v>
      </c>
      <c r="N44" s="12">
        <f t="shared" si="2"/>
        <v>4.7432970344730103</v>
      </c>
      <c r="O44" s="12">
        <f t="shared" si="3"/>
        <v>4.1308998613800147</v>
      </c>
      <c r="P44" s="12">
        <f t="shared" si="4"/>
        <v>6.6217268416721931</v>
      </c>
      <c r="Q44" s="12">
        <f t="shared" si="5"/>
        <v>4.7719000093839448</v>
      </c>
      <c r="R44" s="12">
        <f t="shared" si="6"/>
        <v>21.034239623126076</v>
      </c>
      <c r="S44" s="12">
        <f t="shared" si="7"/>
        <v>0</v>
      </c>
    </row>
    <row r="45" spans="1:19" x14ac:dyDescent="0.3">
      <c r="A45" s="11">
        <f t="shared" si="8"/>
        <v>44</v>
      </c>
      <c r="B45" s="11" t="s">
        <v>54</v>
      </c>
      <c r="C45" s="8">
        <v>2381.7904288979134</v>
      </c>
      <c r="D45" s="8">
        <v>2236.9947904479559</v>
      </c>
      <c r="E45" s="8">
        <v>2228.7267028949477</v>
      </c>
      <c r="F45" s="8">
        <v>2305.4935824298204</v>
      </c>
      <c r="G45" s="8">
        <v>2000.2436645022808</v>
      </c>
      <c r="H45" s="8">
        <v>2600.9119971541595</v>
      </c>
      <c r="I45" s="8">
        <v>2166.8080002988759</v>
      </c>
      <c r="M45" s="12">
        <f t="shared" si="1"/>
        <v>9.9216187391492117</v>
      </c>
      <c r="N45" s="12">
        <f t="shared" si="2"/>
        <v>3.2391790199869535</v>
      </c>
      <c r="O45" s="12">
        <f t="shared" si="3"/>
        <v>2.8575998698330065</v>
      </c>
      <c r="P45" s="12">
        <f t="shared" si="4"/>
        <v>6.4004555139087147</v>
      </c>
      <c r="Q45" s="12">
        <f t="shared" si="5"/>
        <v>7.6870832936568547</v>
      </c>
      <c r="R45" s="12">
        <f t="shared" si="6"/>
        <v>20.034262232528498</v>
      </c>
      <c r="S45" s="12">
        <f t="shared" si="7"/>
        <v>0</v>
      </c>
    </row>
    <row r="46" spans="1:19" x14ac:dyDescent="0.3">
      <c r="A46" s="11">
        <f t="shared" si="8"/>
        <v>45</v>
      </c>
      <c r="B46" s="11" t="s">
        <v>55</v>
      </c>
      <c r="C46" s="8">
        <v>2330.4921060932702</v>
      </c>
      <c r="D46" s="8">
        <v>2190.268535802049</v>
      </c>
      <c r="E46" s="8">
        <v>2175.0319209320778</v>
      </c>
      <c r="F46" s="8">
        <v>2254.1952596251776</v>
      </c>
      <c r="G46" s="8">
        <v>1993.6322565892888</v>
      </c>
      <c r="H46" s="8">
        <v>2550.9340763563046</v>
      </c>
      <c r="I46" s="8">
        <v>2115.5096774942331</v>
      </c>
      <c r="M46" s="12">
        <f t="shared" si="1"/>
        <v>10.162204923291975</v>
      </c>
      <c r="N46" s="12">
        <f t="shared" si="2"/>
        <v>3.5338461980644706</v>
      </c>
      <c r="O46" s="12">
        <f t="shared" si="3"/>
        <v>2.8136124391710324</v>
      </c>
      <c r="P46" s="12">
        <f t="shared" si="4"/>
        <v>6.5556581284569715</v>
      </c>
      <c r="Q46" s="12">
        <f t="shared" si="5"/>
        <v>5.7611374791395411</v>
      </c>
      <c r="R46" s="12">
        <f t="shared" si="6"/>
        <v>20.582482013404</v>
      </c>
      <c r="S46" s="12">
        <f t="shared" si="7"/>
        <v>0</v>
      </c>
    </row>
    <row r="47" spans="1:19" x14ac:dyDescent="0.3">
      <c r="A47" s="11">
        <f t="shared" si="8"/>
        <v>46</v>
      </c>
      <c r="B47" s="11" t="s">
        <v>56</v>
      </c>
      <c r="C47" s="8">
        <v>2235.3855700883264</v>
      </c>
      <c r="D47" s="8">
        <v>2089.4010999383072</v>
      </c>
      <c r="E47" s="8">
        <v>2072.618533964303</v>
      </c>
      <c r="F47" s="8">
        <v>2159.0887236202334</v>
      </c>
      <c r="G47" s="8">
        <v>1987.1947094387565</v>
      </c>
      <c r="H47" s="8">
        <v>2463.8251354245035</v>
      </c>
      <c r="I47" s="8">
        <v>2020.4031414892891</v>
      </c>
      <c r="M47" s="12">
        <f t="shared" si="1"/>
        <v>10.640570893221266</v>
      </c>
      <c r="N47" s="12">
        <f t="shared" si="2"/>
        <v>3.4150589569049092</v>
      </c>
      <c r="O47" s="12">
        <f t="shared" si="3"/>
        <v>2.5844046370134159</v>
      </c>
      <c r="P47" s="12">
        <f t="shared" si="4"/>
        <v>6.8642529445245151</v>
      </c>
      <c r="Q47" s="12">
        <f t="shared" si="5"/>
        <v>1.6436537524908919</v>
      </c>
      <c r="R47" s="12">
        <f t="shared" si="6"/>
        <v>21.947203745107878</v>
      </c>
      <c r="S47" s="12">
        <f t="shared" si="7"/>
        <v>0</v>
      </c>
    </row>
    <row r="48" spans="1:19" x14ac:dyDescent="0.3">
      <c r="A48" s="11">
        <f t="shared" si="8"/>
        <v>47</v>
      </c>
      <c r="B48" s="11" t="s">
        <v>57</v>
      </c>
      <c r="C48" s="8">
        <v>2243.6885962306551</v>
      </c>
      <c r="D48" s="8">
        <v>2095.6365926892245</v>
      </c>
      <c r="E48" s="8">
        <v>2078.9433065662129</v>
      </c>
      <c r="F48" s="8">
        <v>2167.3917497625625</v>
      </c>
      <c r="G48" s="8">
        <v>1981.7204448910411</v>
      </c>
      <c r="H48" s="8">
        <v>2475.0884934681717</v>
      </c>
      <c r="I48" s="8">
        <v>2028.706167631618</v>
      </c>
      <c r="M48" s="12">
        <f t="shared" si="1"/>
        <v>10.597021492275299</v>
      </c>
      <c r="N48" s="12">
        <f t="shared" si="2"/>
        <v>3.2991680177984275</v>
      </c>
      <c r="O48" s="12">
        <f t="shared" si="3"/>
        <v>2.4763142014421673</v>
      </c>
      <c r="P48" s="12">
        <f t="shared" si="4"/>
        <v>6.8361591414123293</v>
      </c>
      <c r="Q48" s="12">
        <f t="shared" si="5"/>
        <v>2.3160437667239728</v>
      </c>
      <c r="R48" s="12">
        <f t="shared" si="6"/>
        <v>22.003301067383056</v>
      </c>
      <c r="S48" s="12">
        <f t="shared" si="7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76DB6-4E6C-48EF-8A7B-FCA6DAFAE291}">
  <dimension ref="A1:U48"/>
  <sheetViews>
    <sheetView topLeftCell="A7" workbookViewId="0">
      <selection activeCell="M2" sqref="M2:U48"/>
    </sheetView>
  </sheetViews>
  <sheetFormatPr defaultRowHeight="14.4" x14ac:dyDescent="0.3"/>
  <cols>
    <col min="1" max="1" width="8.88671875" style="15"/>
    <col min="3" max="8" width="7.6640625" customWidth="1"/>
    <col min="9" max="9" width="7.6640625" bestFit="1" customWidth="1"/>
    <col min="10" max="10" width="10.88671875" bestFit="1" customWidth="1"/>
    <col min="11" max="11" width="7.6640625" bestFit="1" customWidth="1"/>
    <col min="12" max="50" width="11.6640625" customWidth="1"/>
  </cols>
  <sheetData>
    <row r="1" spans="1:21" x14ac:dyDescent="0.3">
      <c r="A1" s="15" t="s">
        <v>62</v>
      </c>
      <c r="B1" s="15" t="s">
        <v>61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6" t="s">
        <v>64</v>
      </c>
      <c r="I1" s="15" t="s">
        <v>6</v>
      </c>
      <c r="J1" s="15" t="s">
        <v>63</v>
      </c>
      <c r="K1" s="15" t="s">
        <v>10</v>
      </c>
    </row>
    <row r="2" spans="1:21" x14ac:dyDescent="0.3">
      <c r="A2" s="15">
        <v>1</v>
      </c>
      <c r="B2" s="15" t="s">
        <v>11</v>
      </c>
      <c r="C2" s="8">
        <v>341.56307295213105</v>
      </c>
      <c r="D2" s="8">
        <v>318.97688535643005</v>
      </c>
      <c r="E2" s="8">
        <v>318.16808074349302</v>
      </c>
      <c r="F2" s="8">
        <v>332.56769237386476</v>
      </c>
      <c r="G2" s="8">
        <v>310.30332650634978</v>
      </c>
      <c r="H2" s="8">
        <v>258.00761942168862</v>
      </c>
      <c r="I2" s="8">
        <v>303.74035791468981</v>
      </c>
      <c r="J2" s="8">
        <v>326.68968773516951</v>
      </c>
      <c r="K2" s="8">
        <v>309.37649845256874</v>
      </c>
      <c r="M2" s="12">
        <f t="shared" ref="M2:U17" si="0">ABS((C2-$K2)/$K2)*100</f>
        <v>10.403690862283424</v>
      </c>
      <c r="N2" s="12">
        <f t="shared" si="0"/>
        <v>3.1031403328566554</v>
      </c>
      <c r="O2" s="12">
        <f t="shared" si="0"/>
        <v>2.8417098050103311</v>
      </c>
      <c r="P2" s="12">
        <f t="shared" si="0"/>
        <v>7.4961071824437617</v>
      </c>
      <c r="Q2" s="12">
        <f t="shared" si="0"/>
        <v>0.29957933405311044</v>
      </c>
      <c r="R2" s="12">
        <f t="shared" si="0"/>
        <v>16.604001689790802</v>
      </c>
      <c r="S2" s="12">
        <f t="shared" si="0"/>
        <v>1.8217739763911061</v>
      </c>
      <c r="T2" s="12">
        <f t="shared" si="0"/>
        <v>5.5961552894927147</v>
      </c>
      <c r="U2" s="12">
        <f>ABS((K2-$K2)/$K2)*100</f>
        <v>0</v>
      </c>
    </row>
    <row r="3" spans="1:21" x14ac:dyDescent="0.3">
      <c r="A3" s="15">
        <f>A2+1</f>
        <v>2</v>
      </c>
      <c r="B3" s="15" t="s">
        <v>12</v>
      </c>
      <c r="C3" s="8">
        <v>303.32363066724389</v>
      </c>
      <c r="D3" s="8">
        <v>280.81366307154298</v>
      </c>
      <c r="E3" s="8">
        <v>279.41729845860596</v>
      </c>
      <c r="F3" s="8">
        <v>294.2431500889777</v>
      </c>
      <c r="G3" s="8">
        <v>271.88776422146265</v>
      </c>
      <c r="H3" s="8">
        <v>219.84439713680155</v>
      </c>
      <c r="I3" s="8">
        <v>265.47797562980276</v>
      </c>
      <c r="J3" s="8">
        <v>288.16756545028244</v>
      </c>
      <c r="K3" s="8">
        <v>271.21327616768167</v>
      </c>
      <c r="M3" s="12">
        <f t="shared" si="0"/>
        <v>11.839521631569951</v>
      </c>
      <c r="N3" s="12">
        <f t="shared" si="0"/>
        <v>3.5397923875694501</v>
      </c>
      <c r="O3" s="12">
        <f t="shared" si="0"/>
        <v>3.0249338848191289</v>
      </c>
      <c r="P3" s="12">
        <f t="shared" si="0"/>
        <v>8.4914257320712672</v>
      </c>
      <c r="Q3" s="12">
        <f t="shared" si="0"/>
        <v>0.24869286021380604</v>
      </c>
      <c r="R3" s="12">
        <f t="shared" si="0"/>
        <v>18.940399878920584</v>
      </c>
      <c r="S3" s="12">
        <f t="shared" si="0"/>
        <v>2.1146828130688475</v>
      </c>
      <c r="T3" s="12">
        <f t="shared" si="0"/>
        <v>6.2512755725566054</v>
      </c>
      <c r="U3" s="12">
        <f t="shared" si="0"/>
        <v>0</v>
      </c>
    </row>
    <row r="4" spans="1:21" x14ac:dyDescent="0.3">
      <c r="A4" s="15">
        <f t="shared" ref="A4:A48" si="1">A3+1</f>
        <v>3</v>
      </c>
      <c r="B4" s="15" t="s">
        <v>13</v>
      </c>
      <c r="C4" s="8">
        <v>278.42834113510725</v>
      </c>
      <c r="D4" s="8">
        <v>255.67047353940629</v>
      </c>
      <c r="E4" s="8">
        <v>254.23266892646927</v>
      </c>
      <c r="F4" s="8">
        <v>269.54544055684102</v>
      </c>
      <c r="G4" s="8">
        <v>247.29143468932602</v>
      </c>
      <c r="H4" s="8">
        <v>194.70120760466486</v>
      </c>
      <c r="I4" s="8">
        <v>240.85426609766606</v>
      </c>
      <c r="J4" s="8">
        <v>263.4572759181458</v>
      </c>
      <c r="K4" s="8">
        <v>246.07008663554501</v>
      </c>
      <c r="M4" s="12">
        <f t="shared" si="0"/>
        <v>13.15001548623345</v>
      </c>
      <c r="N4" s="12">
        <f t="shared" si="0"/>
        <v>3.9014847497820546</v>
      </c>
      <c r="O4" s="12">
        <f t="shared" si="0"/>
        <v>3.3171778018731239</v>
      </c>
      <c r="P4" s="12">
        <f t="shared" si="0"/>
        <v>9.5401087723699671</v>
      </c>
      <c r="Q4" s="12">
        <f t="shared" si="0"/>
        <v>0.49634153849425661</v>
      </c>
      <c r="R4" s="12">
        <f t="shared" si="0"/>
        <v>20.875710547850019</v>
      </c>
      <c r="S4" s="12">
        <f t="shared" si="0"/>
        <v>2.1196483527085999</v>
      </c>
      <c r="T4" s="12">
        <f t="shared" si="0"/>
        <v>7.0659499983648937</v>
      </c>
      <c r="U4" s="12">
        <f t="shared" si="0"/>
        <v>0</v>
      </c>
    </row>
    <row r="5" spans="1:21" x14ac:dyDescent="0.3">
      <c r="A5" s="15">
        <f t="shared" si="1"/>
        <v>4</v>
      </c>
      <c r="B5" s="15" t="s">
        <v>14</v>
      </c>
      <c r="C5" s="8">
        <v>271.20570610094398</v>
      </c>
      <c r="D5" s="8">
        <v>248.54773850524302</v>
      </c>
      <c r="E5" s="8">
        <v>246.95379389230601</v>
      </c>
      <c r="F5" s="8">
        <v>261.97278552267773</v>
      </c>
      <c r="G5" s="8">
        <v>239.74023965516275</v>
      </c>
      <c r="H5" s="8">
        <v>187.57847257050159</v>
      </c>
      <c r="I5" s="8">
        <v>233.37633106350279</v>
      </c>
      <c r="J5" s="8">
        <v>255.88906088398252</v>
      </c>
      <c r="K5" s="8">
        <v>238.94735160138174</v>
      </c>
      <c r="M5" s="12">
        <f t="shared" si="0"/>
        <v>13.500193361999042</v>
      </c>
      <c r="N5" s="12">
        <f t="shared" si="0"/>
        <v>4.0177833483071597</v>
      </c>
      <c r="O5" s="12">
        <f t="shared" si="0"/>
        <v>3.3507139699463284</v>
      </c>
      <c r="P5" s="12">
        <f t="shared" si="0"/>
        <v>9.6361954911756538</v>
      </c>
      <c r="Q5" s="12">
        <f t="shared" si="0"/>
        <v>0.33182542031423296</v>
      </c>
      <c r="R5" s="12">
        <f t="shared" si="0"/>
        <v>21.497990534992439</v>
      </c>
      <c r="S5" s="12">
        <f t="shared" si="0"/>
        <v>2.3314845301875007</v>
      </c>
      <c r="T5" s="12">
        <f t="shared" si="0"/>
        <v>7.0901431503887888</v>
      </c>
      <c r="U5" s="12">
        <f t="shared" si="0"/>
        <v>0</v>
      </c>
    </row>
    <row r="6" spans="1:21" x14ac:dyDescent="0.3">
      <c r="A6" s="15">
        <f t="shared" si="1"/>
        <v>5</v>
      </c>
      <c r="B6" s="15" t="s">
        <v>15</v>
      </c>
      <c r="C6" s="8">
        <v>254.14009871704124</v>
      </c>
      <c r="D6" s="8">
        <v>231.67231112134027</v>
      </c>
      <c r="E6" s="8">
        <v>229.94812650840325</v>
      </c>
      <c r="F6" s="8">
        <v>244.69331813877497</v>
      </c>
      <c r="G6" s="8">
        <v>222.59915227125998</v>
      </c>
      <c r="H6" s="8">
        <v>170.70304518659884</v>
      </c>
      <c r="I6" s="8">
        <v>216.28852367960005</v>
      </c>
      <c r="J6" s="8">
        <v>238.90189350007975</v>
      </c>
      <c r="K6" s="8">
        <v>222.07192421747897</v>
      </c>
      <c r="M6" s="12">
        <f t="shared" si="0"/>
        <v>14.440445190251669</v>
      </c>
      <c r="N6" s="12">
        <f t="shared" si="0"/>
        <v>4.3230979952510689</v>
      </c>
      <c r="O6" s="12">
        <f t="shared" si="0"/>
        <v>3.5466898027194915</v>
      </c>
      <c r="P6" s="12">
        <f t="shared" si="0"/>
        <v>10.186516823775738</v>
      </c>
      <c r="Q6" s="12">
        <f t="shared" si="0"/>
        <v>0.23741319648524878</v>
      </c>
      <c r="R6" s="12">
        <f t="shared" si="0"/>
        <v>23.131640441217446</v>
      </c>
      <c r="S6" s="12">
        <f t="shared" si="0"/>
        <v>2.6042916313073112</v>
      </c>
      <c r="T6" s="12">
        <f t="shared" si="0"/>
        <v>7.5786119032853971</v>
      </c>
      <c r="U6" s="12">
        <f t="shared" si="0"/>
        <v>0</v>
      </c>
    </row>
    <row r="7" spans="1:21" x14ac:dyDescent="0.3">
      <c r="A7" s="15">
        <f t="shared" si="1"/>
        <v>6</v>
      </c>
      <c r="B7" s="15" t="s">
        <v>16</v>
      </c>
      <c r="C7" s="8">
        <v>231.89943227233945</v>
      </c>
      <c r="D7" s="8">
        <v>209.3739246766385</v>
      </c>
      <c r="E7" s="8">
        <v>207.45512006370146</v>
      </c>
      <c r="F7" s="8">
        <v>222.05009169407319</v>
      </c>
      <c r="G7" s="8">
        <v>200.5412658265582</v>
      </c>
      <c r="H7" s="8">
        <v>148.40465874189707</v>
      </c>
      <c r="I7" s="8">
        <v>194.29353723489825</v>
      </c>
      <c r="J7" s="8">
        <v>216.70488705537795</v>
      </c>
      <c r="K7" s="8">
        <v>199.77353777277719</v>
      </c>
      <c r="M7" s="12">
        <f t="shared" si="0"/>
        <v>16.081156121939593</v>
      </c>
      <c r="N7" s="12">
        <f t="shared" si="0"/>
        <v>4.805634925873318</v>
      </c>
      <c r="O7" s="12">
        <f t="shared" si="0"/>
        <v>3.8451450460177137</v>
      </c>
      <c r="P7" s="12">
        <f t="shared" si="0"/>
        <v>11.150903252578624</v>
      </c>
      <c r="Q7" s="12">
        <f t="shared" si="0"/>
        <v>0.38429917312383427</v>
      </c>
      <c r="R7" s="12">
        <f t="shared" si="0"/>
        <v>25.713555260410509</v>
      </c>
      <c r="S7" s="12">
        <f t="shared" si="0"/>
        <v>2.7431063187717584</v>
      </c>
      <c r="T7" s="12">
        <f t="shared" si="0"/>
        <v>8.4752712853583816</v>
      </c>
      <c r="U7" s="12">
        <f t="shared" si="0"/>
        <v>0</v>
      </c>
    </row>
    <row r="8" spans="1:21" x14ac:dyDescent="0.3">
      <c r="A8" s="15">
        <f t="shared" si="1"/>
        <v>7</v>
      </c>
      <c r="B8" s="15" t="s">
        <v>17</v>
      </c>
      <c r="C8" s="8">
        <v>233.20257093012751</v>
      </c>
      <c r="D8" s="8">
        <v>210.78362333442655</v>
      </c>
      <c r="E8" s="8">
        <v>208.95657872148956</v>
      </c>
      <c r="F8" s="8">
        <v>223.69807035186125</v>
      </c>
      <c r="G8" s="8">
        <v>201.69566448434625</v>
      </c>
      <c r="H8" s="8">
        <v>149.81435739968512</v>
      </c>
      <c r="I8" s="8">
        <v>195.48789589268634</v>
      </c>
      <c r="J8" s="8">
        <v>217.83190571316604</v>
      </c>
      <c r="K8" s="8">
        <v>201.18323643056527</v>
      </c>
      <c r="M8" s="12">
        <f t="shared" si="0"/>
        <v>15.915508204190324</v>
      </c>
      <c r="N8" s="12">
        <f t="shared" si="0"/>
        <v>4.7719616575383386</v>
      </c>
      <c r="O8" s="12">
        <f t="shared" si="0"/>
        <v>3.8638121291020773</v>
      </c>
      <c r="P8" s="12">
        <f t="shared" si="0"/>
        <v>11.191207737164801</v>
      </c>
      <c r="Q8" s="12">
        <f t="shared" si="0"/>
        <v>0.25470713309547277</v>
      </c>
      <c r="R8" s="12">
        <f t="shared" si="0"/>
        <v>25.533379391979899</v>
      </c>
      <c r="S8" s="12">
        <f t="shared" si="0"/>
        <v>2.8309220186168824</v>
      </c>
      <c r="T8" s="12">
        <f t="shared" si="0"/>
        <v>8.2753760094453739</v>
      </c>
      <c r="U8" s="12">
        <f t="shared" si="0"/>
        <v>0</v>
      </c>
    </row>
    <row r="9" spans="1:21" x14ac:dyDescent="0.3">
      <c r="A9" s="15">
        <f t="shared" si="1"/>
        <v>8</v>
      </c>
      <c r="B9" s="15" t="s">
        <v>18</v>
      </c>
      <c r="C9" s="8">
        <v>234.92306824570366</v>
      </c>
      <c r="D9" s="8">
        <v>212.32208065000273</v>
      </c>
      <c r="E9" s="8">
        <v>210.38847603706569</v>
      </c>
      <c r="F9" s="8">
        <v>225.57988766743739</v>
      </c>
      <c r="G9" s="8">
        <v>203.24670179992239</v>
      </c>
      <c r="H9" s="8">
        <v>151.3528147152613</v>
      </c>
      <c r="I9" s="8">
        <v>196.7584732082625</v>
      </c>
      <c r="J9" s="8">
        <v>219.42068302874216</v>
      </c>
      <c r="K9" s="8">
        <v>202.72169374614143</v>
      </c>
      <c r="M9" s="12">
        <f t="shared" si="0"/>
        <v>15.884523212343746</v>
      </c>
      <c r="N9" s="12">
        <f t="shared" si="0"/>
        <v>4.7357471844544703</v>
      </c>
      <c r="O9" s="12">
        <f t="shared" si="0"/>
        <v>3.7819249381987703</v>
      </c>
      <c r="P9" s="12">
        <f t="shared" si="0"/>
        <v>11.275652594892076</v>
      </c>
      <c r="Q9" s="12">
        <f t="shared" si="0"/>
        <v>0.25897970961036232</v>
      </c>
      <c r="R9" s="12">
        <f t="shared" si="0"/>
        <v>25.339606275787574</v>
      </c>
      <c r="S9" s="12">
        <f t="shared" si="0"/>
        <v>2.9415798712427774</v>
      </c>
      <c r="T9" s="12">
        <f t="shared" si="0"/>
        <v>8.2373962914457852</v>
      </c>
      <c r="U9" s="12">
        <f t="shared" si="0"/>
        <v>0</v>
      </c>
    </row>
    <row r="10" spans="1:21" x14ac:dyDescent="0.3">
      <c r="A10" s="15">
        <f t="shared" si="1"/>
        <v>9</v>
      </c>
      <c r="B10" s="15" t="s">
        <v>19</v>
      </c>
      <c r="C10" s="8">
        <v>250.2287111999596</v>
      </c>
      <c r="D10" s="8">
        <v>227.72318360425865</v>
      </c>
      <c r="E10" s="8">
        <v>226.02933899132162</v>
      </c>
      <c r="F10" s="8">
        <v>240.88849062169334</v>
      </c>
      <c r="G10" s="8">
        <v>218.84020475417836</v>
      </c>
      <c r="H10" s="8">
        <v>166.75391766951722</v>
      </c>
      <c r="I10" s="8">
        <v>212.0285961625184</v>
      </c>
      <c r="J10" s="8">
        <v>234.83806598299813</v>
      </c>
      <c r="K10" s="8">
        <v>218.12279670039737</v>
      </c>
      <c r="M10" s="12">
        <f t="shared" si="0"/>
        <v>14.719192576492276</v>
      </c>
      <c r="N10" s="12">
        <f t="shared" si="0"/>
        <v>4.4013679675343118</v>
      </c>
      <c r="O10" s="12">
        <f t="shared" si="0"/>
        <v>3.6248124499266732</v>
      </c>
      <c r="P10" s="12">
        <f t="shared" si="0"/>
        <v>10.437099773924954</v>
      </c>
      <c r="Q10" s="12">
        <f t="shared" si="0"/>
        <v>0.32890099734342843</v>
      </c>
      <c r="R10" s="12">
        <f t="shared" si="0"/>
        <v>23.550440306080382</v>
      </c>
      <c r="S10" s="12">
        <f t="shared" si="0"/>
        <v>2.7939310471292309</v>
      </c>
      <c r="T10" s="12">
        <f t="shared" si="0"/>
        <v>7.6632381096598632</v>
      </c>
      <c r="U10" s="12">
        <f t="shared" si="0"/>
        <v>0</v>
      </c>
    </row>
    <row r="11" spans="1:21" x14ac:dyDescent="0.3">
      <c r="A11" s="15">
        <f t="shared" si="1"/>
        <v>10</v>
      </c>
      <c r="B11" s="15" t="s">
        <v>20</v>
      </c>
      <c r="C11" s="8">
        <v>275.30332650395496</v>
      </c>
      <c r="D11" s="8">
        <v>252.634998908254</v>
      </c>
      <c r="E11" s="8">
        <v>251.08101429531698</v>
      </c>
      <c r="F11" s="8">
        <v>265.95718592568863</v>
      </c>
      <c r="G11" s="8">
        <v>243.78828005817368</v>
      </c>
      <c r="H11" s="8">
        <v>191.66573297351258</v>
      </c>
      <c r="I11" s="8">
        <v>237.22457146651379</v>
      </c>
      <c r="J11" s="8">
        <v>259.76468128699344</v>
      </c>
      <c r="K11" s="8">
        <v>243.0346120043927</v>
      </c>
      <c r="M11" s="12">
        <f t="shared" si="0"/>
        <v>13.27741519342892</v>
      </c>
      <c r="N11" s="12">
        <f t="shared" si="0"/>
        <v>3.9502138500699586</v>
      </c>
      <c r="O11" s="12">
        <f t="shared" si="0"/>
        <v>3.3108050843304753</v>
      </c>
      <c r="P11" s="12">
        <f t="shared" si="0"/>
        <v>9.4318145601753312</v>
      </c>
      <c r="Q11" s="12">
        <f t="shared" si="0"/>
        <v>0.31010729194710845</v>
      </c>
      <c r="R11" s="12">
        <f t="shared" si="0"/>
        <v>21.136445795610243</v>
      </c>
      <c r="S11" s="12">
        <f t="shared" si="0"/>
        <v>2.3906226730264626</v>
      </c>
      <c r="T11" s="12">
        <f t="shared" si="0"/>
        <v>6.8838216682891042</v>
      </c>
      <c r="U11" s="12">
        <f t="shared" si="0"/>
        <v>0</v>
      </c>
    </row>
    <row r="12" spans="1:21" x14ac:dyDescent="0.3">
      <c r="A12" s="15">
        <f t="shared" si="1"/>
        <v>11</v>
      </c>
      <c r="B12" s="15" t="s">
        <v>21</v>
      </c>
      <c r="C12" s="8">
        <v>278.1227224773192</v>
      </c>
      <c r="D12" s="8">
        <v>255.56317488161824</v>
      </c>
      <c r="E12" s="8">
        <v>254.25191026868123</v>
      </c>
      <c r="F12" s="8">
        <v>268.84688189905296</v>
      </c>
      <c r="G12" s="8">
        <v>246.07043603153798</v>
      </c>
      <c r="H12" s="8">
        <v>194.59390894687681</v>
      </c>
      <c r="I12" s="8">
        <v>239.48600743987802</v>
      </c>
      <c r="J12" s="8">
        <v>262.74465726035777</v>
      </c>
      <c r="K12" s="8">
        <v>245.96278797775696</v>
      </c>
      <c r="M12" s="12">
        <f t="shared" si="0"/>
        <v>13.075121958070563</v>
      </c>
      <c r="N12" s="12">
        <f t="shared" si="0"/>
        <v>3.9031867311283954</v>
      </c>
      <c r="O12" s="12">
        <f t="shared" si="0"/>
        <v>3.3700716921755962</v>
      </c>
      <c r="P12" s="12">
        <f t="shared" si="0"/>
        <v>9.3038845873569578</v>
      </c>
      <c r="Q12" s="12">
        <f t="shared" si="0"/>
        <v>4.3765991866523614E-2</v>
      </c>
      <c r="R12" s="12">
        <f t="shared" si="0"/>
        <v>20.884817355186904</v>
      </c>
      <c r="S12" s="12">
        <f t="shared" si="0"/>
        <v>2.6332359423672855</v>
      </c>
      <c r="T12" s="12">
        <f t="shared" si="0"/>
        <v>6.8229301759737888</v>
      </c>
      <c r="U12" s="12">
        <f t="shared" si="0"/>
        <v>0</v>
      </c>
    </row>
    <row r="13" spans="1:21" x14ac:dyDescent="0.3">
      <c r="A13" s="15">
        <f t="shared" si="1"/>
        <v>12</v>
      </c>
      <c r="B13" s="15" t="s">
        <v>22</v>
      </c>
      <c r="C13" s="8">
        <v>262.08447952306324</v>
      </c>
      <c r="D13" s="8">
        <v>239.41615192736228</v>
      </c>
      <c r="E13" s="8">
        <v>238.07158731442527</v>
      </c>
      <c r="F13" s="8">
        <v>252.937398944797</v>
      </c>
      <c r="G13" s="8">
        <v>230.23421307728199</v>
      </c>
      <c r="H13" s="8">
        <v>178.44688599262085</v>
      </c>
      <c r="I13" s="8">
        <v>223.38708448562204</v>
      </c>
      <c r="J13" s="8">
        <v>246.87291430610176</v>
      </c>
      <c r="K13" s="8">
        <v>229.815765023501</v>
      </c>
      <c r="M13" s="12">
        <f t="shared" si="0"/>
        <v>14.041123112795342</v>
      </c>
      <c r="N13" s="12">
        <f t="shared" si="0"/>
        <v>4.1774274723405247</v>
      </c>
      <c r="O13" s="12">
        <f t="shared" si="0"/>
        <v>3.5923655150811911</v>
      </c>
      <c r="P13" s="12">
        <f t="shared" si="0"/>
        <v>10.060943346915984</v>
      </c>
      <c r="Q13" s="12">
        <f t="shared" si="0"/>
        <v>0.18207978627497606</v>
      </c>
      <c r="R13" s="12">
        <f t="shared" si="0"/>
        <v>22.352199826511974</v>
      </c>
      <c r="S13" s="12">
        <f t="shared" si="0"/>
        <v>2.7973192079410056</v>
      </c>
      <c r="T13" s="12">
        <f t="shared" si="0"/>
        <v>7.4220971223869237</v>
      </c>
      <c r="U13" s="12">
        <f t="shared" si="0"/>
        <v>0</v>
      </c>
    </row>
    <row r="14" spans="1:21" x14ac:dyDescent="0.3">
      <c r="A14" s="15">
        <f t="shared" si="1"/>
        <v>13</v>
      </c>
      <c r="B14" s="15" t="s">
        <v>23</v>
      </c>
      <c r="C14" s="8">
        <v>229.44522118207118</v>
      </c>
      <c r="D14" s="8">
        <v>209.09203212390051</v>
      </c>
      <c r="E14" s="8">
        <v>207.28384958254082</v>
      </c>
      <c r="F14" s="8">
        <v>222.01088428430427</v>
      </c>
      <c r="G14" s="8">
        <v>199.30241851173585</v>
      </c>
      <c r="H14" s="8">
        <v>146.07523607283233</v>
      </c>
      <c r="I14" s="8">
        <v>195.17502882858204</v>
      </c>
      <c r="J14" s="8">
        <v>214.56839997634592</v>
      </c>
      <c r="K14" s="8">
        <v>199.40429230500035</v>
      </c>
      <c r="M14" s="12">
        <f t="shared" si="0"/>
        <v>15.065337124800452</v>
      </c>
      <c r="N14" s="12">
        <f t="shared" si="0"/>
        <v>4.8583406640425775</v>
      </c>
      <c r="O14" s="12">
        <f t="shared" si="0"/>
        <v>3.9515484779476231</v>
      </c>
      <c r="P14" s="12">
        <f t="shared" si="0"/>
        <v>11.337063870584004</v>
      </c>
      <c r="Q14" s="12">
        <f t="shared" si="0"/>
        <v>5.1089067385109529E-2</v>
      </c>
      <c r="R14" s="12">
        <f t="shared" si="0"/>
        <v>26.744186705167895</v>
      </c>
      <c r="S14" s="12">
        <f t="shared" si="0"/>
        <v>2.1209490666075572</v>
      </c>
      <c r="T14" s="12">
        <f t="shared" si="0"/>
        <v>7.6047047413358504</v>
      </c>
      <c r="U14" s="12">
        <f t="shared" si="0"/>
        <v>0</v>
      </c>
    </row>
    <row r="15" spans="1:21" x14ac:dyDescent="0.3">
      <c r="A15" s="15">
        <f t="shared" si="1"/>
        <v>14</v>
      </c>
      <c r="B15" s="15" t="s">
        <v>24</v>
      </c>
      <c r="C15" s="8">
        <v>207.83947339515748</v>
      </c>
      <c r="D15" s="8">
        <v>187.09704433698681</v>
      </c>
      <c r="E15" s="8">
        <v>185.38876179562712</v>
      </c>
      <c r="F15" s="8">
        <v>200.5057764973906</v>
      </c>
      <c r="G15" s="8">
        <v>177.66855072482213</v>
      </c>
      <c r="H15" s="8">
        <v>124.08024828591863</v>
      </c>
      <c r="I15" s="8">
        <v>173.76094104166833</v>
      </c>
      <c r="J15" s="8">
        <v>192.98411218943224</v>
      </c>
      <c r="K15" s="8">
        <v>177.40930451808666</v>
      </c>
      <c r="M15" s="12">
        <f t="shared" si="0"/>
        <v>17.152521374079626</v>
      </c>
      <c r="N15" s="12">
        <f t="shared" si="0"/>
        <v>5.4606717754831751</v>
      </c>
      <c r="O15" s="12">
        <f t="shared" si="0"/>
        <v>4.497767069892868</v>
      </c>
      <c r="P15" s="12">
        <f t="shared" si="0"/>
        <v>13.018748955723055</v>
      </c>
      <c r="Q15" s="12">
        <f t="shared" si="0"/>
        <v>0.14612886705107342</v>
      </c>
      <c r="R15" s="12">
        <f t="shared" si="0"/>
        <v>30.059898141774855</v>
      </c>
      <c r="S15" s="12">
        <f t="shared" si="0"/>
        <v>2.0564668162860529</v>
      </c>
      <c r="T15" s="12">
        <f t="shared" si="0"/>
        <v>8.7790252679547311</v>
      </c>
      <c r="U15" s="12">
        <f t="shared" si="0"/>
        <v>0</v>
      </c>
    </row>
    <row r="16" spans="1:21" x14ac:dyDescent="0.3">
      <c r="A16" s="15">
        <f t="shared" si="1"/>
        <v>15</v>
      </c>
      <c r="B16" s="15" t="s">
        <v>25</v>
      </c>
      <c r="C16" s="8">
        <v>202.35262856249969</v>
      </c>
      <c r="D16" s="8">
        <v>181.59317950432902</v>
      </c>
      <c r="E16" s="8">
        <v>179.66067696296932</v>
      </c>
      <c r="F16" s="8">
        <v>194.6348716647328</v>
      </c>
      <c r="G16" s="8">
        <v>171.58008589216436</v>
      </c>
      <c r="H16" s="8">
        <v>118.57638345326083</v>
      </c>
      <c r="I16" s="8">
        <v>167.61105620901057</v>
      </c>
      <c r="J16" s="8">
        <v>187.07990735677444</v>
      </c>
      <c r="K16" s="8">
        <v>171.90543968542889</v>
      </c>
      <c r="M16" s="12">
        <f t="shared" si="0"/>
        <v>17.711591286922829</v>
      </c>
      <c r="N16" s="12">
        <f t="shared" si="0"/>
        <v>5.6355050989822066</v>
      </c>
      <c r="O16" s="12">
        <f t="shared" si="0"/>
        <v>4.5113390778859594</v>
      </c>
      <c r="P16" s="12">
        <f t="shared" si="0"/>
        <v>13.222055114077063</v>
      </c>
      <c r="Q16" s="12">
        <f t="shared" si="0"/>
        <v>0.1892632332402589</v>
      </c>
      <c r="R16" s="12">
        <f t="shared" si="0"/>
        <v>31.022320369707508</v>
      </c>
      <c r="S16" s="12">
        <f t="shared" si="0"/>
        <v>2.4981079623056979</v>
      </c>
      <c r="T16" s="12">
        <f t="shared" si="0"/>
        <v>8.827217858325735</v>
      </c>
      <c r="U16" s="12">
        <f t="shared" si="0"/>
        <v>0</v>
      </c>
    </row>
    <row r="17" spans="1:21" x14ac:dyDescent="0.3">
      <c r="A17" s="15">
        <f t="shared" si="1"/>
        <v>16</v>
      </c>
      <c r="B17" s="15" t="s">
        <v>26</v>
      </c>
      <c r="C17" s="8">
        <v>184.58599540673825</v>
      </c>
      <c r="D17" s="8">
        <v>163.66522634856759</v>
      </c>
      <c r="E17" s="8">
        <v>161.36642380720792</v>
      </c>
      <c r="F17" s="8">
        <v>176.79645850897134</v>
      </c>
      <c r="G17" s="8">
        <v>153.52559273640287</v>
      </c>
      <c r="H17" s="8">
        <v>100.6484302974994</v>
      </c>
      <c r="I17" s="8">
        <v>149.33826305324911</v>
      </c>
      <c r="J17" s="8">
        <v>169.12901420101301</v>
      </c>
      <c r="K17" s="8">
        <v>153.9774865296674</v>
      </c>
      <c r="M17" s="12">
        <f t="shared" si="0"/>
        <v>19.878561188991348</v>
      </c>
      <c r="N17" s="12">
        <f t="shared" si="0"/>
        <v>6.2916599285010495</v>
      </c>
      <c r="O17" s="12">
        <f t="shared" si="0"/>
        <v>4.7987127495530766</v>
      </c>
      <c r="P17" s="12">
        <f t="shared" si="0"/>
        <v>14.819680781649417</v>
      </c>
      <c r="Q17" s="12">
        <f t="shared" si="0"/>
        <v>0.29348043239909849</v>
      </c>
      <c r="R17" s="12">
        <f t="shared" si="0"/>
        <v>34.634320532237609</v>
      </c>
      <c r="S17" s="12">
        <f t="shared" si="0"/>
        <v>3.0129232402585289</v>
      </c>
      <c r="T17" s="12">
        <f t="shared" si="0"/>
        <v>9.8400928686586298</v>
      </c>
      <c r="U17" s="12">
        <f t="shared" si="0"/>
        <v>0</v>
      </c>
    </row>
    <row r="18" spans="1:21" x14ac:dyDescent="0.3">
      <c r="A18" s="15">
        <f t="shared" si="1"/>
        <v>17</v>
      </c>
      <c r="B18" s="15" t="s">
        <v>27</v>
      </c>
      <c r="C18" s="8">
        <v>168.92983956655294</v>
      </c>
      <c r="D18" s="8">
        <v>147.9350705083823</v>
      </c>
      <c r="E18" s="8">
        <v>145.70360796702261</v>
      </c>
      <c r="F18" s="8">
        <v>161.26980266878604</v>
      </c>
      <c r="G18" s="8">
        <v>137.5312568962176</v>
      </c>
      <c r="H18" s="8">
        <v>84.918274457314112</v>
      </c>
      <c r="I18" s="8">
        <v>133.84268721306381</v>
      </c>
      <c r="J18" s="8">
        <v>153.26195836082769</v>
      </c>
      <c r="K18" s="8">
        <v>138.24733068948214</v>
      </c>
      <c r="M18" s="12">
        <f t="shared" ref="M18:U46" si="2">ABS((C18-$K18)/$K18)*100</f>
        <v>22.19392499229291</v>
      </c>
      <c r="N18" s="12">
        <f t="shared" si="2"/>
        <v>7.0075420411984846</v>
      </c>
      <c r="O18" s="12">
        <f t="shared" si="2"/>
        <v>5.393433088620017</v>
      </c>
      <c r="P18" s="12">
        <f t="shared" si="2"/>
        <v>16.653104160842545</v>
      </c>
      <c r="Q18" s="12">
        <f t="shared" si="2"/>
        <v>0.51796572830249998</v>
      </c>
      <c r="R18" s="12">
        <f t="shared" si="2"/>
        <v>38.575107357371422</v>
      </c>
      <c r="S18" s="12">
        <f t="shared" si="2"/>
        <v>3.1860604139342232</v>
      </c>
      <c r="T18" s="12">
        <f t="shared" si="2"/>
        <v>10.860699874972605</v>
      </c>
      <c r="U18" s="12">
        <f t="shared" si="2"/>
        <v>0</v>
      </c>
    </row>
    <row r="19" spans="1:21" x14ac:dyDescent="0.3">
      <c r="A19" s="15">
        <f t="shared" si="1"/>
        <v>18</v>
      </c>
      <c r="B19" s="15" t="s">
        <v>28</v>
      </c>
      <c r="C19" s="8">
        <v>174.66359862735206</v>
      </c>
      <c r="D19" s="8">
        <v>153.53858956918137</v>
      </c>
      <c r="E19" s="8">
        <v>151.48102702782168</v>
      </c>
      <c r="F19" s="8">
        <v>166.88590172958513</v>
      </c>
      <c r="G19" s="8">
        <v>142.96087595701667</v>
      </c>
      <c r="H19" s="8">
        <v>90.521793518113171</v>
      </c>
      <c r="I19" s="8">
        <v>139.49578627386288</v>
      </c>
      <c r="J19" s="8">
        <v>158.86251742162679</v>
      </c>
      <c r="K19" s="8">
        <v>143.85084975028121</v>
      </c>
      <c r="M19" s="12">
        <f t="shared" si="2"/>
        <v>21.419928301126085</v>
      </c>
      <c r="N19" s="12">
        <f t="shared" si="2"/>
        <v>6.7345725351762944</v>
      </c>
      <c r="O19" s="12">
        <f t="shared" si="2"/>
        <v>5.3042281576967554</v>
      </c>
      <c r="P19" s="12">
        <f t="shared" si="2"/>
        <v>16.013149744538708</v>
      </c>
      <c r="Q19" s="12">
        <f t="shared" si="2"/>
        <v>0.61867816200564729</v>
      </c>
      <c r="R19" s="12">
        <f t="shared" si="2"/>
        <v>37.072465212923632</v>
      </c>
      <c r="S19" s="12">
        <f t="shared" si="2"/>
        <v>3.0274854017049861</v>
      </c>
      <c r="T19" s="12">
        <f t="shared" si="2"/>
        <v>10.43557802919147</v>
      </c>
      <c r="U19" s="12">
        <f t="shared" si="2"/>
        <v>0</v>
      </c>
    </row>
    <row r="20" spans="1:21" x14ac:dyDescent="0.3">
      <c r="A20" s="15">
        <f t="shared" si="1"/>
        <v>19</v>
      </c>
      <c r="B20" s="15" t="s">
        <v>29</v>
      </c>
      <c r="C20" s="8">
        <v>175.94700305699882</v>
      </c>
      <c r="D20" s="8">
        <v>155.28301399882815</v>
      </c>
      <c r="E20" s="8">
        <v>153.50147145746848</v>
      </c>
      <c r="F20" s="8">
        <v>167.62170615923191</v>
      </c>
      <c r="G20" s="8">
        <v>145.15670038666349</v>
      </c>
      <c r="H20" s="8">
        <v>92.266217947759969</v>
      </c>
      <c r="I20" s="8">
        <v>141.25131070350969</v>
      </c>
      <c r="J20" s="8">
        <v>160.55144185127355</v>
      </c>
      <c r="K20" s="8">
        <v>145.595274179928</v>
      </c>
      <c r="M20" s="12">
        <f t="shared" si="2"/>
        <v>20.84664426646285</v>
      </c>
      <c r="N20" s="12">
        <f t="shared" si="2"/>
        <v>6.6538834268260363</v>
      </c>
      <c r="O20" s="12">
        <f t="shared" si="2"/>
        <v>5.4302568006224794</v>
      </c>
      <c r="P20" s="12">
        <f t="shared" si="2"/>
        <v>15.128534977092345</v>
      </c>
      <c r="Q20" s="12">
        <f t="shared" si="2"/>
        <v>0.3012280417306103</v>
      </c>
      <c r="R20" s="12">
        <f t="shared" si="2"/>
        <v>36.628287925240954</v>
      </c>
      <c r="S20" s="12">
        <f t="shared" si="2"/>
        <v>2.9835882386196126</v>
      </c>
      <c r="T20" s="12">
        <f t="shared" si="2"/>
        <v>10.272426598725026</v>
      </c>
      <c r="U20" s="12">
        <f t="shared" si="2"/>
        <v>0</v>
      </c>
    </row>
    <row r="21" spans="1:21" x14ac:dyDescent="0.3">
      <c r="A21" s="15">
        <f t="shared" si="1"/>
        <v>20</v>
      </c>
      <c r="B21" s="15" t="s">
        <v>30</v>
      </c>
      <c r="C21" s="8">
        <v>207.77484896551067</v>
      </c>
      <c r="D21" s="8">
        <v>186.59729990734002</v>
      </c>
      <c r="E21" s="8">
        <v>184.70623736598031</v>
      </c>
      <c r="F21" s="8">
        <v>200.08373206774377</v>
      </c>
      <c r="G21" s="8">
        <v>176.28524629517534</v>
      </c>
      <c r="H21" s="8">
        <v>123.58050385627183</v>
      </c>
      <c r="I21" s="8">
        <v>172.32657661202154</v>
      </c>
      <c r="J21" s="8">
        <v>191.8583277597854</v>
      </c>
      <c r="K21" s="8">
        <v>176.90956008843986</v>
      </c>
      <c r="M21" s="12">
        <f t="shared" si="2"/>
        <v>17.446930997759967</v>
      </c>
      <c r="N21" s="12">
        <f t="shared" si="2"/>
        <v>5.4760973991779203</v>
      </c>
      <c r="O21" s="12">
        <f t="shared" si="2"/>
        <v>4.4071542960384802</v>
      </c>
      <c r="P21" s="12">
        <f t="shared" si="2"/>
        <v>13.099445822893221</v>
      </c>
      <c r="Q21" s="12">
        <f t="shared" si="2"/>
        <v>0.35289997496597442</v>
      </c>
      <c r="R21" s="12">
        <f t="shared" si="2"/>
        <v>30.144813092920469</v>
      </c>
      <c r="S21" s="12">
        <f t="shared" si="2"/>
        <v>2.5905798839402543</v>
      </c>
      <c r="T21" s="12">
        <f t="shared" si="2"/>
        <v>8.44994903829528</v>
      </c>
      <c r="U21" s="12">
        <f t="shared" si="2"/>
        <v>0</v>
      </c>
    </row>
    <row r="22" spans="1:21" x14ac:dyDescent="0.3">
      <c r="A22" s="15">
        <f t="shared" si="1"/>
        <v>21</v>
      </c>
      <c r="B22" s="15" t="s">
        <v>31</v>
      </c>
      <c r="C22" s="8">
        <v>239.74995353181063</v>
      </c>
      <c r="D22" s="8">
        <v>219.08152447363997</v>
      </c>
      <c r="E22" s="8">
        <v>217.31182193228031</v>
      </c>
      <c r="F22" s="8">
        <v>232.02479663404375</v>
      </c>
      <c r="G22" s="8">
        <v>208.74505086147528</v>
      </c>
      <c r="H22" s="8">
        <v>156.06472842257179</v>
      </c>
      <c r="I22" s="8">
        <v>204.58510117832148</v>
      </c>
      <c r="J22" s="8">
        <v>224.32331232608539</v>
      </c>
      <c r="K22" s="8">
        <v>209.39378465473979</v>
      </c>
      <c r="M22" s="12">
        <f t="shared" si="2"/>
        <v>14.497168064049177</v>
      </c>
      <c r="N22" s="12">
        <f t="shared" si="2"/>
        <v>4.6265651269801884</v>
      </c>
      <c r="O22" s="12">
        <f t="shared" si="2"/>
        <v>3.7814098878800171</v>
      </c>
      <c r="P22" s="12">
        <f t="shared" si="2"/>
        <v>10.807871884363351</v>
      </c>
      <c r="Q22" s="12">
        <f t="shared" si="2"/>
        <v>0.30981520981350069</v>
      </c>
      <c r="R22" s="12">
        <f t="shared" si="2"/>
        <v>25.468309061847243</v>
      </c>
      <c r="S22" s="12">
        <f t="shared" si="2"/>
        <v>2.2964786105505168</v>
      </c>
      <c r="T22" s="12">
        <f t="shared" si="2"/>
        <v>7.1298810019419818</v>
      </c>
      <c r="U22" s="12">
        <f t="shared" si="2"/>
        <v>0</v>
      </c>
    </row>
    <row r="23" spans="1:21" x14ac:dyDescent="0.3">
      <c r="A23" s="15">
        <f t="shared" si="1"/>
        <v>22</v>
      </c>
      <c r="B23" s="15" t="s">
        <v>32</v>
      </c>
      <c r="C23" s="8">
        <v>266.26460480917018</v>
      </c>
      <c r="D23" s="8">
        <v>245.81521575099953</v>
      </c>
      <c r="E23" s="8">
        <v>244.07511320963985</v>
      </c>
      <c r="F23" s="8">
        <v>258.69484791140331</v>
      </c>
      <c r="G23" s="8">
        <v>235.81174213883486</v>
      </c>
      <c r="H23" s="8">
        <v>182.79841969993134</v>
      </c>
      <c r="I23" s="8">
        <v>231.63847245568107</v>
      </c>
      <c r="J23" s="8">
        <v>251.37002360344493</v>
      </c>
      <c r="K23" s="8">
        <v>236.12747593209937</v>
      </c>
      <c r="M23" s="12">
        <f t="shared" si="2"/>
        <v>12.763075858964001</v>
      </c>
      <c r="N23" s="12">
        <f t="shared" si="2"/>
        <v>4.1027583853418026</v>
      </c>
      <c r="O23" s="12">
        <f t="shared" si="2"/>
        <v>3.3658248563271376</v>
      </c>
      <c r="P23" s="12">
        <f t="shared" si="2"/>
        <v>9.5572833657839116</v>
      </c>
      <c r="Q23" s="12">
        <f t="shared" si="2"/>
        <v>0.13371328009083772</v>
      </c>
      <c r="R23" s="12">
        <f t="shared" si="2"/>
        <v>22.584858463274848</v>
      </c>
      <c r="S23" s="12">
        <f t="shared" si="2"/>
        <v>1.9010932373279417</v>
      </c>
      <c r="T23" s="12">
        <f t="shared" si="2"/>
        <v>6.4552198388503914</v>
      </c>
      <c r="U23" s="12">
        <f t="shared" si="2"/>
        <v>0</v>
      </c>
    </row>
    <row r="24" spans="1:21" x14ac:dyDescent="0.3">
      <c r="A24" s="15">
        <f t="shared" si="1"/>
        <v>23</v>
      </c>
      <c r="B24" s="15" t="s">
        <v>33</v>
      </c>
      <c r="C24" s="8">
        <v>264.95974037952345</v>
      </c>
      <c r="D24" s="8">
        <v>244.71311132135276</v>
      </c>
      <c r="E24" s="8">
        <v>242.78282877999308</v>
      </c>
      <c r="F24" s="8">
        <v>257.22718348175653</v>
      </c>
      <c r="G24" s="8">
        <v>234.73775770918809</v>
      </c>
      <c r="H24" s="8">
        <v>181.69631527028457</v>
      </c>
      <c r="I24" s="8">
        <v>230.5785480260343</v>
      </c>
      <c r="J24" s="8">
        <v>250.20131917379817</v>
      </c>
      <c r="K24" s="8">
        <v>235.0253715024526</v>
      </c>
      <c r="M24" s="12">
        <f t="shared" si="2"/>
        <v>12.736654211291597</v>
      </c>
      <c r="N24" s="12">
        <f t="shared" si="2"/>
        <v>4.1219974494536897</v>
      </c>
      <c r="O24" s="12">
        <f t="shared" si="2"/>
        <v>3.3006892949255606</v>
      </c>
      <c r="P24" s="12">
        <f t="shared" si="2"/>
        <v>9.4465596788014174</v>
      </c>
      <c r="Q24" s="12">
        <f t="shared" si="2"/>
        <v>0.12237563605404654</v>
      </c>
      <c r="R24" s="12">
        <f t="shared" si="2"/>
        <v>22.690765635748186</v>
      </c>
      <c r="S24" s="12">
        <f t="shared" si="2"/>
        <v>1.8920610349389011</v>
      </c>
      <c r="T24" s="12">
        <f t="shared" si="2"/>
        <v>6.4571529338853528</v>
      </c>
      <c r="U24" s="12">
        <f t="shared" si="2"/>
        <v>0</v>
      </c>
    </row>
    <row r="25" spans="1:21" x14ac:dyDescent="0.3">
      <c r="A25" s="15">
        <f t="shared" si="1"/>
        <v>24</v>
      </c>
      <c r="B25" s="15" t="s">
        <v>34</v>
      </c>
      <c r="C25" s="8">
        <v>295.3514947443179</v>
      </c>
      <c r="D25" s="8">
        <v>274.85400568614722</v>
      </c>
      <c r="E25" s="8">
        <v>273.18494314478755</v>
      </c>
      <c r="F25" s="8">
        <v>287.55751784655098</v>
      </c>
      <c r="G25" s="8">
        <v>264.92009207398252</v>
      </c>
      <c r="H25" s="8">
        <v>211.83720963507903</v>
      </c>
      <c r="I25" s="8">
        <v>260.36868239082872</v>
      </c>
      <c r="J25" s="8">
        <v>280.52573353859265</v>
      </c>
      <c r="K25" s="8">
        <v>265.16626586724703</v>
      </c>
      <c r="M25" s="12">
        <f t="shared" si="2"/>
        <v>11.383510183072389</v>
      </c>
      <c r="N25" s="12">
        <f t="shared" si="2"/>
        <v>3.6534586280104948</v>
      </c>
      <c r="O25" s="12">
        <f t="shared" si="2"/>
        <v>3.024018628959007</v>
      </c>
      <c r="P25" s="12">
        <f t="shared" si="2"/>
        <v>8.4442309831801587</v>
      </c>
      <c r="Q25" s="12">
        <f t="shared" si="2"/>
        <v>9.2837523076092332E-2</v>
      </c>
      <c r="R25" s="12">
        <f t="shared" si="2"/>
        <v>20.111553804836806</v>
      </c>
      <c r="S25" s="12">
        <f t="shared" si="2"/>
        <v>1.8092736874833752</v>
      </c>
      <c r="T25" s="12">
        <f t="shared" si="2"/>
        <v>5.7923912836767792</v>
      </c>
      <c r="U25" s="12">
        <f t="shared" si="2"/>
        <v>0</v>
      </c>
    </row>
    <row r="26" spans="1:21" x14ac:dyDescent="0.3">
      <c r="A26" s="15">
        <f t="shared" si="1"/>
        <v>25</v>
      </c>
      <c r="B26" s="15" t="s">
        <v>35</v>
      </c>
      <c r="C26" s="8">
        <v>360.15128305936321</v>
      </c>
      <c r="D26" s="8">
        <v>335.94760001729577</v>
      </c>
      <c r="E26" s="8">
        <v>333.57853277963852</v>
      </c>
      <c r="F26" s="8">
        <v>355.68393305204648</v>
      </c>
      <c r="G26" s="8">
        <v>322.10429758072621</v>
      </c>
      <c r="H26" s="8">
        <v>259.84496046171716</v>
      </c>
      <c r="I26" s="8">
        <v>318.54919946327834</v>
      </c>
      <c r="J26" s="8">
        <v>341.48652858486872</v>
      </c>
      <c r="K26" s="8">
        <v>324.05649427753929</v>
      </c>
      <c r="M26" s="12">
        <f t="shared" si="2"/>
        <v>11.138424755934814</v>
      </c>
      <c r="N26" s="12">
        <f t="shared" si="2"/>
        <v>3.6694545394829539</v>
      </c>
      <c r="O26" s="12">
        <f t="shared" si="2"/>
        <v>2.9383884199969321</v>
      </c>
      <c r="P26" s="12">
        <f t="shared" si="2"/>
        <v>9.7598533999506181</v>
      </c>
      <c r="Q26" s="12">
        <f t="shared" si="2"/>
        <v>0.60242480286203126</v>
      </c>
      <c r="R26" s="12">
        <f t="shared" si="2"/>
        <v>19.814919604983423</v>
      </c>
      <c r="S26" s="12">
        <f t="shared" si="2"/>
        <v>1.6994860191088175</v>
      </c>
      <c r="T26" s="12">
        <f t="shared" si="2"/>
        <v>5.3787023605832829</v>
      </c>
      <c r="U26" s="12">
        <f t="shared" si="2"/>
        <v>0</v>
      </c>
    </row>
    <row r="27" spans="1:21" x14ac:dyDescent="0.3">
      <c r="A27" s="15">
        <f t="shared" si="1"/>
        <v>26</v>
      </c>
      <c r="B27" s="15" t="s">
        <v>36</v>
      </c>
      <c r="C27" s="8">
        <v>327.70529272120461</v>
      </c>
      <c r="D27" s="8">
        <v>303.22780967913712</v>
      </c>
      <c r="E27" s="8">
        <v>300.38662244147991</v>
      </c>
      <c r="F27" s="8">
        <v>323.52210271388782</v>
      </c>
      <c r="G27" s="8">
        <v>289.38080724256753</v>
      </c>
      <c r="H27" s="8">
        <v>227.12517012355852</v>
      </c>
      <c r="I27" s="8">
        <v>283.79588912511969</v>
      </c>
      <c r="J27" s="8">
        <v>308.74379824671007</v>
      </c>
      <c r="K27" s="8">
        <v>291.3367039393807</v>
      </c>
      <c r="M27" s="12">
        <f t="shared" si="2"/>
        <v>12.483352866307996</v>
      </c>
      <c r="N27" s="12">
        <f t="shared" si="2"/>
        <v>4.0815680204271976</v>
      </c>
      <c r="O27" s="12">
        <f t="shared" si="2"/>
        <v>3.106343409439499</v>
      </c>
      <c r="P27" s="12">
        <f t="shared" si="2"/>
        <v>11.047491901742678</v>
      </c>
      <c r="Q27" s="12">
        <f t="shared" si="2"/>
        <v>0.67135265497482222</v>
      </c>
      <c r="R27" s="12">
        <f t="shared" si="2"/>
        <v>22.040317250648535</v>
      </c>
      <c r="S27" s="12">
        <f t="shared" si="2"/>
        <v>2.5883504248850331</v>
      </c>
      <c r="T27" s="12">
        <f t="shared" si="2"/>
        <v>5.9749060355098003</v>
      </c>
      <c r="U27" s="12">
        <f t="shared" si="2"/>
        <v>0</v>
      </c>
    </row>
    <row r="28" spans="1:21" x14ac:dyDescent="0.3">
      <c r="A28" s="15">
        <f t="shared" si="1"/>
        <v>27</v>
      </c>
      <c r="B28" s="15" t="s">
        <v>37</v>
      </c>
      <c r="C28" s="8">
        <v>326.50871406341656</v>
      </c>
      <c r="D28" s="8">
        <v>302.23843102134902</v>
      </c>
      <c r="E28" s="8">
        <v>299.60074378369183</v>
      </c>
      <c r="F28" s="8">
        <v>321.48118405609972</v>
      </c>
      <c r="G28" s="8">
        <v>288.78880858477947</v>
      </c>
      <c r="H28" s="8">
        <v>226.13579146577044</v>
      </c>
      <c r="I28" s="8">
        <v>284.17329046733158</v>
      </c>
      <c r="J28" s="8">
        <v>307.842479588922</v>
      </c>
      <c r="K28" s="8">
        <v>290.34732528159259</v>
      </c>
      <c r="M28" s="12">
        <f t="shared" si="2"/>
        <v>12.454527950878468</v>
      </c>
      <c r="N28" s="12">
        <f t="shared" si="2"/>
        <v>4.0954762466724537</v>
      </c>
      <c r="O28" s="12">
        <f t="shared" si="2"/>
        <v>3.1870169608501935</v>
      </c>
      <c r="P28" s="12">
        <f t="shared" si="2"/>
        <v>10.722970753841814</v>
      </c>
      <c r="Q28" s="12">
        <f t="shared" si="2"/>
        <v>0.53677666749696817</v>
      </c>
      <c r="R28" s="12">
        <f t="shared" si="2"/>
        <v>22.115421161034206</v>
      </c>
      <c r="S28" s="12">
        <f t="shared" si="2"/>
        <v>2.1264307526419035</v>
      </c>
      <c r="T28" s="12">
        <f t="shared" si="2"/>
        <v>6.0255951351925781</v>
      </c>
      <c r="U28" s="12">
        <f t="shared" si="2"/>
        <v>0</v>
      </c>
    </row>
    <row r="29" spans="1:21" x14ac:dyDescent="0.3">
      <c r="A29" s="15">
        <f t="shared" si="1"/>
        <v>28</v>
      </c>
      <c r="B29" s="15" t="s">
        <v>38</v>
      </c>
      <c r="C29" s="8">
        <v>356.46534842821092</v>
      </c>
      <c r="D29" s="8">
        <v>332.50734538614347</v>
      </c>
      <c r="E29" s="8">
        <v>330.34621814848617</v>
      </c>
      <c r="F29" s="8">
        <v>351.11147842089423</v>
      </c>
      <c r="G29" s="8">
        <v>319.21904294957392</v>
      </c>
      <c r="H29" s="8">
        <v>256.40470583056486</v>
      </c>
      <c r="I29" s="8">
        <v>315.41160483212599</v>
      </c>
      <c r="J29" s="8">
        <v>338.00039395371641</v>
      </c>
      <c r="K29" s="8">
        <v>320.61623964638704</v>
      </c>
      <c r="M29" s="12">
        <f t="shared" si="2"/>
        <v>11.181314091064896</v>
      </c>
      <c r="N29" s="12">
        <f t="shared" si="2"/>
        <v>3.7088282717280081</v>
      </c>
      <c r="O29" s="12">
        <f t="shared" si="2"/>
        <v>3.0347740690959646</v>
      </c>
      <c r="P29" s="12">
        <f t="shared" si="2"/>
        <v>9.5114454614466464</v>
      </c>
      <c r="Q29" s="12">
        <f t="shared" si="2"/>
        <v>0.43578475574229081</v>
      </c>
      <c r="R29" s="12">
        <f t="shared" si="2"/>
        <v>20.027536311523754</v>
      </c>
      <c r="S29" s="12">
        <f t="shared" si="2"/>
        <v>1.6233222683920605</v>
      </c>
      <c r="T29" s="12">
        <f t="shared" si="2"/>
        <v>5.4221066052370395</v>
      </c>
      <c r="U29" s="12">
        <f t="shared" si="2"/>
        <v>0</v>
      </c>
    </row>
    <row r="30" spans="1:21" x14ac:dyDescent="0.3">
      <c r="A30" s="15">
        <f t="shared" si="1"/>
        <v>29</v>
      </c>
      <c r="B30" s="15" t="s">
        <v>39</v>
      </c>
      <c r="C30" s="8">
        <v>408.35727635177784</v>
      </c>
      <c r="D30" s="8">
        <v>383.88423330971034</v>
      </c>
      <c r="E30" s="8">
        <v>381.16366607205316</v>
      </c>
      <c r="F30" s="8">
        <v>403.19506634446105</v>
      </c>
      <c r="G30" s="8">
        <v>370.68473087314078</v>
      </c>
      <c r="H30" s="8">
        <v>307.78159375413173</v>
      </c>
      <c r="I30" s="8">
        <v>366.96979275569288</v>
      </c>
      <c r="J30" s="8">
        <v>389.56820187728329</v>
      </c>
      <c r="K30" s="8">
        <v>371.99312756995391</v>
      </c>
      <c r="M30" s="12">
        <f t="shared" si="2"/>
        <v>9.7754894073911593</v>
      </c>
      <c r="N30" s="12">
        <f t="shared" si="2"/>
        <v>3.1965928557430905</v>
      </c>
      <c r="O30" s="12">
        <f t="shared" si="2"/>
        <v>2.4652440656648187</v>
      </c>
      <c r="P30" s="12">
        <f t="shared" si="2"/>
        <v>8.3877729081539449</v>
      </c>
      <c r="Q30" s="12">
        <f t="shared" si="2"/>
        <v>0.35172604003741637</v>
      </c>
      <c r="R30" s="12">
        <f t="shared" si="2"/>
        <v>17.261483897641924</v>
      </c>
      <c r="S30" s="12">
        <f t="shared" si="2"/>
        <v>1.3503837683980835</v>
      </c>
      <c r="T30" s="12">
        <f t="shared" si="2"/>
        <v>4.7245696236751993</v>
      </c>
      <c r="U30" s="12">
        <f t="shared" si="2"/>
        <v>0</v>
      </c>
    </row>
    <row r="31" spans="1:21" x14ac:dyDescent="0.3">
      <c r="A31" s="15">
        <f t="shared" si="1"/>
        <v>30</v>
      </c>
      <c r="B31" s="15" t="s">
        <v>40</v>
      </c>
      <c r="C31" s="8">
        <v>450.36676749595853</v>
      </c>
      <c r="D31" s="8">
        <v>426.01878445389104</v>
      </c>
      <c r="E31" s="8">
        <v>423.11321721623381</v>
      </c>
      <c r="F31" s="8">
        <v>443.91399748864183</v>
      </c>
      <c r="G31" s="8">
        <v>412.38564201732152</v>
      </c>
      <c r="H31" s="8">
        <v>349.91614489831244</v>
      </c>
      <c r="I31" s="8">
        <v>408.7587638998736</v>
      </c>
      <c r="J31" s="8">
        <v>431.67241302146402</v>
      </c>
      <c r="K31" s="8">
        <v>414.12767871413462</v>
      </c>
      <c r="M31" s="12">
        <f t="shared" si="2"/>
        <v>8.7507043466271526</v>
      </c>
      <c r="N31" s="12">
        <f t="shared" si="2"/>
        <v>2.8713622273880071</v>
      </c>
      <c r="O31" s="12">
        <f t="shared" si="2"/>
        <v>2.1697507710663686</v>
      </c>
      <c r="P31" s="12">
        <f t="shared" si="2"/>
        <v>7.1925447888423326</v>
      </c>
      <c r="Q31" s="12">
        <f t="shared" si="2"/>
        <v>0.42065208059073028</v>
      </c>
      <c r="R31" s="12">
        <f t="shared" si="2"/>
        <v>15.505250461693077</v>
      </c>
      <c r="S31" s="12">
        <f t="shared" si="2"/>
        <v>1.2964395016849599</v>
      </c>
      <c r="T31" s="12">
        <f t="shared" si="2"/>
        <v>4.2365519643134606</v>
      </c>
      <c r="U31" s="12">
        <f t="shared" si="2"/>
        <v>0</v>
      </c>
    </row>
    <row r="32" spans="1:21" x14ac:dyDescent="0.3">
      <c r="A32" s="15">
        <f t="shared" si="1"/>
        <v>31</v>
      </c>
      <c r="B32" s="15" t="s">
        <v>41</v>
      </c>
      <c r="C32" s="8">
        <v>515.4084752863464</v>
      </c>
      <c r="D32" s="8">
        <v>491.09231224427901</v>
      </c>
      <c r="E32" s="8">
        <v>488.00840500662173</v>
      </c>
      <c r="F32" s="8">
        <v>509.48554527902974</v>
      </c>
      <c r="G32" s="8">
        <v>478.24948980770944</v>
      </c>
      <c r="H32" s="8">
        <v>414.98967268870041</v>
      </c>
      <c r="I32" s="8">
        <v>473.97289169026152</v>
      </c>
      <c r="J32" s="8">
        <v>496.66528081185197</v>
      </c>
      <c r="K32" s="8">
        <v>479.20120650452259</v>
      </c>
      <c r="M32" s="12">
        <f t="shared" si="2"/>
        <v>7.5557549293194652</v>
      </c>
      <c r="N32" s="12">
        <f t="shared" si="2"/>
        <v>2.4814431972103561</v>
      </c>
      <c r="O32" s="12">
        <f t="shared" si="2"/>
        <v>1.8378915542267151</v>
      </c>
      <c r="P32" s="12">
        <f t="shared" si="2"/>
        <v>6.3197542834695115</v>
      </c>
      <c r="Q32" s="12">
        <f t="shared" si="2"/>
        <v>0.19860482066715507</v>
      </c>
      <c r="R32" s="12">
        <f t="shared" si="2"/>
        <v>13.399702034184291</v>
      </c>
      <c r="S32" s="12">
        <f t="shared" si="2"/>
        <v>1.0910479237726469</v>
      </c>
      <c r="T32" s="12">
        <f t="shared" si="2"/>
        <v>3.6444136764009927</v>
      </c>
      <c r="U32" s="12">
        <f t="shared" si="2"/>
        <v>0</v>
      </c>
    </row>
    <row r="33" spans="1:21" x14ac:dyDescent="0.3">
      <c r="A33" s="15">
        <f t="shared" si="1"/>
        <v>32</v>
      </c>
      <c r="B33" s="15" t="s">
        <v>42</v>
      </c>
      <c r="C33" s="8">
        <v>600.91213797771877</v>
      </c>
      <c r="D33" s="8">
        <v>576.48423493565133</v>
      </c>
      <c r="E33" s="8">
        <v>573.22050769799409</v>
      </c>
      <c r="F33" s="8">
        <v>595.41618797040212</v>
      </c>
      <c r="G33" s="8">
        <v>564.26449249908183</v>
      </c>
      <c r="H33" s="8">
        <v>500.38159538007272</v>
      </c>
      <c r="I33" s="8">
        <v>560.26687438163378</v>
      </c>
      <c r="J33" s="8">
        <v>582.24664350322428</v>
      </c>
      <c r="K33" s="8">
        <v>564.59312919589479</v>
      </c>
      <c r="M33" s="12">
        <f t="shared" si="2"/>
        <v>6.432775551758886</v>
      </c>
      <c r="N33" s="12">
        <f t="shared" si="2"/>
        <v>2.1061371676081322</v>
      </c>
      <c r="O33" s="12">
        <f t="shared" si="2"/>
        <v>1.5280700483172007</v>
      </c>
      <c r="P33" s="12">
        <f t="shared" si="2"/>
        <v>5.4593400416342597</v>
      </c>
      <c r="Q33" s="12">
        <f t="shared" si="2"/>
        <v>5.8207703887756354E-2</v>
      </c>
      <c r="R33" s="12">
        <f t="shared" si="2"/>
        <v>11.373063272532818</v>
      </c>
      <c r="S33" s="12">
        <f t="shared" si="2"/>
        <v>0.76626062035550224</v>
      </c>
      <c r="T33" s="12">
        <f t="shared" si="2"/>
        <v>3.1267674710232458</v>
      </c>
      <c r="U33" s="12">
        <f t="shared" si="2"/>
        <v>0</v>
      </c>
    </row>
    <row r="34" spans="1:21" x14ac:dyDescent="0.3">
      <c r="A34" s="15">
        <f t="shared" si="1"/>
        <v>33</v>
      </c>
      <c r="B34" s="15" t="s">
        <v>43</v>
      </c>
      <c r="C34" s="8">
        <v>820.37730645137253</v>
      </c>
      <c r="D34" s="8">
        <v>796.26464340930511</v>
      </c>
      <c r="E34" s="8">
        <v>793.91629617164779</v>
      </c>
      <c r="F34" s="8">
        <v>813.45907644405577</v>
      </c>
      <c r="G34" s="8">
        <v>784.08634097273546</v>
      </c>
      <c r="H34" s="8">
        <v>720.16200385372645</v>
      </c>
      <c r="I34" s="8">
        <v>780.40174285528758</v>
      </c>
      <c r="J34" s="8">
        <v>802.33785197687803</v>
      </c>
      <c r="K34" s="8">
        <v>784.37353766954857</v>
      </c>
      <c r="M34" s="12">
        <f t="shared" si="2"/>
        <v>4.5901304739059308</v>
      </c>
      <c r="N34" s="12">
        <f t="shared" si="2"/>
        <v>1.5160003708292089</v>
      </c>
      <c r="O34" s="12">
        <f t="shared" si="2"/>
        <v>1.2166089297774754</v>
      </c>
      <c r="P34" s="12">
        <f t="shared" si="2"/>
        <v>3.7081234102980085</v>
      </c>
      <c r="Q34" s="12">
        <f t="shared" si="2"/>
        <v>3.6614786580689826E-2</v>
      </c>
      <c r="R34" s="12">
        <f t="shared" si="2"/>
        <v>8.186346266423131</v>
      </c>
      <c r="S34" s="12">
        <f t="shared" si="2"/>
        <v>0.50636522313865717</v>
      </c>
      <c r="T34" s="12">
        <f t="shared" si="2"/>
        <v>2.2902754165704287</v>
      </c>
      <c r="U34" s="12">
        <f t="shared" si="2"/>
        <v>0</v>
      </c>
    </row>
    <row r="35" spans="1:21" x14ac:dyDescent="0.3">
      <c r="A35" s="15">
        <f t="shared" si="1"/>
        <v>34</v>
      </c>
      <c r="B35" s="15" t="s">
        <v>44</v>
      </c>
      <c r="C35" s="8">
        <v>1059.2773057993747</v>
      </c>
      <c r="D35" s="8">
        <v>1036.8688627573072</v>
      </c>
      <c r="E35" s="8">
        <v>1036.44747551965</v>
      </c>
      <c r="F35" s="8">
        <v>1051.1721157920581</v>
      </c>
      <c r="G35" s="8">
        <v>1028.2211003207378</v>
      </c>
      <c r="H35" s="8">
        <v>960.76622320172874</v>
      </c>
      <c r="I35" s="8">
        <v>1023.3791422032898</v>
      </c>
      <c r="J35" s="8">
        <v>1044.1423513248803</v>
      </c>
      <c r="K35" s="8">
        <v>1024.9777570175509</v>
      </c>
      <c r="M35" s="12">
        <f t="shared" si="2"/>
        <v>3.3463700599345372</v>
      </c>
      <c r="N35" s="12">
        <f t="shared" si="2"/>
        <v>1.1601330524826889</v>
      </c>
      <c r="O35" s="12">
        <f t="shared" si="2"/>
        <v>1.1190212103210271</v>
      </c>
      <c r="P35" s="12">
        <f t="shared" si="2"/>
        <v>2.5556026552933977</v>
      </c>
      <c r="Q35" s="12">
        <f t="shared" si="2"/>
        <v>0.3164306035893264</v>
      </c>
      <c r="R35" s="12">
        <f t="shared" si="2"/>
        <v>6.2646758308846513</v>
      </c>
      <c r="S35" s="12">
        <f t="shared" si="2"/>
        <v>0.15596580543490576</v>
      </c>
      <c r="T35" s="12">
        <f t="shared" si="2"/>
        <v>1.8697570923972082</v>
      </c>
      <c r="U35" s="12">
        <f t="shared" si="2"/>
        <v>0</v>
      </c>
    </row>
    <row r="36" spans="1:21" x14ac:dyDescent="0.3">
      <c r="A36" s="15">
        <f t="shared" si="1"/>
        <v>35</v>
      </c>
      <c r="B36" s="15" t="s">
        <v>45</v>
      </c>
      <c r="C36" s="8">
        <v>961.10412592560533</v>
      </c>
      <c r="D36" s="8">
        <v>939.41126288353792</v>
      </c>
      <c r="E36" s="8">
        <v>939.58113564588052</v>
      </c>
      <c r="F36" s="8">
        <v>952.43061591828859</v>
      </c>
      <c r="G36" s="8">
        <v>928.66560044696826</v>
      </c>
      <c r="H36" s="8">
        <v>863.30862332795925</v>
      </c>
      <c r="I36" s="8">
        <v>922.76470232952033</v>
      </c>
      <c r="J36" s="8">
        <v>945.63247145111086</v>
      </c>
      <c r="K36" s="8">
        <v>927.52015714378138</v>
      </c>
      <c r="M36" s="12">
        <f t="shared" si="2"/>
        <v>3.6208343854480645</v>
      </c>
      <c r="N36" s="12">
        <f t="shared" si="2"/>
        <v>1.2820320559257903</v>
      </c>
      <c r="O36" s="12">
        <f t="shared" si="2"/>
        <v>1.3003467805206403</v>
      </c>
      <c r="P36" s="12">
        <f t="shared" si="2"/>
        <v>2.6857053814568124</v>
      </c>
      <c r="Q36" s="12">
        <f t="shared" si="2"/>
        <v>0.1234952463690034</v>
      </c>
      <c r="R36" s="12">
        <f t="shared" si="2"/>
        <v>6.9229259678362158</v>
      </c>
      <c r="S36" s="12">
        <f t="shared" si="2"/>
        <v>0.51270635766073891</v>
      </c>
      <c r="T36" s="12">
        <f t="shared" si="2"/>
        <v>1.952767728855058</v>
      </c>
      <c r="U36" s="12">
        <f t="shared" si="2"/>
        <v>0</v>
      </c>
    </row>
    <row r="37" spans="1:21" x14ac:dyDescent="0.3">
      <c r="A37" s="15">
        <f t="shared" si="1"/>
        <v>36</v>
      </c>
      <c r="B37" s="15" t="s">
        <v>46</v>
      </c>
      <c r="C37" s="8">
        <v>1268.8304401780663</v>
      </c>
      <c r="D37" s="8">
        <v>1246.7468571359989</v>
      </c>
      <c r="E37" s="8">
        <v>1247.8461698983417</v>
      </c>
      <c r="F37" s="8">
        <v>1262.0750101707495</v>
      </c>
      <c r="G37" s="8">
        <v>1236.7589546994293</v>
      </c>
      <c r="H37" s="8">
        <v>1170.6442175804202</v>
      </c>
      <c r="I37" s="8">
        <v>1230.1402565819815</v>
      </c>
      <c r="J37" s="8">
        <v>1253.4705257035716</v>
      </c>
      <c r="K37" s="8">
        <v>1234.8557513962423</v>
      </c>
      <c r="M37" s="12">
        <f t="shared" si="2"/>
        <v>2.7513083000511607</v>
      </c>
      <c r="N37" s="12">
        <f t="shared" si="2"/>
        <v>0.962955043640632</v>
      </c>
      <c r="O37" s="12">
        <f t="shared" si="2"/>
        <v>1.0519786207750341</v>
      </c>
      <c r="P37" s="12">
        <f t="shared" si="2"/>
        <v>2.2042460217503548</v>
      </c>
      <c r="Q37" s="12">
        <f t="shared" si="2"/>
        <v>0.15412353232634809</v>
      </c>
      <c r="R37" s="12">
        <f t="shared" si="2"/>
        <v>5.1999218324260639</v>
      </c>
      <c r="S37" s="12">
        <f t="shared" si="2"/>
        <v>0.38186604459096452</v>
      </c>
      <c r="T37" s="12">
        <f t="shared" si="2"/>
        <v>1.5074452450241018</v>
      </c>
      <c r="U37" s="12">
        <f t="shared" si="2"/>
        <v>0</v>
      </c>
    </row>
    <row r="38" spans="1:21" x14ac:dyDescent="0.3">
      <c r="A38" s="15">
        <f t="shared" si="1"/>
        <v>37</v>
      </c>
      <c r="B38" s="15" t="s">
        <v>47</v>
      </c>
      <c r="C38" s="8">
        <v>995.1626984095833</v>
      </c>
      <c r="D38" s="8">
        <v>975.98369427547254</v>
      </c>
      <c r="E38" s="8">
        <v>973.99849285575101</v>
      </c>
      <c r="F38" s="8">
        <v>988.08277602691692</v>
      </c>
      <c r="G38" s="8">
        <v>960.49030337229681</v>
      </c>
      <c r="H38" s="8">
        <v>941.49113207244125</v>
      </c>
      <c r="I38" s="8">
        <v>954.74015992352543</v>
      </c>
      <c r="J38" s="8">
        <v>983.17531716818655</v>
      </c>
      <c r="K38" s="8">
        <v>962.26814598119142</v>
      </c>
      <c r="M38" s="12">
        <f t="shared" si="2"/>
        <v>3.4184392953016687</v>
      </c>
      <c r="N38" s="12">
        <f t="shared" si="2"/>
        <v>1.425335375753902</v>
      </c>
      <c r="O38" s="12">
        <f t="shared" si="2"/>
        <v>1.2190309866901556</v>
      </c>
      <c r="P38" s="12">
        <f t="shared" si="2"/>
        <v>2.6826857101669108</v>
      </c>
      <c r="Q38" s="12">
        <f t="shared" si="2"/>
        <v>0.18475542563884953</v>
      </c>
      <c r="R38" s="12">
        <f t="shared" si="2"/>
        <v>2.1591709125489733</v>
      </c>
      <c r="S38" s="12">
        <f t="shared" si="2"/>
        <v>0.78231687176862452</v>
      </c>
      <c r="T38" s="12">
        <f t="shared" si="2"/>
        <v>2.1726970049161101</v>
      </c>
      <c r="U38" s="12">
        <f t="shared" si="2"/>
        <v>0</v>
      </c>
    </row>
    <row r="39" spans="1:21" x14ac:dyDescent="0.3">
      <c r="A39" s="15">
        <f t="shared" si="1"/>
        <v>38</v>
      </c>
      <c r="B39" s="15" t="s">
        <v>48</v>
      </c>
      <c r="C39" s="8">
        <v>964.53143115885939</v>
      </c>
      <c r="D39" s="8">
        <v>943.00958702474873</v>
      </c>
      <c r="E39" s="8">
        <v>941.99674560502717</v>
      </c>
      <c r="F39" s="8">
        <v>956.30080877619298</v>
      </c>
      <c r="G39" s="8">
        <v>929.46609612157295</v>
      </c>
      <c r="H39" s="8">
        <v>908.51702482171743</v>
      </c>
      <c r="I39" s="8">
        <v>924.54845267280155</v>
      </c>
      <c r="J39" s="8">
        <v>951.54356991746261</v>
      </c>
      <c r="K39" s="8">
        <v>929.29403873046761</v>
      </c>
      <c r="M39" s="12">
        <f t="shared" si="2"/>
        <v>3.7918453105037124</v>
      </c>
      <c r="N39" s="12">
        <f t="shared" si="2"/>
        <v>1.475910500084374</v>
      </c>
      <c r="O39" s="12">
        <f t="shared" si="2"/>
        <v>1.3669200861239852</v>
      </c>
      <c r="P39" s="12">
        <f t="shared" si="2"/>
        <v>2.9061598288761235</v>
      </c>
      <c r="Q39" s="12">
        <f t="shared" si="2"/>
        <v>1.8514849330185386E-2</v>
      </c>
      <c r="R39" s="12">
        <f t="shared" si="2"/>
        <v>2.2357846970732953</v>
      </c>
      <c r="S39" s="12">
        <f t="shared" si="2"/>
        <v>0.51066571611167622</v>
      </c>
      <c r="T39" s="12">
        <f t="shared" si="2"/>
        <v>2.3942401715382413</v>
      </c>
      <c r="U39" s="12">
        <f t="shared" si="2"/>
        <v>0</v>
      </c>
    </row>
    <row r="40" spans="1:21" x14ac:dyDescent="0.3">
      <c r="A40" s="15">
        <f t="shared" si="1"/>
        <v>39</v>
      </c>
      <c r="B40" s="15" t="s">
        <v>49</v>
      </c>
      <c r="C40" s="8">
        <v>1416.4973462277651</v>
      </c>
      <c r="D40" s="8">
        <v>1394.8622820936544</v>
      </c>
      <c r="E40" s="8">
        <v>1392.8548806739327</v>
      </c>
      <c r="F40" s="8">
        <v>1402.2468238450988</v>
      </c>
      <c r="G40" s="8">
        <v>1379.3400311904786</v>
      </c>
      <c r="H40" s="8">
        <v>1360.3697198906232</v>
      </c>
      <c r="I40" s="8">
        <v>1373.4337477417073</v>
      </c>
      <c r="J40" s="8">
        <v>1401.1585049863684</v>
      </c>
      <c r="K40" s="8">
        <v>1381.1467337993734</v>
      </c>
      <c r="M40" s="12">
        <f t="shared" si="2"/>
        <v>2.5595117132229923</v>
      </c>
      <c r="N40" s="12">
        <f t="shared" si="2"/>
        <v>0.99305511562490789</v>
      </c>
      <c r="O40" s="12">
        <f t="shared" si="2"/>
        <v>0.84771201987725209</v>
      </c>
      <c r="P40" s="12">
        <f t="shared" si="2"/>
        <v>1.5277225460093986</v>
      </c>
      <c r="Q40" s="12">
        <f t="shared" si="2"/>
        <v>0.13081177869672911</v>
      </c>
      <c r="R40" s="12">
        <f t="shared" si="2"/>
        <v>1.5043306696019936</v>
      </c>
      <c r="S40" s="12">
        <f t="shared" si="2"/>
        <v>0.55844798158762854</v>
      </c>
      <c r="T40" s="12">
        <f t="shared" si="2"/>
        <v>1.4489243392658921</v>
      </c>
      <c r="U40" s="12">
        <f t="shared" si="2"/>
        <v>0</v>
      </c>
    </row>
    <row r="41" spans="1:21" x14ac:dyDescent="0.3">
      <c r="A41" s="15">
        <f t="shared" si="1"/>
        <v>40</v>
      </c>
      <c r="B41" s="15" t="s">
        <v>50</v>
      </c>
      <c r="C41" s="8">
        <v>1113.4890154657498</v>
      </c>
      <c r="D41" s="8">
        <v>1090.9141513316395</v>
      </c>
      <c r="E41" s="8">
        <v>1090.6464899119176</v>
      </c>
      <c r="F41" s="8">
        <v>1102.8075130830837</v>
      </c>
      <c r="G41" s="8">
        <v>1077.1346004284633</v>
      </c>
      <c r="H41" s="8">
        <v>1056.421589128608</v>
      </c>
      <c r="I41" s="8">
        <v>1069.048276979692</v>
      </c>
      <c r="J41" s="8">
        <v>1098.6933342243531</v>
      </c>
      <c r="K41" s="8">
        <v>1077.1986030373582</v>
      </c>
      <c r="M41" s="12">
        <f t="shared" si="2"/>
        <v>3.3689620768226187</v>
      </c>
      <c r="N41" s="12">
        <f t="shared" si="2"/>
        <v>1.273260869036382</v>
      </c>
      <c r="O41" s="12">
        <f t="shared" si="2"/>
        <v>1.248412951580198</v>
      </c>
      <c r="P41" s="12">
        <f t="shared" si="2"/>
        <v>2.3773619807449111</v>
      </c>
      <c r="Q41" s="12">
        <f t="shared" si="2"/>
        <v>5.9415792700144177E-3</v>
      </c>
      <c r="R41" s="12">
        <f t="shared" si="2"/>
        <v>1.9288006733545322</v>
      </c>
      <c r="S41" s="12">
        <f t="shared" si="2"/>
        <v>0.75662241249523543</v>
      </c>
      <c r="T41" s="12">
        <f t="shared" si="2"/>
        <v>1.9954288026726472</v>
      </c>
      <c r="U41" s="12">
        <f t="shared" si="2"/>
        <v>0</v>
      </c>
    </row>
    <row r="42" spans="1:21" x14ac:dyDescent="0.3">
      <c r="A42" s="15">
        <f t="shared" si="1"/>
        <v>41</v>
      </c>
      <c r="B42" s="15" t="s">
        <v>51</v>
      </c>
      <c r="C42" s="8">
        <v>1025.6518910291547</v>
      </c>
      <c r="D42" s="8">
        <v>1003.2738668950441</v>
      </c>
      <c r="E42" s="8">
        <v>999.53042547532243</v>
      </c>
      <c r="F42" s="8">
        <v>1015.1886886464883</v>
      </c>
      <c r="G42" s="8">
        <v>987.47855599186823</v>
      </c>
      <c r="H42" s="8">
        <v>968.78130469201278</v>
      </c>
      <c r="I42" s="8">
        <v>980.2336125430968</v>
      </c>
      <c r="J42" s="8">
        <v>1009.1719697877579</v>
      </c>
      <c r="K42" s="8">
        <v>989.55831860076296</v>
      </c>
      <c r="M42" s="12">
        <f t="shared" si="2"/>
        <v>3.6474426771964432</v>
      </c>
      <c r="N42" s="12">
        <f t="shared" si="2"/>
        <v>1.3860272847460804</v>
      </c>
      <c r="O42" s="12">
        <f t="shared" si="2"/>
        <v>1.0077331155843394</v>
      </c>
      <c r="P42" s="12">
        <f t="shared" si="2"/>
        <v>2.5900818136688262</v>
      </c>
      <c r="Q42" s="12">
        <f t="shared" si="2"/>
        <v>0.21017079739529787</v>
      </c>
      <c r="R42" s="12">
        <f t="shared" si="2"/>
        <v>2.0996250062481319</v>
      </c>
      <c r="S42" s="12">
        <f t="shared" si="2"/>
        <v>0.94230990558002803</v>
      </c>
      <c r="T42" s="12">
        <f t="shared" si="2"/>
        <v>1.9820611699499118</v>
      </c>
      <c r="U42" s="12">
        <f t="shared" si="2"/>
        <v>0</v>
      </c>
    </row>
    <row r="43" spans="1:21" x14ac:dyDescent="0.3">
      <c r="A43" s="15">
        <f t="shared" si="1"/>
        <v>42</v>
      </c>
      <c r="B43" s="15" t="s">
        <v>52</v>
      </c>
      <c r="C43" s="8">
        <v>1157.2412079521425</v>
      </c>
      <c r="D43" s="8">
        <v>1134.494663818032</v>
      </c>
      <c r="E43" s="8">
        <v>1131.5356223983101</v>
      </c>
      <c r="F43" s="8">
        <v>1144.8406855694761</v>
      </c>
      <c r="G43" s="8">
        <v>1118.7629929148561</v>
      </c>
      <c r="H43" s="8">
        <v>1100.0021016150008</v>
      </c>
      <c r="I43" s="8">
        <v>1107.1328094660848</v>
      </c>
      <c r="J43" s="8">
        <v>1139.5513867107459</v>
      </c>
      <c r="K43" s="8">
        <v>1120.779115523751</v>
      </c>
      <c r="M43" s="12">
        <f t="shared" si="2"/>
        <v>3.2532808582315926</v>
      </c>
      <c r="N43" s="12">
        <f t="shared" si="2"/>
        <v>1.223751237358808</v>
      </c>
      <c r="O43" s="12">
        <f t="shared" si="2"/>
        <v>0.95973477071193602</v>
      </c>
      <c r="P43" s="12">
        <f t="shared" si="2"/>
        <v>2.1468610284088796</v>
      </c>
      <c r="Q43" s="12">
        <f t="shared" si="2"/>
        <v>0.17988581166171369</v>
      </c>
      <c r="R43" s="12">
        <f t="shared" si="2"/>
        <v>1.8538009515854401</v>
      </c>
      <c r="S43" s="12">
        <f t="shared" si="2"/>
        <v>1.2175731924920015</v>
      </c>
      <c r="T43" s="12">
        <f t="shared" si="2"/>
        <v>1.6749304949550581</v>
      </c>
      <c r="U43" s="12">
        <f t="shared" si="2"/>
        <v>0</v>
      </c>
    </row>
    <row r="44" spans="1:21" x14ac:dyDescent="0.3">
      <c r="A44" s="15">
        <f t="shared" si="1"/>
        <v>43</v>
      </c>
      <c r="B44" s="15" t="s">
        <v>53</v>
      </c>
      <c r="C44" s="8">
        <v>1679.5780462486102</v>
      </c>
      <c r="D44" s="8">
        <v>1660.6565621144996</v>
      </c>
      <c r="E44" s="8">
        <v>1661.7778806947779</v>
      </c>
      <c r="F44" s="8">
        <v>1660.8564438659439</v>
      </c>
      <c r="G44" s="8">
        <v>1650.3328112113238</v>
      </c>
      <c r="H44" s="8">
        <v>1626.1639999114684</v>
      </c>
      <c r="I44" s="8">
        <v>1624.1312877625526</v>
      </c>
      <c r="J44" s="8">
        <v>1665.6452050072137</v>
      </c>
      <c r="K44" s="8">
        <v>1646.9410138202186</v>
      </c>
      <c r="M44" s="12">
        <f t="shared" si="2"/>
        <v>1.9816758556936593</v>
      </c>
      <c r="N44" s="12">
        <f t="shared" si="2"/>
        <v>0.83278928505560956</v>
      </c>
      <c r="O44" s="12">
        <f t="shared" si="2"/>
        <v>0.90087421164792825</v>
      </c>
      <c r="P44" s="12">
        <f t="shared" si="2"/>
        <v>0.8449258309165123</v>
      </c>
      <c r="Q44" s="12">
        <f t="shared" si="2"/>
        <v>0.2059452866036573</v>
      </c>
      <c r="R44" s="12">
        <f t="shared" si="2"/>
        <v>1.2615517941687626</v>
      </c>
      <c r="S44" s="12">
        <f t="shared" si="2"/>
        <v>1.3849752885051378</v>
      </c>
      <c r="T44" s="12">
        <f t="shared" si="2"/>
        <v>1.1356928408510003</v>
      </c>
      <c r="U44" s="12">
        <f t="shared" si="2"/>
        <v>0</v>
      </c>
    </row>
    <row r="45" spans="1:21" x14ac:dyDescent="0.3">
      <c r="A45" s="15">
        <f t="shared" si="1"/>
        <v>44</v>
      </c>
      <c r="B45" s="15" t="s">
        <v>54</v>
      </c>
      <c r="C45" s="8">
        <v>2240.4315958224379</v>
      </c>
      <c r="D45" s="8">
        <v>2218.4901716883278</v>
      </c>
      <c r="E45" s="8">
        <v>2215.0197902686059</v>
      </c>
      <c r="F45" s="8">
        <v>2215.8210734397717</v>
      </c>
      <c r="G45" s="8">
        <v>2204.2925207851517</v>
      </c>
      <c r="H45" s="8">
        <v>2183.9976094852964</v>
      </c>
      <c r="I45" s="8">
        <v>2171.4731773363801</v>
      </c>
      <c r="J45" s="8">
        <v>2222.4650145810415</v>
      </c>
      <c r="K45" s="8">
        <v>2204.7746233940466</v>
      </c>
      <c r="M45" s="12">
        <f t="shared" si="2"/>
        <v>1.6172615581678238</v>
      </c>
      <c r="N45" s="12">
        <f t="shared" si="2"/>
        <v>0.62208391500657856</v>
      </c>
      <c r="O45" s="12">
        <f t="shared" si="2"/>
        <v>0.46468091413297646</v>
      </c>
      <c r="P45" s="12">
        <f t="shared" si="2"/>
        <v>0.50102400166054772</v>
      </c>
      <c r="Q45" s="12">
        <f t="shared" si="2"/>
        <v>2.1866298885129028E-2</v>
      </c>
      <c r="R45" s="12">
        <f t="shared" si="2"/>
        <v>0.94236452507630397</v>
      </c>
      <c r="S45" s="12">
        <f t="shared" si="2"/>
        <v>1.5104240453567068</v>
      </c>
      <c r="T45" s="12">
        <f t="shared" si="2"/>
        <v>0.80236732586128046</v>
      </c>
      <c r="U45" s="12">
        <f t="shared" si="2"/>
        <v>0</v>
      </c>
    </row>
    <row r="46" spans="1:21" x14ac:dyDescent="0.3">
      <c r="A46" s="15">
        <f t="shared" si="1"/>
        <v>45</v>
      </c>
      <c r="B46" s="15" t="s">
        <v>55</v>
      </c>
      <c r="C46" s="8">
        <v>1912.2166786157209</v>
      </c>
      <c r="D46" s="8">
        <v>1890.9057344816101</v>
      </c>
      <c r="E46" s="8">
        <v>1888.1553730618884</v>
      </c>
      <c r="F46" s="8">
        <v>1896.3122562330545</v>
      </c>
      <c r="G46" s="8">
        <v>1876.3306835784344</v>
      </c>
      <c r="H46" s="8">
        <v>1856.4131722785789</v>
      </c>
      <c r="I46" s="8">
        <v>1850.9261401296631</v>
      </c>
      <c r="J46" s="8">
        <v>1895.0885173743243</v>
      </c>
      <c r="K46" s="8">
        <v>1877.1901861873291</v>
      </c>
      <c r="M46" s="12">
        <f t="shared" si="2"/>
        <v>1.8659000396508771</v>
      </c>
      <c r="N46" s="12">
        <f t="shared" si="2"/>
        <v>0.73064244609854889</v>
      </c>
      <c r="O46" s="12">
        <f t="shared" si="2"/>
        <v>0.58412764754700675</v>
      </c>
      <c r="P46" s="12">
        <f t="shared" ref="P46:U48" si="3">ABS((F46-$K46)/$K46)*100</f>
        <v>1.018653846926578</v>
      </c>
      <c r="Q46" s="12">
        <f t="shared" si="3"/>
        <v>4.5786655780486837E-2</v>
      </c>
      <c r="R46" s="12">
        <f t="shared" si="3"/>
        <v>1.1068145391783331</v>
      </c>
      <c r="S46" s="12">
        <f t="shared" si="3"/>
        <v>1.3991148180360835</v>
      </c>
      <c r="T46" s="12">
        <f t="shared" si="3"/>
        <v>0.95346392276573788</v>
      </c>
      <c r="U46" s="12">
        <f t="shared" si="3"/>
        <v>0</v>
      </c>
    </row>
    <row r="47" spans="1:21" x14ac:dyDescent="0.3">
      <c r="A47" s="15">
        <f t="shared" si="1"/>
        <v>46</v>
      </c>
      <c r="B47" s="15" t="s">
        <v>56</v>
      </c>
      <c r="C47" s="8">
        <v>1310.9981636695716</v>
      </c>
      <c r="D47" s="8">
        <v>1289.4859395354608</v>
      </c>
      <c r="E47" s="8">
        <v>1285.8283381157391</v>
      </c>
      <c r="F47" s="8">
        <v>1300.8324412869051</v>
      </c>
      <c r="G47" s="8">
        <v>1273.760188632285</v>
      </c>
      <c r="H47" s="8">
        <v>1254.9933773324296</v>
      </c>
      <c r="I47" s="8">
        <v>1263.4701451835138</v>
      </c>
      <c r="J47" s="8">
        <v>1294.9282024281749</v>
      </c>
      <c r="K47" s="8">
        <v>1275.7703912411798</v>
      </c>
      <c r="M47" s="12">
        <f t="shared" ref="M47:O48" si="4">ABS((C47-$K47)/$K47)*100</f>
        <v>2.7612940910251975</v>
      </c>
      <c r="N47" s="12">
        <f t="shared" si="4"/>
        <v>1.0750796842790289</v>
      </c>
      <c r="O47" s="12">
        <f t="shared" si="4"/>
        <v>0.78838221545289822</v>
      </c>
      <c r="P47" s="12">
        <f t="shared" si="3"/>
        <v>1.9644639989914461</v>
      </c>
      <c r="Q47" s="12">
        <f t="shared" si="3"/>
        <v>0.15756774280825847</v>
      </c>
      <c r="R47" s="12">
        <f t="shared" si="3"/>
        <v>1.6285856805734849</v>
      </c>
      <c r="S47" s="12">
        <f t="shared" si="3"/>
        <v>0.96414261861802009</v>
      </c>
      <c r="T47" s="12">
        <f t="shared" si="3"/>
        <v>1.5016660771031634</v>
      </c>
      <c r="U47" s="12">
        <f t="shared" si="3"/>
        <v>0</v>
      </c>
    </row>
    <row r="48" spans="1:21" x14ac:dyDescent="0.3">
      <c r="A48" s="15">
        <f t="shared" si="1"/>
        <v>47</v>
      </c>
      <c r="B48" s="15" t="s">
        <v>57</v>
      </c>
      <c r="C48" s="8">
        <v>1214.9788713128837</v>
      </c>
      <c r="D48" s="8">
        <v>1194.4160671787731</v>
      </c>
      <c r="E48" s="8">
        <v>1190.4328657590513</v>
      </c>
      <c r="F48" s="8">
        <v>1208.2585889302172</v>
      </c>
      <c r="G48" s="8">
        <v>1178.3787762755974</v>
      </c>
      <c r="H48" s="8">
        <v>1159.9235049757419</v>
      </c>
      <c r="I48" s="8">
        <v>1166.2305928268258</v>
      </c>
      <c r="J48" s="8">
        <v>1200.3245300714871</v>
      </c>
      <c r="K48" s="8">
        <v>1180.7005188844921</v>
      </c>
      <c r="M48" s="12">
        <f t="shared" si="4"/>
        <v>2.9032215943105766</v>
      </c>
      <c r="N48" s="12">
        <f t="shared" si="4"/>
        <v>1.1616449789688623</v>
      </c>
      <c r="O48" s="12">
        <f t="shared" si="4"/>
        <v>0.82428581328601191</v>
      </c>
      <c r="P48" s="12">
        <f t="shared" si="3"/>
        <v>2.3340440361423371</v>
      </c>
      <c r="Q48" s="12">
        <f t="shared" si="3"/>
        <v>0.19664111023583566</v>
      </c>
      <c r="R48" s="12">
        <f t="shared" si="3"/>
        <v>1.7597192155365513</v>
      </c>
      <c r="S48" s="12">
        <f t="shared" si="3"/>
        <v>1.2255373675398429</v>
      </c>
      <c r="T48" s="12">
        <f t="shared" si="3"/>
        <v>1.6620650938254364</v>
      </c>
      <c r="U48" s="12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813F0-E34B-4E1F-AADA-85D890FFA6E1}">
  <dimension ref="A1:Z48"/>
  <sheetViews>
    <sheetView topLeftCell="A16" workbookViewId="0">
      <selection activeCell="M2" sqref="M2:S48"/>
    </sheetView>
  </sheetViews>
  <sheetFormatPr defaultRowHeight="14.4" x14ac:dyDescent="0.3"/>
  <cols>
    <col min="1" max="1" width="8.88671875" style="16"/>
    <col min="3" max="3" width="7.6640625" bestFit="1" customWidth="1"/>
    <col min="4" max="9" width="7.6640625" customWidth="1"/>
    <col min="10" max="10" width="7.6640625" bestFit="1" customWidth="1"/>
  </cols>
  <sheetData>
    <row r="1" spans="1:21" x14ac:dyDescent="0.3">
      <c r="A1" s="16" t="s">
        <v>62</v>
      </c>
      <c r="B1" s="16" t="s">
        <v>61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64</v>
      </c>
      <c r="I1" s="16" t="s">
        <v>6</v>
      </c>
      <c r="J1" s="16" t="s">
        <v>10</v>
      </c>
    </row>
    <row r="2" spans="1:21" x14ac:dyDescent="0.3">
      <c r="A2" s="16">
        <v>1</v>
      </c>
      <c r="B2" s="16" t="s">
        <v>11</v>
      </c>
      <c r="C2" s="8">
        <v>1705.9782866456831</v>
      </c>
      <c r="D2" s="8">
        <v>1822.0436988793665</v>
      </c>
      <c r="E2" s="8">
        <v>1748.3565416056147</v>
      </c>
      <c r="F2" s="8">
        <v>1505.4410252393147</v>
      </c>
      <c r="G2" s="8">
        <v>1745.7114220240537</v>
      </c>
      <c r="H2" s="8">
        <v>1648.6772593622759</v>
      </c>
      <c r="I2" s="8">
        <v>1687.5958743305177</v>
      </c>
      <c r="J2" s="8">
        <v>1717.5114244595466</v>
      </c>
      <c r="M2" s="12">
        <f>ABS((C2-$J2)/$J2)*100</f>
        <v>0.67150282959501506</v>
      </c>
      <c r="N2" s="12">
        <f t="shared" ref="N2:S17" si="0">ABS((D2-$J2)/$J2)*100</f>
        <v>6.086263702887063</v>
      </c>
      <c r="O2" s="12">
        <f t="shared" si="0"/>
        <v>1.7959191832318793</v>
      </c>
      <c r="P2" s="12">
        <f t="shared" si="0"/>
        <v>12.347539364226618</v>
      </c>
      <c r="Q2" s="12">
        <f t="shared" si="0"/>
        <v>1.6419103339228684</v>
      </c>
      <c r="R2" s="12">
        <f t="shared" si="0"/>
        <v>4.0077849915281281</v>
      </c>
      <c r="S2" s="12">
        <f t="shared" si="0"/>
        <v>1.7417962817011488</v>
      </c>
      <c r="T2" s="8"/>
      <c r="U2" s="8"/>
    </row>
    <row r="3" spans="1:21" x14ac:dyDescent="0.3">
      <c r="A3" s="16">
        <f>A2+1</f>
        <v>2</v>
      </c>
      <c r="B3" s="16" t="s">
        <v>12</v>
      </c>
      <c r="C3" s="8">
        <v>1694.6804893223918</v>
      </c>
      <c r="D3" s="8">
        <v>1811.0549015560755</v>
      </c>
      <c r="E3" s="8">
        <v>1734.9857442823236</v>
      </c>
      <c r="F3" s="8">
        <v>1493.7982279160235</v>
      </c>
      <c r="G3" s="8">
        <v>1733.6996247007628</v>
      </c>
      <c r="H3" s="8">
        <v>1637.6884620389849</v>
      </c>
      <c r="I3" s="8">
        <v>1676.2050770072267</v>
      </c>
      <c r="J3" s="8">
        <v>1706.5226271362553</v>
      </c>
      <c r="M3" s="12">
        <f t="shared" ref="M3:S48" si="1">ABS((C3-$J3)/$J3)*100</f>
        <v>0.69393382927104619</v>
      </c>
      <c r="N3" s="12">
        <f t="shared" si="0"/>
        <v>6.1254549314261109</v>
      </c>
      <c r="O3" s="12">
        <f t="shared" si="0"/>
        <v>1.6679015381022351</v>
      </c>
      <c r="P3" s="12">
        <f t="shared" si="0"/>
        <v>12.465372321327392</v>
      </c>
      <c r="Q3" s="12">
        <f t="shared" si="0"/>
        <v>1.5925366082085681</v>
      </c>
      <c r="R3" s="12">
        <f t="shared" si="0"/>
        <v>4.0335922889450471</v>
      </c>
      <c r="S3" s="12">
        <f t="shared" si="0"/>
        <v>1.7765688920225471</v>
      </c>
      <c r="T3" s="8"/>
      <c r="U3" s="8"/>
    </row>
    <row r="4" spans="1:21" x14ac:dyDescent="0.3">
      <c r="A4" s="16">
        <f t="shared" ref="A4:A48" si="2">A3+1</f>
        <v>3</v>
      </c>
      <c r="B4" s="16" t="s">
        <v>13</v>
      </c>
      <c r="C4" s="8">
        <v>1686.229131354693</v>
      </c>
      <c r="D4" s="8">
        <v>1801.5985435883765</v>
      </c>
      <c r="E4" s="8">
        <v>1725.3613863146247</v>
      </c>
      <c r="F4" s="8">
        <v>1486.1478699483246</v>
      </c>
      <c r="G4" s="8">
        <v>1726.4602667330637</v>
      </c>
      <c r="H4" s="8">
        <v>1628.2321040712859</v>
      </c>
      <c r="I4" s="8">
        <v>1668.8547190395277</v>
      </c>
      <c r="J4" s="8">
        <v>1697.0662691685566</v>
      </c>
      <c r="M4" s="12">
        <f t="shared" si="1"/>
        <v>0.63858070900042274</v>
      </c>
      <c r="N4" s="12">
        <f t="shared" si="0"/>
        <v>6.1595870661570231</v>
      </c>
      <c r="O4" s="12">
        <f t="shared" si="0"/>
        <v>1.6672959483150163</v>
      </c>
      <c r="P4" s="12">
        <f t="shared" si="0"/>
        <v>12.428412670270514</v>
      </c>
      <c r="Q4" s="12">
        <f t="shared" si="0"/>
        <v>1.7320477166108614</v>
      </c>
      <c r="R4" s="12">
        <f t="shared" si="0"/>
        <v>4.056068189428724</v>
      </c>
      <c r="S4" s="12">
        <f t="shared" si="0"/>
        <v>1.6623717436120244</v>
      </c>
      <c r="T4" s="8"/>
      <c r="U4" s="8"/>
    </row>
    <row r="5" spans="1:21" x14ac:dyDescent="0.3">
      <c r="A5" s="16">
        <f t="shared" si="2"/>
        <v>4</v>
      </c>
      <c r="B5" s="16" t="s">
        <v>14</v>
      </c>
      <c r="C5" s="8">
        <v>1685.9164047624017</v>
      </c>
      <c r="D5" s="8">
        <v>1801.6908169960852</v>
      </c>
      <c r="E5" s="8">
        <v>1724.8206597223334</v>
      </c>
      <c r="F5" s="8">
        <v>1484.4161433560334</v>
      </c>
      <c r="G5" s="8">
        <v>1724.8155401407726</v>
      </c>
      <c r="H5" s="8">
        <v>1628.3243774789946</v>
      </c>
      <c r="I5" s="8">
        <v>1667.5069924472364</v>
      </c>
      <c r="J5" s="8">
        <v>1697.1585425762653</v>
      </c>
      <c r="M5" s="12">
        <f t="shared" si="1"/>
        <v>0.66240940559378392</v>
      </c>
      <c r="N5" s="12">
        <f t="shared" si="0"/>
        <v>6.159252173408694</v>
      </c>
      <c r="O5" s="12">
        <f t="shared" si="0"/>
        <v>1.6299076634335745</v>
      </c>
      <c r="P5" s="12">
        <f t="shared" si="0"/>
        <v>12.53521069971999</v>
      </c>
      <c r="Q5" s="12">
        <f t="shared" si="0"/>
        <v>1.62960600737538</v>
      </c>
      <c r="R5" s="12">
        <f t="shared" si="0"/>
        <v>4.0558476636355545</v>
      </c>
      <c r="S5" s="12">
        <f t="shared" si="0"/>
        <v>1.7471290622040674</v>
      </c>
      <c r="T5" s="8"/>
      <c r="U5" s="8"/>
    </row>
    <row r="6" spans="1:21" x14ac:dyDescent="0.3">
      <c r="A6" s="16">
        <f t="shared" si="2"/>
        <v>5</v>
      </c>
      <c r="B6" s="16" t="s">
        <v>15</v>
      </c>
      <c r="C6" s="8">
        <v>1681.3529377488289</v>
      </c>
      <c r="D6" s="8">
        <v>1797.8983499825126</v>
      </c>
      <c r="E6" s="8">
        <v>1720.5001927087606</v>
      </c>
      <c r="F6" s="8">
        <v>1478.9856763424605</v>
      </c>
      <c r="G6" s="8">
        <v>1719.9460731271997</v>
      </c>
      <c r="H6" s="8">
        <v>1624.5319104654218</v>
      </c>
      <c r="I6" s="8">
        <v>1662.8535254336637</v>
      </c>
      <c r="J6" s="8">
        <v>1693.3660755626925</v>
      </c>
      <c r="M6" s="12">
        <f t="shared" si="1"/>
        <v>0.70942355508519617</v>
      </c>
      <c r="N6" s="12">
        <f t="shared" si="0"/>
        <v>6.1730464504011575</v>
      </c>
      <c r="O6" s="12">
        <f t="shared" si="0"/>
        <v>1.6023775093670538</v>
      </c>
      <c r="P6" s="12">
        <f t="shared" si="0"/>
        <v>12.660015002898591</v>
      </c>
      <c r="Q6" s="12">
        <f t="shared" si="0"/>
        <v>1.5696545447607919</v>
      </c>
      <c r="R6" s="12">
        <f t="shared" si="0"/>
        <v>4.0649311504836669</v>
      </c>
      <c r="S6" s="12">
        <f t="shared" si="0"/>
        <v>1.8018874104874052</v>
      </c>
      <c r="T6" s="8"/>
      <c r="U6" s="8"/>
    </row>
    <row r="7" spans="1:21" x14ac:dyDescent="0.3">
      <c r="A7" s="16">
        <f t="shared" si="2"/>
        <v>6</v>
      </c>
      <c r="B7" s="16" t="s">
        <v>16</v>
      </c>
      <c r="C7" s="8">
        <v>1674.7502648864504</v>
      </c>
      <c r="D7" s="8">
        <v>1791.0616771201339</v>
      </c>
      <c r="E7" s="8">
        <v>1712.8745198463821</v>
      </c>
      <c r="F7" s="8">
        <v>1470.7510034800821</v>
      </c>
      <c r="G7" s="8">
        <v>1714.0844002648212</v>
      </c>
      <c r="H7" s="8">
        <v>1617.6952376030433</v>
      </c>
      <c r="I7" s="8">
        <v>1657.2468525712852</v>
      </c>
      <c r="J7" s="8">
        <v>1686.529402700314</v>
      </c>
      <c r="M7" s="12">
        <f t="shared" si="1"/>
        <v>0.69842469363439141</v>
      </c>
      <c r="N7" s="12">
        <f t="shared" si="0"/>
        <v>6.1980700871536891</v>
      </c>
      <c r="O7" s="12">
        <f t="shared" si="0"/>
        <v>1.5620905928996409</v>
      </c>
      <c r="P7" s="12">
        <f t="shared" si="0"/>
        <v>12.794226941715195</v>
      </c>
      <c r="Q7" s="12">
        <f t="shared" si="0"/>
        <v>1.6338284716761342</v>
      </c>
      <c r="R7" s="12">
        <f t="shared" si="0"/>
        <v>4.0814091344663073</v>
      </c>
      <c r="S7" s="12">
        <f t="shared" si="0"/>
        <v>1.7362608728993565</v>
      </c>
      <c r="T7" s="8"/>
      <c r="U7" s="8"/>
    </row>
    <row r="8" spans="1:21" x14ac:dyDescent="0.3">
      <c r="A8" s="16">
        <f t="shared" si="2"/>
        <v>7</v>
      </c>
      <c r="B8" s="16" t="s">
        <v>17</v>
      </c>
      <c r="C8" s="8">
        <v>1676.6907718009456</v>
      </c>
      <c r="D8" s="8">
        <v>1793.4341840346292</v>
      </c>
      <c r="E8" s="8">
        <v>1715.6190267608772</v>
      </c>
      <c r="F8" s="8">
        <v>1474.0895103945772</v>
      </c>
      <c r="G8" s="8">
        <v>1715.4219071793163</v>
      </c>
      <c r="H8" s="8">
        <v>1620.0677445175386</v>
      </c>
      <c r="I8" s="8">
        <v>1658.7463594857802</v>
      </c>
      <c r="J8" s="8">
        <v>1688.901909614809</v>
      </c>
      <c r="M8" s="12">
        <f t="shared" si="1"/>
        <v>0.72302232263141941</v>
      </c>
      <c r="N8" s="12">
        <f t="shared" si="0"/>
        <v>6.1893632676193162</v>
      </c>
      <c r="O8" s="12">
        <f t="shared" si="0"/>
        <v>1.5819223718067557</v>
      </c>
      <c r="P8" s="12">
        <f t="shared" si="0"/>
        <v>12.719057157631164</v>
      </c>
      <c r="Q8" s="12">
        <f t="shared" si="0"/>
        <v>1.5702509076181803</v>
      </c>
      <c r="R8" s="12">
        <f t="shared" si="0"/>
        <v>4.0756757219233402</v>
      </c>
      <c r="S8" s="12">
        <f t="shared" si="0"/>
        <v>1.7855122288248495</v>
      </c>
      <c r="T8" s="8"/>
      <c r="U8" s="8"/>
    </row>
    <row r="9" spans="1:21" x14ac:dyDescent="0.3">
      <c r="A9" s="16">
        <f t="shared" si="2"/>
        <v>8</v>
      </c>
      <c r="B9" s="16" t="s">
        <v>18</v>
      </c>
      <c r="C9" s="8">
        <v>1676.9807856299358</v>
      </c>
      <c r="D9" s="8">
        <v>1792.9861978636195</v>
      </c>
      <c r="E9" s="8">
        <v>1714.7390405898675</v>
      </c>
      <c r="F9" s="8">
        <v>1475.0335242235674</v>
      </c>
      <c r="G9" s="8">
        <v>1715.0249210083066</v>
      </c>
      <c r="H9" s="8">
        <v>1619.6197583465287</v>
      </c>
      <c r="I9" s="8">
        <v>1657.2123733147705</v>
      </c>
      <c r="J9" s="8">
        <v>1688.4539234437993</v>
      </c>
      <c r="M9" s="12">
        <f t="shared" si="1"/>
        <v>0.6795055319284492</v>
      </c>
      <c r="N9" s="12">
        <f t="shared" si="0"/>
        <v>6.191005449921569</v>
      </c>
      <c r="O9" s="12">
        <f t="shared" si="0"/>
        <v>1.5567565558707452</v>
      </c>
      <c r="P9" s="12">
        <f t="shared" si="0"/>
        <v>12.639989534623252</v>
      </c>
      <c r="Q9" s="12">
        <f t="shared" si="0"/>
        <v>1.5736880465362413</v>
      </c>
      <c r="R9" s="12">
        <f t="shared" si="0"/>
        <v>4.0767570936656261</v>
      </c>
      <c r="S9" s="12">
        <f t="shared" si="0"/>
        <v>1.8503051635136147</v>
      </c>
      <c r="T9" s="8"/>
      <c r="U9" s="8"/>
    </row>
    <row r="10" spans="1:21" x14ac:dyDescent="0.3">
      <c r="A10" s="16">
        <f t="shared" si="2"/>
        <v>9</v>
      </c>
      <c r="B10" s="16" t="s">
        <v>19</v>
      </c>
      <c r="C10" s="8">
        <v>1679.9800744526833</v>
      </c>
      <c r="D10" s="8">
        <v>1796.372486686367</v>
      </c>
      <c r="E10" s="8">
        <v>1719.0973294126152</v>
      </c>
      <c r="F10" s="8">
        <v>1478.0448130463151</v>
      </c>
      <c r="G10" s="8">
        <v>1719.191209831054</v>
      </c>
      <c r="H10" s="8">
        <v>1623.0060471692764</v>
      </c>
      <c r="I10" s="8">
        <v>1660.067662137518</v>
      </c>
      <c r="J10" s="8">
        <v>1691.8402122665468</v>
      </c>
      <c r="M10" s="12">
        <f t="shared" si="1"/>
        <v>0.70101997386470416</v>
      </c>
      <c r="N10" s="12">
        <f t="shared" si="0"/>
        <v>6.1786138940260198</v>
      </c>
      <c r="O10" s="12">
        <f t="shared" si="0"/>
        <v>1.6110928767647741</v>
      </c>
      <c r="P10" s="12">
        <f t="shared" si="0"/>
        <v>12.636855281611464</v>
      </c>
      <c r="Q10" s="12">
        <f t="shared" si="0"/>
        <v>1.6166418888853149</v>
      </c>
      <c r="R10" s="12">
        <f t="shared" si="0"/>
        <v>4.0685972941294368</v>
      </c>
      <c r="S10" s="12">
        <f t="shared" si="0"/>
        <v>1.8779876431984861</v>
      </c>
      <c r="T10" s="8"/>
      <c r="U10" s="8"/>
    </row>
    <row r="11" spans="1:21" x14ac:dyDescent="0.3">
      <c r="A11" s="16">
        <f t="shared" si="2"/>
        <v>10</v>
      </c>
      <c r="B11" s="16" t="s">
        <v>20</v>
      </c>
      <c r="C11" s="8">
        <v>1686.9301036967124</v>
      </c>
      <c r="D11" s="8">
        <v>1802.662515930396</v>
      </c>
      <c r="E11" s="8">
        <v>1725.9543586566442</v>
      </c>
      <c r="F11" s="8">
        <v>1484.9708422903441</v>
      </c>
      <c r="G11" s="8">
        <v>1725.6282390750832</v>
      </c>
      <c r="H11" s="8">
        <v>1629.2960764133054</v>
      </c>
      <c r="I11" s="8">
        <v>1667.5096913815471</v>
      </c>
      <c r="J11" s="8">
        <v>1698.1302415105758</v>
      </c>
      <c r="M11" s="12">
        <f t="shared" si="1"/>
        <v>0.65955705517029783</v>
      </c>
      <c r="N11" s="12">
        <f t="shared" si="0"/>
        <v>6.155727744818515</v>
      </c>
      <c r="O11" s="12">
        <f t="shared" si="0"/>
        <v>1.6385149069200584</v>
      </c>
      <c r="P11" s="12">
        <f t="shared" si="0"/>
        <v>12.552594259826344</v>
      </c>
      <c r="Q11" s="12">
        <f t="shared" si="0"/>
        <v>1.6193102797607841</v>
      </c>
      <c r="R11" s="12">
        <f t="shared" si="0"/>
        <v>4.0535268387917549</v>
      </c>
      <c r="S11" s="12">
        <f t="shared" si="0"/>
        <v>1.8031920862436417</v>
      </c>
      <c r="T11" s="8"/>
      <c r="U11" s="8"/>
    </row>
    <row r="12" spans="1:21" x14ac:dyDescent="0.3">
      <c r="A12" s="16">
        <f t="shared" si="2"/>
        <v>11</v>
      </c>
      <c r="B12" s="16" t="s">
        <v>21</v>
      </c>
      <c r="C12" s="8">
        <v>1688.3326244401978</v>
      </c>
      <c r="D12" s="8">
        <v>1804.5060366738815</v>
      </c>
      <c r="E12" s="8">
        <v>1728.7818794001296</v>
      </c>
      <c r="F12" s="8">
        <v>1486.6583630338296</v>
      </c>
      <c r="G12" s="8">
        <v>1724.8527598185688</v>
      </c>
      <c r="H12" s="8">
        <v>1631.1395971567908</v>
      </c>
      <c r="I12" s="8">
        <v>1666.6502121250326</v>
      </c>
      <c r="J12" s="8">
        <v>1699.9737622540613</v>
      </c>
      <c r="M12" s="12">
        <f t="shared" si="1"/>
        <v>0.68478338150513662</v>
      </c>
      <c r="N12" s="12">
        <f t="shared" si="0"/>
        <v>6.1490522230894173</v>
      </c>
      <c r="O12" s="12">
        <f t="shared" si="0"/>
        <v>1.6946212809702721</v>
      </c>
      <c r="P12" s="12">
        <f t="shared" si="0"/>
        <v>12.548158327890221</v>
      </c>
      <c r="Q12" s="12">
        <f t="shared" si="0"/>
        <v>1.4634930324759508</v>
      </c>
      <c r="R12" s="12">
        <f t="shared" si="0"/>
        <v>4.049131029293096</v>
      </c>
      <c r="S12" s="12">
        <f t="shared" si="0"/>
        <v>1.9602390853870431</v>
      </c>
      <c r="T12" s="8"/>
      <c r="U12" s="8"/>
    </row>
    <row r="13" spans="1:21" x14ac:dyDescent="0.3">
      <c r="A13" s="16">
        <f t="shared" si="2"/>
        <v>12</v>
      </c>
      <c r="B13" s="16" t="s">
        <v>22</v>
      </c>
      <c r="C13" s="8">
        <v>1682.3633356174503</v>
      </c>
      <c r="D13" s="8">
        <v>1798.0957478511339</v>
      </c>
      <c r="E13" s="8">
        <v>1722.236590577382</v>
      </c>
      <c r="F13" s="8">
        <v>1481.211074211082</v>
      </c>
      <c r="G13" s="8">
        <v>1719.7024709958212</v>
      </c>
      <c r="H13" s="8">
        <v>1624.7293083340433</v>
      </c>
      <c r="I13" s="8">
        <v>1660.4349233022849</v>
      </c>
      <c r="J13" s="8">
        <v>1693.5634734313139</v>
      </c>
      <c r="M13" s="12">
        <f t="shared" si="1"/>
        <v>0.66133557965625867</v>
      </c>
      <c r="N13" s="12">
        <f t="shared" si="0"/>
        <v>6.1723269342853753</v>
      </c>
      <c r="O13" s="12">
        <f t="shared" si="0"/>
        <v>1.693064216127296</v>
      </c>
      <c r="P13" s="12">
        <f t="shared" si="0"/>
        <v>12.538791875924597</v>
      </c>
      <c r="Q13" s="12">
        <f t="shared" si="0"/>
        <v>1.543431821397709</v>
      </c>
      <c r="R13" s="12">
        <f t="shared" si="0"/>
        <v>4.0644573514452569</v>
      </c>
      <c r="S13" s="12">
        <f t="shared" si="0"/>
        <v>1.9561445820455461</v>
      </c>
      <c r="T13" s="8"/>
      <c r="U13" s="8"/>
    </row>
    <row r="14" spans="1:21" x14ac:dyDescent="0.3">
      <c r="A14" s="16">
        <f t="shared" si="2"/>
        <v>13</v>
      </c>
      <c r="B14" s="16" t="s">
        <v>23</v>
      </c>
      <c r="C14" s="8">
        <v>1500.435920962537</v>
      </c>
      <c r="D14" s="8">
        <v>1532.2498012567353</v>
      </c>
      <c r="E14" s="8">
        <v>1551.0901145145517</v>
      </c>
      <c r="F14" s="8">
        <v>1404.5686043352136</v>
      </c>
      <c r="G14" s="8">
        <v>1581.3630751368173</v>
      </c>
      <c r="H14" s="8">
        <v>1334.9623705697968</v>
      </c>
      <c r="I14" s="8">
        <v>1387.3315012363321</v>
      </c>
      <c r="J14" s="8">
        <v>1444.5021170255375</v>
      </c>
      <c r="M14" s="12">
        <f t="shared" si="1"/>
        <v>3.8721856671401942</v>
      </c>
      <c r="N14" s="12">
        <f t="shared" si="0"/>
        <v>6.0745971360626605</v>
      </c>
      <c r="O14" s="12">
        <f t="shared" si="0"/>
        <v>7.3788744393463475</v>
      </c>
      <c r="P14" s="12">
        <f t="shared" si="0"/>
        <v>2.7645174222764974</v>
      </c>
      <c r="Q14" s="12">
        <f t="shared" si="0"/>
        <v>9.4746111132809272</v>
      </c>
      <c r="R14" s="12">
        <f t="shared" si="0"/>
        <v>7.5832181320232781</v>
      </c>
      <c r="S14" s="12">
        <f t="shared" si="0"/>
        <v>3.9578076844171672</v>
      </c>
      <c r="T14" s="8"/>
      <c r="U14" s="8"/>
    </row>
    <row r="15" spans="1:21" x14ac:dyDescent="0.3">
      <c r="A15" s="16">
        <f t="shared" si="2"/>
        <v>14</v>
      </c>
      <c r="B15" s="16" t="s">
        <v>24</v>
      </c>
      <c r="C15" s="8">
        <v>1493.0647550146537</v>
      </c>
      <c r="D15" s="8">
        <v>1523.3006353088517</v>
      </c>
      <c r="E15" s="8">
        <v>1542.5459485666684</v>
      </c>
      <c r="F15" s="8">
        <v>1397.6054383873302</v>
      </c>
      <c r="G15" s="8">
        <v>1573.8779091889339</v>
      </c>
      <c r="H15" s="8">
        <v>1326.0132046219132</v>
      </c>
      <c r="I15" s="8">
        <v>1380.7373352884488</v>
      </c>
      <c r="J15" s="8">
        <v>1435.5529510776541</v>
      </c>
      <c r="M15" s="12">
        <f t="shared" si="1"/>
        <v>4.0062474807234398</v>
      </c>
      <c r="N15" s="12">
        <f t="shared" si="0"/>
        <v>6.1124658735385795</v>
      </c>
      <c r="O15" s="12">
        <f t="shared" si="0"/>
        <v>7.4530861023757931</v>
      </c>
      <c r="P15" s="12">
        <f t="shared" si="0"/>
        <v>2.643407382628217</v>
      </c>
      <c r="Q15" s="12">
        <f t="shared" si="0"/>
        <v>9.6356569785489796</v>
      </c>
      <c r="R15" s="12">
        <f t="shared" si="0"/>
        <v>7.6304915380175</v>
      </c>
      <c r="S15" s="12">
        <f t="shared" si="0"/>
        <v>3.8184321761211155</v>
      </c>
      <c r="T15" s="8"/>
      <c r="U15" s="8"/>
    </row>
    <row r="16" spans="1:21" x14ac:dyDescent="0.3">
      <c r="A16" s="16">
        <f t="shared" si="2"/>
        <v>15</v>
      </c>
      <c r="B16" s="16" t="s">
        <v>25</v>
      </c>
      <c r="C16" s="8">
        <v>1491.9898778895176</v>
      </c>
      <c r="D16" s="8">
        <v>1522.1567581837157</v>
      </c>
      <c r="E16" s="8">
        <v>1540.4930714415323</v>
      </c>
      <c r="F16" s="8">
        <v>1394.9735612621944</v>
      </c>
      <c r="G16" s="8">
        <v>1570.364032063798</v>
      </c>
      <c r="H16" s="8">
        <v>1324.8693274967773</v>
      </c>
      <c r="I16" s="8">
        <v>1376.9744581633129</v>
      </c>
      <c r="J16" s="8">
        <v>1434.4090739525182</v>
      </c>
      <c r="M16" s="12">
        <f t="shared" si="1"/>
        <v>4.0142526272742689</v>
      </c>
      <c r="N16" s="12">
        <f t="shared" si="0"/>
        <v>6.1173402918742417</v>
      </c>
      <c r="O16" s="12">
        <f t="shared" si="0"/>
        <v>7.3956585618005999</v>
      </c>
      <c r="P16" s="12">
        <f t="shared" si="0"/>
        <v>2.7492514796813934</v>
      </c>
      <c r="Q16" s="12">
        <f t="shared" si="0"/>
        <v>9.4781161511099228</v>
      </c>
      <c r="R16" s="12">
        <f t="shared" si="0"/>
        <v>7.636576513971975</v>
      </c>
      <c r="S16" s="12">
        <f t="shared" si="0"/>
        <v>4.0040611030815665</v>
      </c>
      <c r="T16" s="8"/>
      <c r="U16" s="8"/>
    </row>
    <row r="17" spans="1:21" x14ac:dyDescent="0.3">
      <c r="A17" s="16">
        <f t="shared" si="2"/>
        <v>16</v>
      </c>
      <c r="B17" s="16" t="s">
        <v>26</v>
      </c>
      <c r="C17" s="8">
        <v>1486.8127395996148</v>
      </c>
      <c r="D17" s="8">
        <v>1516.3256198938129</v>
      </c>
      <c r="E17" s="8">
        <v>1533.1769331516296</v>
      </c>
      <c r="F17" s="8">
        <v>1389.5054229722914</v>
      </c>
      <c r="G17" s="8">
        <v>1564.0198937738951</v>
      </c>
      <c r="H17" s="8">
        <v>1319.0381892068744</v>
      </c>
      <c r="I17" s="8">
        <v>1369.7453198734099</v>
      </c>
      <c r="J17" s="8">
        <v>1428.5779356626153</v>
      </c>
      <c r="M17" s="12">
        <f t="shared" si="1"/>
        <v>4.0764177076547456</v>
      </c>
      <c r="N17" s="12">
        <f t="shared" si="0"/>
        <v>6.1423099181843162</v>
      </c>
      <c r="O17" s="12">
        <f t="shared" si="0"/>
        <v>7.3218964732573859</v>
      </c>
      <c r="P17" s="12">
        <f t="shared" si="0"/>
        <v>2.7350634302076768</v>
      </c>
      <c r="Q17" s="12">
        <f t="shared" si="0"/>
        <v>9.4808938826608635</v>
      </c>
      <c r="R17" s="12">
        <f t="shared" si="0"/>
        <v>7.6677473255901312</v>
      </c>
      <c r="S17" s="12">
        <f t="shared" si="0"/>
        <v>4.1182643466992346</v>
      </c>
      <c r="T17" s="8"/>
      <c r="U17" s="8"/>
    </row>
    <row r="18" spans="1:21" x14ac:dyDescent="0.3">
      <c r="A18" s="16">
        <f t="shared" si="2"/>
        <v>17</v>
      </c>
      <c r="B18" s="16" t="s">
        <v>27</v>
      </c>
      <c r="C18" s="8">
        <v>1483.5066151387023</v>
      </c>
      <c r="D18" s="8">
        <v>1512.7194954329004</v>
      </c>
      <c r="E18" s="8">
        <v>1529.843808690717</v>
      </c>
      <c r="F18" s="8">
        <v>1386.7242985113789</v>
      </c>
      <c r="G18" s="8">
        <v>1559.3427693129827</v>
      </c>
      <c r="H18" s="8">
        <v>1315.432064745962</v>
      </c>
      <c r="I18" s="8">
        <v>1367.0901954124975</v>
      </c>
      <c r="J18" s="8">
        <v>1424.9718112017026</v>
      </c>
      <c r="M18" s="12">
        <f t="shared" si="1"/>
        <v>4.107786798086642</v>
      </c>
      <c r="N18" s="12">
        <f t="shared" si="1"/>
        <v>6.157854039035251</v>
      </c>
      <c r="O18" s="12">
        <f t="shared" si="1"/>
        <v>7.3595840047231551</v>
      </c>
      <c r="P18" s="12">
        <f t="shared" si="1"/>
        <v>2.6840890738792162</v>
      </c>
      <c r="Q18" s="12">
        <f t="shared" si="1"/>
        <v>9.429727455307539</v>
      </c>
      <c r="R18" s="12">
        <f t="shared" si="1"/>
        <v>7.6871518155411058</v>
      </c>
      <c r="S18" s="12">
        <f t="shared" si="1"/>
        <v>4.061948126566282</v>
      </c>
      <c r="T18" s="8"/>
      <c r="U18" s="8"/>
    </row>
    <row r="19" spans="1:21" x14ac:dyDescent="0.3">
      <c r="A19" s="16">
        <f t="shared" si="2"/>
        <v>18</v>
      </c>
      <c r="B19" s="16" t="s">
        <v>28</v>
      </c>
      <c r="C19" s="8">
        <v>1487.8108209875081</v>
      </c>
      <c r="D19" s="8">
        <v>1516.4957012817063</v>
      </c>
      <c r="E19" s="8">
        <v>1534.3250145395227</v>
      </c>
      <c r="F19" s="8">
        <v>1390.5515043601847</v>
      </c>
      <c r="G19" s="8">
        <v>1562.4139751617886</v>
      </c>
      <c r="H19" s="8">
        <v>1319.2082705947678</v>
      </c>
      <c r="I19" s="8">
        <v>1371.0674012613033</v>
      </c>
      <c r="J19" s="8">
        <v>1428.7480170505087</v>
      </c>
      <c r="M19" s="12">
        <f t="shared" si="1"/>
        <v>4.1338852780302044</v>
      </c>
      <c r="N19" s="12">
        <f t="shared" si="1"/>
        <v>6.1415787237516462</v>
      </c>
      <c r="O19" s="12">
        <f t="shared" si="1"/>
        <v>7.3894763967523129</v>
      </c>
      <c r="P19" s="12">
        <f t="shared" si="1"/>
        <v>2.6734254210323538</v>
      </c>
      <c r="Q19" s="12">
        <f t="shared" si="1"/>
        <v>9.3554606211960607</v>
      </c>
      <c r="R19" s="12">
        <f t="shared" si="1"/>
        <v>7.6668345396463629</v>
      </c>
      <c r="S19" s="12">
        <f t="shared" si="1"/>
        <v>4.0371440660530604</v>
      </c>
      <c r="T19" s="8"/>
      <c r="U19" s="8"/>
    </row>
    <row r="20" spans="1:21" x14ac:dyDescent="0.3">
      <c r="A20" s="16">
        <f t="shared" si="2"/>
        <v>19</v>
      </c>
      <c r="B20" s="16" t="s">
        <v>29</v>
      </c>
      <c r="C20" s="8">
        <v>1487.4429991783331</v>
      </c>
      <c r="D20" s="8">
        <v>1517.9968794725314</v>
      </c>
      <c r="E20" s="8">
        <v>1536.945192730348</v>
      </c>
      <c r="F20" s="8">
        <v>1387.9636825510099</v>
      </c>
      <c r="G20" s="8">
        <v>1565.7451533526137</v>
      </c>
      <c r="H20" s="8">
        <v>1320.7094487855929</v>
      </c>
      <c r="I20" s="8">
        <v>1372.6135794521285</v>
      </c>
      <c r="J20" s="8">
        <v>1430.2491952413338</v>
      </c>
      <c r="M20" s="12">
        <f t="shared" si="1"/>
        <v>3.9988698561965399</v>
      </c>
      <c r="N20" s="12">
        <f t="shared" si="1"/>
        <v>6.135132571523064</v>
      </c>
      <c r="O20" s="12">
        <f t="shared" si="1"/>
        <v>7.4599585753313979</v>
      </c>
      <c r="P20" s="12">
        <f t="shared" si="1"/>
        <v>2.9565136502795824</v>
      </c>
      <c r="Q20" s="12">
        <f t="shared" si="1"/>
        <v>9.4735909352088026</v>
      </c>
      <c r="R20" s="12">
        <f t="shared" si="1"/>
        <v>7.6587874910328226</v>
      </c>
      <c r="S20" s="12">
        <f t="shared" si="1"/>
        <v>4.0297604068555435</v>
      </c>
      <c r="T20" s="8"/>
      <c r="U20" s="8"/>
    </row>
    <row r="21" spans="1:21" x14ac:dyDescent="0.3">
      <c r="A21" s="16">
        <f t="shared" si="2"/>
        <v>20</v>
      </c>
      <c r="B21" s="16" t="s">
        <v>30</v>
      </c>
      <c r="C21" s="8">
        <v>1498.3735768238282</v>
      </c>
      <c r="D21" s="8">
        <v>1526.8454571180264</v>
      </c>
      <c r="E21" s="8">
        <v>1545.349770375843</v>
      </c>
      <c r="F21" s="8">
        <v>1401.4652601965049</v>
      </c>
      <c r="G21" s="8">
        <v>1573.8407309981087</v>
      </c>
      <c r="H21" s="8">
        <v>1329.5580264310879</v>
      </c>
      <c r="I21" s="8">
        <v>1380.4931570976235</v>
      </c>
      <c r="J21" s="8">
        <v>1439.0977728868288</v>
      </c>
      <c r="M21" s="12">
        <f t="shared" si="1"/>
        <v>4.1189559913008686</v>
      </c>
      <c r="N21" s="12">
        <f t="shared" si="1"/>
        <v>6.0974094939481294</v>
      </c>
      <c r="O21" s="12">
        <f t="shared" si="1"/>
        <v>7.3832368787474953</v>
      </c>
      <c r="P21" s="12">
        <f t="shared" si="1"/>
        <v>2.6150073608155964</v>
      </c>
      <c r="Q21" s="12">
        <f t="shared" si="1"/>
        <v>9.3630162348862278</v>
      </c>
      <c r="R21" s="12">
        <f t="shared" si="1"/>
        <v>7.6116959194512726</v>
      </c>
      <c r="S21" s="12">
        <f t="shared" si="1"/>
        <v>4.0723164814329849</v>
      </c>
      <c r="T21" s="8"/>
      <c r="U21" s="8"/>
    </row>
    <row r="22" spans="1:21" x14ac:dyDescent="0.3">
      <c r="A22" s="16">
        <f t="shared" si="2"/>
        <v>21</v>
      </c>
      <c r="B22" s="16" t="s">
        <v>31</v>
      </c>
      <c r="C22" s="8">
        <v>1506.5586613838184</v>
      </c>
      <c r="D22" s="8">
        <v>1537.0945416780166</v>
      </c>
      <c r="E22" s="8">
        <v>1556.0908549358332</v>
      </c>
      <c r="F22" s="8">
        <v>1409.5123447564952</v>
      </c>
      <c r="G22" s="8">
        <v>1583.9908155580988</v>
      </c>
      <c r="H22" s="8">
        <v>1339.8071109910782</v>
      </c>
      <c r="I22" s="8">
        <v>1389.8272416576137</v>
      </c>
      <c r="J22" s="8">
        <v>1449.3468574468188</v>
      </c>
      <c r="M22" s="12">
        <f t="shared" si="1"/>
        <v>3.9474197389701691</v>
      </c>
      <c r="N22" s="12">
        <f t="shared" si="1"/>
        <v>6.0542915438320151</v>
      </c>
      <c r="O22" s="12">
        <f t="shared" si="1"/>
        <v>7.3649725005824704</v>
      </c>
      <c r="P22" s="12">
        <f t="shared" si="1"/>
        <v>2.7484457902987049</v>
      </c>
      <c r="Q22" s="12">
        <f t="shared" si="1"/>
        <v>9.2899748200006353</v>
      </c>
      <c r="R22" s="12">
        <f t="shared" si="1"/>
        <v>7.5578696633535172</v>
      </c>
      <c r="S22" s="12">
        <f t="shared" si="1"/>
        <v>4.1066509016382264</v>
      </c>
      <c r="T22" s="8"/>
      <c r="U22" s="8"/>
    </row>
    <row r="23" spans="1:21" x14ac:dyDescent="0.3">
      <c r="A23" s="16">
        <f t="shared" si="2"/>
        <v>22</v>
      </c>
      <c r="B23" s="16" t="s">
        <v>32</v>
      </c>
      <c r="C23" s="8">
        <v>1509.319211371333</v>
      </c>
      <c r="D23" s="8">
        <v>1540.7430916655312</v>
      </c>
      <c r="E23" s="8">
        <v>1559.8594049233475</v>
      </c>
      <c r="F23" s="8">
        <v>1412.9028947440097</v>
      </c>
      <c r="G23" s="8">
        <v>1588.9893655456133</v>
      </c>
      <c r="H23" s="8">
        <v>1343.4556609785927</v>
      </c>
      <c r="I23" s="8">
        <v>1394.7717916451281</v>
      </c>
      <c r="J23" s="8">
        <v>1452.9954074343334</v>
      </c>
      <c r="M23" s="12">
        <f t="shared" si="1"/>
        <v>3.8763924269007113</v>
      </c>
      <c r="N23" s="12">
        <f t="shared" si="1"/>
        <v>6.0390888905933089</v>
      </c>
      <c r="O23" s="12">
        <f t="shared" si="1"/>
        <v>7.3547374576848883</v>
      </c>
      <c r="P23" s="12">
        <f t="shared" si="1"/>
        <v>2.7593007166566452</v>
      </c>
      <c r="Q23" s="12">
        <f t="shared" si="1"/>
        <v>9.3595587030391894</v>
      </c>
      <c r="R23" s="12">
        <f t="shared" si="1"/>
        <v>7.5388914442037702</v>
      </c>
      <c r="S23" s="12">
        <f t="shared" si="1"/>
        <v>4.0071438279364706</v>
      </c>
      <c r="T23" s="8"/>
      <c r="U23" s="8"/>
    </row>
    <row r="24" spans="1:21" x14ac:dyDescent="0.3">
      <c r="A24" s="16">
        <f t="shared" si="2"/>
        <v>23</v>
      </c>
      <c r="B24" s="16" t="s">
        <v>33</v>
      </c>
      <c r="C24" s="8">
        <v>1509.6000331805076</v>
      </c>
      <c r="D24" s="8">
        <v>1541.8459134747059</v>
      </c>
      <c r="E24" s="8">
        <v>1560.1912267325224</v>
      </c>
      <c r="F24" s="8">
        <v>1412.5237165531844</v>
      </c>
      <c r="G24" s="8">
        <v>1590.2061873547882</v>
      </c>
      <c r="H24" s="8">
        <v>1344.5584827877674</v>
      </c>
      <c r="I24" s="8">
        <v>1396.0456134543028</v>
      </c>
      <c r="J24" s="8">
        <v>1454.0982292435083</v>
      </c>
      <c r="M24" s="12">
        <f t="shared" si="1"/>
        <v>3.8169225999177514</v>
      </c>
      <c r="N24" s="12">
        <f t="shared" si="1"/>
        <v>6.0345087055671707</v>
      </c>
      <c r="O24" s="12">
        <f t="shared" si="1"/>
        <v>7.2961369015770554</v>
      </c>
      <c r="P24" s="12">
        <f t="shared" si="1"/>
        <v>2.8591268357401796</v>
      </c>
      <c r="Q24" s="12">
        <f t="shared" si="1"/>
        <v>9.3603001072417111</v>
      </c>
      <c r="R24" s="12">
        <f t="shared" si="1"/>
        <v>7.5331737741492697</v>
      </c>
      <c r="S24" s="12">
        <f t="shared" si="1"/>
        <v>3.9923448513796216</v>
      </c>
      <c r="T24" s="8"/>
      <c r="U24" s="8"/>
    </row>
    <row r="25" spans="1:21" x14ac:dyDescent="0.3">
      <c r="A25" s="16">
        <f t="shared" si="2"/>
        <v>24</v>
      </c>
      <c r="B25" s="16" t="s">
        <v>34</v>
      </c>
      <c r="C25" s="8">
        <v>1519.1652682733425</v>
      </c>
      <c r="D25" s="8">
        <v>1550.3941485675407</v>
      </c>
      <c r="E25" s="8">
        <v>1569.7984618253572</v>
      </c>
      <c r="F25" s="8">
        <v>1421.8399516460192</v>
      </c>
      <c r="G25" s="8">
        <v>1598.9224224476229</v>
      </c>
      <c r="H25" s="8">
        <v>1353.1067178806022</v>
      </c>
      <c r="I25" s="8">
        <v>1403.1718485471376</v>
      </c>
      <c r="J25" s="8">
        <v>1462.6464643363429</v>
      </c>
      <c r="M25" s="12">
        <f t="shared" si="1"/>
        <v>3.864146621558632</v>
      </c>
      <c r="N25" s="12">
        <f t="shared" si="1"/>
        <v>5.9992408535313553</v>
      </c>
      <c r="O25" s="12">
        <f t="shared" si="1"/>
        <v>7.325898643431457</v>
      </c>
      <c r="P25" s="12">
        <f t="shared" si="1"/>
        <v>2.7899095020777342</v>
      </c>
      <c r="Q25" s="12">
        <f t="shared" si="1"/>
        <v>9.3170811562528542</v>
      </c>
      <c r="R25" s="12">
        <f t="shared" si="1"/>
        <v>7.4891471812665911</v>
      </c>
      <c r="S25" s="12">
        <f t="shared" si="1"/>
        <v>4.0662331765995887</v>
      </c>
      <c r="T25" s="8"/>
      <c r="U25" s="8"/>
    </row>
    <row r="26" spans="1:21" x14ac:dyDescent="0.3">
      <c r="A26" s="16">
        <f t="shared" si="2"/>
        <v>25</v>
      </c>
      <c r="B26" s="16" t="s">
        <v>35</v>
      </c>
      <c r="C26" s="8">
        <v>1587.7698220458008</v>
      </c>
      <c r="D26" s="8">
        <v>1619.3718225992791</v>
      </c>
      <c r="E26" s="8">
        <v>1618.2818039269027</v>
      </c>
      <c r="F26" s="8">
        <v>1490.8752762647264</v>
      </c>
      <c r="G26" s="8">
        <v>1545.4914600602669</v>
      </c>
      <c r="H26" s="8">
        <v>1481.6557760776482</v>
      </c>
      <c r="I26" s="8">
        <v>1309.2325595831326</v>
      </c>
      <c r="J26" s="8">
        <v>1489.6912381978054</v>
      </c>
      <c r="M26" s="12">
        <f t="shared" si="1"/>
        <v>6.5838196085954408</v>
      </c>
      <c r="N26" s="12">
        <f t="shared" si="1"/>
        <v>8.7051988409597065</v>
      </c>
      <c r="O26" s="12">
        <f t="shared" si="1"/>
        <v>8.6320280627187724</v>
      </c>
      <c r="P26" s="12">
        <f t="shared" si="1"/>
        <v>7.9482112572090466E-2</v>
      </c>
      <c r="Q26" s="12">
        <f t="shared" si="1"/>
        <v>3.7457575389895794</v>
      </c>
      <c r="R26" s="12">
        <f t="shared" si="1"/>
        <v>0.53940453659903254</v>
      </c>
      <c r="S26" s="12">
        <f t="shared" si="1"/>
        <v>12.113830972986568</v>
      </c>
      <c r="T26" s="8"/>
      <c r="U26" s="8"/>
    </row>
    <row r="27" spans="1:21" x14ac:dyDescent="0.3">
      <c r="A27" s="16">
        <f t="shared" si="2"/>
        <v>26</v>
      </c>
      <c r="B27" s="16" t="s">
        <v>36</v>
      </c>
      <c r="C27" s="8">
        <v>1579.9040662094806</v>
      </c>
      <c r="D27" s="8">
        <v>1610.396066762959</v>
      </c>
      <c r="E27" s="8">
        <v>1607.3920480905824</v>
      </c>
      <c r="F27" s="8">
        <v>1484.1615204284062</v>
      </c>
      <c r="G27" s="8">
        <v>1536.5007042239465</v>
      </c>
      <c r="H27" s="8">
        <v>1472.6800202413278</v>
      </c>
      <c r="I27" s="8">
        <v>1292.0128037468121</v>
      </c>
      <c r="J27" s="8">
        <v>1480.7154823614851</v>
      </c>
      <c r="M27" s="12">
        <f t="shared" si="1"/>
        <v>6.6986929649581848</v>
      </c>
      <c r="N27" s="12">
        <f t="shared" si="1"/>
        <v>8.7579677491219154</v>
      </c>
      <c r="O27" s="12">
        <f t="shared" si="1"/>
        <v>8.5550915917398331</v>
      </c>
      <c r="P27" s="12">
        <f t="shared" si="1"/>
        <v>0.23272790134032262</v>
      </c>
      <c r="Q27" s="12">
        <f t="shared" si="1"/>
        <v>3.7674504337250281</v>
      </c>
      <c r="R27" s="12">
        <f t="shared" si="1"/>
        <v>0.54267428252604544</v>
      </c>
      <c r="S27" s="12">
        <f t="shared" si="1"/>
        <v>12.744020094510317</v>
      </c>
      <c r="T27" s="8"/>
      <c r="U27" s="8"/>
    </row>
    <row r="28" spans="1:21" x14ac:dyDescent="0.3">
      <c r="A28" s="16">
        <f t="shared" si="2"/>
        <v>27</v>
      </c>
      <c r="B28" s="16" t="s">
        <v>37</v>
      </c>
      <c r="C28" s="8">
        <v>1578.3955592949853</v>
      </c>
      <c r="D28" s="8">
        <v>1609.7275598484637</v>
      </c>
      <c r="E28" s="8">
        <v>1607.5485411760874</v>
      </c>
      <c r="F28" s="8">
        <v>1479.230013513911</v>
      </c>
      <c r="G28" s="8">
        <v>1537.4431973094515</v>
      </c>
      <c r="H28" s="8">
        <v>1472.0115133268328</v>
      </c>
      <c r="I28" s="8">
        <v>1296.8852968323172</v>
      </c>
      <c r="J28" s="8">
        <v>1480.04697544699</v>
      </c>
      <c r="M28" s="12">
        <f t="shared" si="1"/>
        <v>6.6449636720681102</v>
      </c>
      <c r="N28" s="12">
        <f t="shared" si="1"/>
        <v>8.7619235438327028</v>
      </c>
      <c r="O28" s="12">
        <f t="shared" si="1"/>
        <v>8.6146972254438428</v>
      </c>
      <c r="P28" s="12">
        <f t="shared" si="1"/>
        <v>5.5198378607699064E-2</v>
      </c>
      <c r="Q28" s="12">
        <f t="shared" si="1"/>
        <v>3.878000010447455</v>
      </c>
      <c r="R28" s="12">
        <f t="shared" si="1"/>
        <v>0.54291939738807737</v>
      </c>
      <c r="S28" s="12">
        <f t="shared" si="1"/>
        <v>12.375396298442221</v>
      </c>
      <c r="T28" s="8"/>
      <c r="U28" s="8"/>
    </row>
    <row r="29" spans="1:21" x14ac:dyDescent="0.3">
      <c r="A29" s="16">
        <f t="shared" si="2"/>
        <v>28</v>
      </c>
      <c r="B29" s="16" t="s">
        <v>38</v>
      </c>
      <c r="C29" s="8">
        <v>1586.1967943878203</v>
      </c>
      <c r="D29" s="8">
        <v>1618.7947949412985</v>
      </c>
      <c r="E29" s="8">
        <v>1618.547776268922</v>
      </c>
      <c r="F29" s="8">
        <v>1485.7082486067459</v>
      </c>
      <c r="G29" s="8">
        <v>1547.1644324022864</v>
      </c>
      <c r="H29" s="8">
        <v>1481.0787484196676</v>
      </c>
      <c r="I29" s="8">
        <v>1309.8825319251519</v>
      </c>
      <c r="J29" s="8">
        <v>1489.1142105398249</v>
      </c>
      <c r="M29" s="12">
        <f t="shared" si="1"/>
        <v>6.5194854203158572</v>
      </c>
      <c r="N29" s="12">
        <f t="shared" si="1"/>
        <v>8.7085720815505887</v>
      </c>
      <c r="O29" s="12">
        <f t="shared" si="1"/>
        <v>8.6919837855939655</v>
      </c>
      <c r="P29" s="12">
        <f t="shared" si="1"/>
        <v>0.2287240232462936</v>
      </c>
      <c r="Q29" s="12">
        <f t="shared" si="1"/>
        <v>3.8983055464508323</v>
      </c>
      <c r="R29" s="12">
        <f t="shared" si="1"/>
        <v>0.53961355437232006</v>
      </c>
      <c r="S29" s="12">
        <f t="shared" si="1"/>
        <v>12.036127071119616</v>
      </c>
      <c r="T29" s="8"/>
      <c r="U29" s="8"/>
    </row>
    <row r="30" spans="1:21" x14ac:dyDescent="0.3">
      <c r="A30" s="16">
        <f t="shared" si="2"/>
        <v>29</v>
      </c>
      <c r="B30" s="16" t="s">
        <v>39</v>
      </c>
      <c r="C30" s="8">
        <v>1600.4768667048686</v>
      </c>
      <c r="D30" s="8">
        <v>1630.986867258347</v>
      </c>
      <c r="E30" s="8">
        <v>1628.4718485859703</v>
      </c>
      <c r="F30" s="8">
        <v>1500.7653209237942</v>
      </c>
      <c r="G30" s="8">
        <v>1559.7165047193346</v>
      </c>
      <c r="H30" s="8">
        <v>1493.2708207367159</v>
      </c>
      <c r="I30" s="8">
        <v>1322.8096042422003</v>
      </c>
      <c r="J30" s="8">
        <v>1501.3062828568732</v>
      </c>
      <c r="M30" s="12">
        <f t="shared" si="1"/>
        <v>6.6056197180019289</v>
      </c>
      <c r="N30" s="12">
        <f t="shared" si="1"/>
        <v>8.6378499765351986</v>
      </c>
      <c r="O30" s="12">
        <f t="shared" si="1"/>
        <v>8.4703279524755324</v>
      </c>
      <c r="P30" s="12">
        <f t="shared" si="1"/>
        <v>3.6032749563237092E-2</v>
      </c>
      <c r="Q30" s="12">
        <f t="shared" si="1"/>
        <v>3.8906266182614746</v>
      </c>
      <c r="R30" s="12">
        <f t="shared" si="1"/>
        <v>0.53523136563888751</v>
      </c>
      <c r="S30" s="12">
        <f t="shared" si="1"/>
        <v>11.889424606617052</v>
      </c>
      <c r="T30" s="8"/>
      <c r="U30" s="8"/>
    </row>
    <row r="31" spans="1:21" x14ac:dyDescent="0.3">
      <c r="A31" s="16">
        <f t="shared" si="2"/>
        <v>30</v>
      </c>
      <c r="B31" s="16" t="s">
        <v>40</v>
      </c>
      <c r="C31" s="8">
        <v>1615.9170204098102</v>
      </c>
      <c r="D31" s="8">
        <v>1646.9340209632885</v>
      </c>
      <c r="E31" s="8">
        <v>1643.669002290912</v>
      </c>
      <c r="F31" s="8">
        <v>1510.9734746287359</v>
      </c>
      <c r="G31" s="8">
        <v>1573.9056584242762</v>
      </c>
      <c r="H31" s="8">
        <v>1509.2179744416576</v>
      </c>
      <c r="I31" s="8">
        <v>1337.3557579471419</v>
      </c>
      <c r="J31" s="8">
        <v>1517.2534365618149</v>
      </c>
      <c r="M31" s="12">
        <f t="shared" si="1"/>
        <v>6.5027754408368876</v>
      </c>
      <c r="N31" s="12">
        <f t="shared" si="1"/>
        <v>8.5470615044601548</v>
      </c>
      <c r="O31" s="12">
        <f t="shared" si="1"/>
        <v>8.3318688020613223</v>
      </c>
      <c r="P31" s="12">
        <f t="shared" si="1"/>
        <v>0.41390329273596871</v>
      </c>
      <c r="Q31" s="12">
        <f t="shared" si="1"/>
        <v>3.7338667685497962</v>
      </c>
      <c r="R31" s="12">
        <f t="shared" si="1"/>
        <v>0.52960579468952074</v>
      </c>
      <c r="S31" s="12">
        <f t="shared" si="1"/>
        <v>11.856798230250289</v>
      </c>
      <c r="T31" s="8"/>
      <c r="U31" s="8"/>
    </row>
    <row r="32" spans="1:21" x14ac:dyDescent="0.3">
      <c r="A32" s="16">
        <f t="shared" si="2"/>
        <v>31</v>
      </c>
      <c r="B32" s="16" t="s">
        <v>41</v>
      </c>
      <c r="C32" s="8">
        <v>1633.3696964442856</v>
      </c>
      <c r="D32" s="8">
        <v>1664.5156969977641</v>
      </c>
      <c r="E32" s="8">
        <v>1660.5276783253876</v>
      </c>
      <c r="F32" s="8">
        <v>1530.5741506632112</v>
      </c>
      <c r="G32" s="8">
        <v>1594.6913344587517</v>
      </c>
      <c r="H32" s="8">
        <v>1526.7996504761329</v>
      </c>
      <c r="I32" s="8">
        <v>1355.5074339816174</v>
      </c>
      <c r="J32" s="8">
        <v>1534.8351125962904</v>
      </c>
      <c r="M32" s="12">
        <f t="shared" si="1"/>
        <v>6.4198807441482417</v>
      </c>
      <c r="N32" s="12">
        <f t="shared" si="1"/>
        <v>8.449154136310387</v>
      </c>
      <c r="O32" s="12">
        <f t="shared" si="1"/>
        <v>8.1893204486623095</v>
      </c>
      <c r="P32" s="12">
        <f t="shared" si="1"/>
        <v>0.27761691781154746</v>
      </c>
      <c r="Q32" s="12">
        <f t="shared" si="1"/>
        <v>3.8998470500984284</v>
      </c>
      <c r="R32" s="12">
        <f t="shared" si="1"/>
        <v>0.52353911206558823</v>
      </c>
      <c r="S32" s="12">
        <f t="shared" si="1"/>
        <v>11.683839986650201</v>
      </c>
      <c r="T32" s="8"/>
      <c r="U32" s="8"/>
    </row>
    <row r="33" spans="1:26" x14ac:dyDescent="0.3">
      <c r="A33" s="16">
        <f t="shared" si="2"/>
        <v>32</v>
      </c>
      <c r="B33" s="16" t="s">
        <v>42</v>
      </c>
      <c r="C33" s="8">
        <v>1654.6707027884795</v>
      </c>
      <c r="D33" s="8">
        <v>1685.3637033419577</v>
      </c>
      <c r="E33" s="8">
        <v>1680.6466846695814</v>
      </c>
      <c r="F33" s="8">
        <v>1553.6061570074053</v>
      </c>
      <c r="G33" s="8">
        <v>1618.0653408029457</v>
      </c>
      <c r="H33" s="8">
        <v>1547.6476568203268</v>
      </c>
      <c r="I33" s="8">
        <v>1380.012440325811</v>
      </c>
      <c r="J33" s="8">
        <v>1555.6831189404843</v>
      </c>
      <c r="M33" s="12">
        <f t="shared" si="1"/>
        <v>6.3629657378690228</v>
      </c>
      <c r="N33" s="12">
        <f t="shared" si="1"/>
        <v>8.3359254093978894</v>
      </c>
      <c r="O33" s="12">
        <f t="shared" si="1"/>
        <v>8.0327133596593239</v>
      </c>
      <c r="P33" s="12">
        <f t="shared" si="1"/>
        <v>0.13350803308154158</v>
      </c>
      <c r="Q33" s="12">
        <f t="shared" si="1"/>
        <v>4.0099568545133737</v>
      </c>
      <c r="R33" s="12">
        <f t="shared" si="1"/>
        <v>0.51652306451908614</v>
      </c>
      <c r="S33" s="12">
        <f t="shared" si="1"/>
        <v>11.292189037463865</v>
      </c>
      <c r="T33" s="8"/>
      <c r="U33" s="8"/>
    </row>
    <row r="34" spans="1:26" x14ac:dyDescent="0.3">
      <c r="A34" s="16">
        <f t="shared" si="2"/>
        <v>33</v>
      </c>
      <c r="B34" s="16" t="s">
        <v>43</v>
      </c>
      <c r="C34" s="8">
        <v>1718.7999106687796</v>
      </c>
      <c r="D34" s="8">
        <v>1750.7709112222578</v>
      </c>
      <c r="E34" s="8">
        <v>1749.7648925498816</v>
      </c>
      <c r="F34" s="8">
        <v>1611.9693648877053</v>
      </c>
      <c r="G34" s="8">
        <v>1683.6405486832457</v>
      </c>
      <c r="H34" s="8">
        <v>1613.0548647006269</v>
      </c>
      <c r="I34" s="8">
        <v>1446.8566482061112</v>
      </c>
      <c r="J34" s="8">
        <v>1621.0903268207844</v>
      </c>
      <c r="M34" s="12">
        <f t="shared" si="1"/>
        <v>6.0273991048740143</v>
      </c>
      <c r="N34" s="12">
        <f t="shared" si="1"/>
        <v>7.9995902915414741</v>
      </c>
      <c r="O34" s="12">
        <f t="shared" si="1"/>
        <v>7.9375321411884805</v>
      </c>
      <c r="P34" s="12">
        <f t="shared" si="1"/>
        <v>0.56264365915789349</v>
      </c>
      <c r="Q34" s="12">
        <f t="shared" si="1"/>
        <v>3.8585278579221551</v>
      </c>
      <c r="R34" s="12">
        <f t="shared" si="1"/>
        <v>0.49568256544447509</v>
      </c>
      <c r="S34" s="12">
        <f t="shared" si="1"/>
        <v>10.74793154533055</v>
      </c>
      <c r="T34" s="8"/>
      <c r="U34" s="8"/>
    </row>
    <row r="35" spans="1:26" x14ac:dyDescent="0.3">
      <c r="A35" s="16">
        <f t="shared" si="2"/>
        <v>34</v>
      </c>
      <c r="B35" s="16" t="s">
        <v>44</v>
      </c>
      <c r="C35" s="8">
        <v>1772.5859696022835</v>
      </c>
      <c r="D35" s="8">
        <v>1811.4659701557619</v>
      </c>
      <c r="E35" s="8">
        <v>1818.2719514833855</v>
      </c>
      <c r="F35" s="8">
        <v>1660.9434238212093</v>
      </c>
      <c r="G35" s="8">
        <v>1758.6486076167496</v>
      </c>
      <c r="H35" s="8">
        <v>1673.7499236341309</v>
      </c>
      <c r="I35" s="8">
        <v>1517.1727071396151</v>
      </c>
      <c r="J35" s="8">
        <v>1681.7853857542882</v>
      </c>
      <c r="M35" s="12">
        <f t="shared" si="1"/>
        <v>5.3990589178101844</v>
      </c>
      <c r="N35" s="12">
        <f t="shared" si="1"/>
        <v>7.7108878160046164</v>
      </c>
      <c r="O35" s="12">
        <f t="shared" si="1"/>
        <v>8.1155756783962314</v>
      </c>
      <c r="P35" s="12">
        <f t="shared" si="1"/>
        <v>1.2392759569456706</v>
      </c>
      <c r="Q35" s="12">
        <f t="shared" si="1"/>
        <v>4.5703347474379372</v>
      </c>
      <c r="R35" s="12">
        <f t="shared" si="1"/>
        <v>0.47779355131887552</v>
      </c>
      <c r="S35" s="12">
        <f t="shared" si="1"/>
        <v>9.7879717595978253</v>
      </c>
      <c r="T35" s="8"/>
      <c r="U35" s="8"/>
    </row>
    <row r="36" spans="1:26" x14ac:dyDescent="0.3">
      <c r="A36" s="16">
        <f t="shared" si="2"/>
        <v>35</v>
      </c>
      <c r="B36" s="16" t="s">
        <v>45</v>
      </c>
      <c r="C36" s="8">
        <v>1756.7443457116724</v>
      </c>
      <c r="D36" s="8">
        <v>1798.5253462651506</v>
      </c>
      <c r="E36" s="8">
        <v>1807.7283275927741</v>
      </c>
      <c r="F36" s="8">
        <v>1642.7977999305981</v>
      </c>
      <c r="G36" s="8">
        <v>1737.2029837261384</v>
      </c>
      <c r="H36" s="8">
        <v>1660.8092997435197</v>
      </c>
      <c r="I36" s="8">
        <v>1491.4340832490038</v>
      </c>
      <c r="J36" s="8">
        <v>1668.8447618636769</v>
      </c>
      <c r="M36" s="12">
        <f t="shared" si="1"/>
        <v>5.2670916946063882</v>
      </c>
      <c r="N36" s="12">
        <f t="shared" si="1"/>
        <v>7.7706798957533518</v>
      </c>
      <c r="O36" s="12">
        <f t="shared" si="1"/>
        <v>8.3221380983333297</v>
      </c>
      <c r="P36" s="12">
        <f t="shared" si="1"/>
        <v>1.5607780021426894</v>
      </c>
      <c r="Q36" s="12">
        <f t="shared" si="1"/>
        <v>4.0961402417156334</v>
      </c>
      <c r="R36" s="12">
        <f t="shared" si="1"/>
        <v>0.48149847749671376</v>
      </c>
      <c r="S36" s="12">
        <f t="shared" si="1"/>
        <v>10.630747848382871</v>
      </c>
      <c r="T36" s="8"/>
      <c r="U36" s="8"/>
    </row>
    <row r="37" spans="1:26" x14ac:dyDescent="0.3">
      <c r="A37" s="16">
        <f t="shared" si="2"/>
        <v>36</v>
      </c>
      <c r="B37" s="16" t="s">
        <v>46</v>
      </c>
      <c r="C37" s="8">
        <v>1844.4402450414868</v>
      </c>
      <c r="D37" s="8">
        <v>1884.637245594965</v>
      </c>
      <c r="E37" s="8">
        <v>1897.6082269225885</v>
      </c>
      <c r="F37" s="8">
        <v>1738.2696992604124</v>
      </c>
      <c r="G37" s="8">
        <v>1826.3868830559527</v>
      </c>
      <c r="H37" s="8">
        <v>1746.921199073334</v>
      </c>
      <c r="I37" s="8">
        <v>1577.7079825788182</v>
      </c>
      <c r="J37" s="8">
        <v>1754.9566611934915</v>
      </c>
      <c r="M37" s="12">
        <f t="shared" si="1"/>
        <v>5.0989056212442474</v>
      </c>
      <c r="N37" s="12">
        <f t="shared" si="1"/>
        <v>7.3893895655110757</v>
      </c>
      <c r="O37" s="12">
        <f t="shared" si="1"/>
        <v>8.1284950724700007</v>
      </c>
      <c r="P37" s="12">
        <f t="shared" si="1"/>
        <v>0.95084752245282578</v>
      </c>
      <c r="Q37" s="12">
        <f t="shared" si="1"/>
        <v>4.0701986232459832</v>
      </c>
      <c r="R37" s="12">
        <f t="shared" si="1"/>
        <v>0.45787239638686134</v>
      </c>
      <c r="S37" s="12">
        <f t="shared" si="1"/>
        <v>10.099889218582296</v>
      </c>
      <c r="T37" s="8"/>
      <c r="U37" s="8"/>
    </row>
    <row r="38" spans="1:26" x14ac:dyDescent="0.3">
      <c r="A38" s="16">
        <f t="shared" si="2"/>
        <v>37</v>
      </c>
      <c r="B38" s="16" t="s">
        <v>47</v>
      </c>
      <c r="C38" s="8">
        <v>1981.9838714463444</v>
      </c>
      <c r="D38" s="8">
        <v>2040.6120310341735</v>
      </c>
      <c r="E38" s="8">
        <v>2047.4217570929763</v>
      </c>
      <c r="F38" s="8">
        <v>1862.5518823278935</v>
      </c>
      <c r="G38" s="8">
        <v>1965.237046997978</v>
      </c>
      <c r="H38" s="8">
        <v>1957.7748685568031</v>
      </c>
      <c r="I38" s="8">
        <v>1685.8140878423897</v>
      </c>
      <c r="J38" s="8">
        <v>1890.895819476118</v>
      </c>
      <c r="L38" s="31">
        <f t="shared" ref="L38" si="3">AVERAGE(C38:C48)</f>
        <v>2097.8794726346891</v>
      </c>
      <c r="M38" s="12">
        <f t="shared" si="1"/>
        <v>4.8171904042530898</v>
      </c>
      <c r="N38" s="12">
        <f t="shared" si="1"/>
        <v>7.9177398361129718</v>
      </c>
      <c r="O38" s="12">
        <f t="shared" si="1"/>
        <v>8.2778721072123673</v>
      </c>
      <c r="P38" s="12">
        <f t="shared" si="1"/>
        <v>1.4989687351510126</v>
      </c>
      <c r="Q38" s="12">
        <f t="shared" si="1"/>
        <v>3.9315348183728385</v>
      </c>
      <c r="R38" s="12">
        <f t="shared" si="1"/>
        <v>3.5368976118004323</v>
      </c>
      <c r="S38" s="12">
        <f t="shared" si="1"/>
        <v>10.845744621221241</v>
      </c>
      <c r="T38" s="31"/>
      <c r="U38" s="31"/>
      <c r="V38" s="31"/>
      <c r="W38" s="31"/>
      <c r="X38" s="31"/>
      <c r="Y38" s="31"/>
      <c r="Z38" s="31"/>
    </row>
    <row r="39" spans="1:26" x14ac:dyDescent="0.3">
      <c r="A39" s="16">
        <f t="shared" si="2"/>
        <v>38</v>
      </c>
      <c r="B39" s="16" t="s">
        <v>48</v>
      </c>
      <c r="C39" s="8">
        <v>1972.5618007153444</v>
      </c>
      <c r="D39" s="8">
        <v>2021.6919603031733</v>
      </c>
      <c r="E39" s="8">
        <v>2032.4436863619762</v>
      </c>
      <c r="F39" s="8">
        <v>1848.4648115968937</v>
      </c>
      <c r="G39" s="8">
        <v>1954.2219762669781</v>
      </c>
      <c r="H39" s="8">
        <v>1938.854797825803</v>
      </c>
      <c r="I39" s="8">
        <v>1678.1740171113897</v>
      </c>
      <c r="J39" s="8">
        <v>1871.9757487451184</v>
      </c>
      <c r="M39" s="12">
        <f t="shared" si="1"/>
        <v>5.3732561459545609</v>
      </c>
      <c r="N39" s="12">
        <f t="shared" si="1"/>
        <v>7.9977644827085737</v>
      </c>
      <c r="O39" s="12">
        <f t="shared" si="1"/>
        <v>8.5721162640289421</v>
      </c>
      <c r="P39" s="12">
        <f t="shared" si="1"/>
        <v>1.2559424001077619</v>
      </c>
      <c r="Q39" s="12">
        <f t="shared" si="1"/>
        <v>4.393551977208765</v>
      </c>
      <c r="R39" s="12">
        <f t="shared" si="1"/>
        <v>3.5726450583303251</v>
      </c>
      <c r="S39" s="12">
        <f t="shared" si="1"/>
        <v>10.352790721976175</v>
      </c>
      <c r="T39" s="8"/>
      <c r="U39" s="8"/>
    </row>
    <row r="40" spans="1:26" x14ac:dyDescent="0.3">
      <c r="A40" s="16">
        <f t="shared" si="2"/>
        <v>39</v>
      </c>
      <c r="B40" s="16" t="s">
        <v>49</v>
      </c>
      <c r="C40" s="8">
        <v>2115.7856281735562</v>
      </c>
      <c r="D40" s="8">
        <v>2164.4567877613854</v>
      </c>
      <c r="E40" s="8">
        <v>2171.1765138201881</v>
      </c>
      <c r="F40" s="8">
        <v>1967.2836390551056</v>
      </c>
      <c r="G40" s="8">
        <v>2088.96480372519</v>
      </c>
      <c r="H40" s="8">
        <v>2081.619625284015</v>
      </c>
      <c r="I40" s="8">
        <v>1808.9088445696018</v>
      </c>
      <c r="J40" s="8">
        <v>2014.7405762033302</v>
      </c>
      <c r="M40" s="12">
        <f t="shared" si="1"/>
        <v>5.0152884775190252</v>
      </c>
      <c r="N40" s="12">
        <f t="shared" si="1"/>
        <v>7.4310416599732809</v>
      </c>
      <c r="O40" s="12">
        <f t="shared" si="1"/>
        <v>7.7645697646916405</v>
      </c>
      <c r="P40" s="12">
        <f t="shared" si="1"/>
        <v>2.3554862451648555</v>
      </c>
      <c r="Q40" s="12">
        <f t="shared" si="1"/>
        <v>3.6840588013436126</v>
      </c>
      <c r="R40" s="12">
        <f t="shared" si="1"/>
        <v>3.3194868793834869</v>
      </c>
      <c r="S40" s="12">
        <f t="shared" si="1"/>
        <v>10.216289584121405</v>
      </c>
      <c r="T40" s="8"/>
      <c r="U40" s="8"/>
    </row>
    <row r="41" spans="1:26" x14ac:dyDescent="0.3">
      <c r="A41" s="16">
        <f t="shared" si="2"/>
        <v>40</v>
      </c>
      <c r="B41" s="16" t="s">
        <v>50</v>
      </c>
      <c r="C41" s="8">
        <v>2022.705112883373</v>
      </c>
      <c r="D41" s="8">
        <v>2067.566272471202</v>
      </c>
      <c r="E41" s="8">
        <v>2081.3389985300046</v>
      </c>
      <c r="F41" s="8">
        <v>1888.6721237649222</v>
      </c>
      <c r="G41" s="8">
        <v>1999.1392884350066</v>
      </c>
      <c r="H41" s="8">
        <v>1984.7291099938316</v>
      </c>
      <c r="I41" s="8">
        <v>1710.2453292794185</v>
      </c>
      <c r="J41" s="8">
        <v>1917.8500609131468</v>
      </c>
      <c r="M41" s="12">
        <f t="shared" si="1"/>
        <v>5.4673227124075341</v>
      </c>
      <c r="N41" s="12">
        <f t="shared" si="1"/>
        <v>7.8064607139710782</v>
      </c>
      <c r="O41" s="12">
        <f t="shared" si="1"/>
        <v>8.5245943334598202</v>
      </c>
      <c r="P41" s="12">
        <f t="shared" si="1"/>
        <v>1.5213878156007721</v>
      </c>
      <c r="Q41" s="12">
        <f t="shared" si="1"/>
        <v>4.2385601032416256</v>
      </c>
      <c r="R41" s="12">
        <f t="shared" si="1"/>
        <v>3.4871886204097549</v>
      </c>
      <c r="S41" s="12">
        <f t="shared" si="1"/>
        <v>10.824867692466082</v>
      </c>
      <c r="T41" s="8"/>
      <c r="U41" s="8"/>
    </row>
    <row r="42" spans="1:26" x14ac:dyDescent="0.3">
      <c r="A42" s="16">
        <f t="shared" si="2"/>
        <v>41</v>
      </c>
      <c r="B42" s="16" t="s">
        <v>51</v>
      </c>
      <c r="C42" s="8">
        <v>2004.1999145193636</v>
      </c>
      <c r="D42" s="8">
        <v>2049.8590741071926</v>
      </c>
      <c r="E42" s="8">
        <v>2049.5408001659953</v>
      </c>
      <c r="F42" s="8">
        <v>1871.0519254009128</v>
      </c>
      <c r="G42" s="8">
        <v>1973.2600900709972</v>
      </c>
      <c r="H42" s="8">
        <v>1967.0219116298222</v>
      </c>
      <c r="I42" s="8">
        <v>1687.7771309154091</v>
      </c>
      <c r="J42" s="8">
        <v>1900.1428625491376</v>
      </c>
      <c r="M42" s="12">
        <f t="shared" si="1"/>
        <v>5.4762751802055654</v>
      </c>
      <c r="N42" s="12">
        <f t="shared" si="1"/>
        <v>7.8792081642326153</v>
      </c>
      <c r="O42" s="12">
        <f t="shared" si="1"/>
        <v>7.8624581636158037</v>
      </c>
      <c r="P42" s="12">
        <f t="shared" si="1"/>
        <v>1.5309868390210344</v>
      </c>
      <c r="Q42" s="12">
        <f t="shared" si="1"/>
        <v>3.8479857995397859</v>
      </c>
      <c r="R42" s="12">
        <f t="shared" si="1"/>
        <v>3.5196853036072748</v>
      </c>
      <c r="S42" s="12">
        <f t="shared" si="1"/>
        <v>11.176303414830038</v>
      </c>
      <c r="T42" s="8"/>
      <c r="U42" s="8"/>
    </row>
    <row r="43" spans="1:26" x14ac:dyDescent="0.3">
      <c r="A43" s="16">
        <f t="shared" si="2"/>
        <v>42</v>
      </c>
      <c r="B43" s="16" t="s">
        <v>52</v>
      </c>
      <c r="C43" s="8">
        <v>2048.5527596738193</v>
      </c>
      <c r="D43" s="8">
        <v>2092.7179192616486</v>
      </c>
      <c r="E43" s="8">
        <v>2095.5796453204512</v>
      </c>
      <c r="F43" s="8">
        <v>1907.5507705553687</v>
      </c>
      <c r="G43" s="8">
        <v>2016.3769352254531</v>
      </c>
      <c r="H43" s="8">
        <v>2009.880756784278</v>
      </c>
      <c r="I43" s="8">
        <v>1713.1159760698647</v>
      </c>
      <c r="J43" s="8">
        <v>1943.0017077035934</v>
      </c>
      <c r="M43" s="12">
        <f t="shared" si="1"/>
        <v>5.4323705198887966</v>
      </c>
      <c r="N43" s="12">
        <f t="shared" si="1"/>
        <v>7.7054081303408992</v>
      </c>
      <c r="O43" s="12">
        <f t="shared" si="1"/>
        <v>7.8526918948098867</v>
      </c>
      <c r="P43" s="12">
        <f t="shared" si="1"/>
        <v>1.8245448270924942</v>
      </c>
      <c r="Q43" s="12">
        <f t="shared" si="1"/>
        <v>3.7763851277609422</v>
      </c>
      <c r="R43" s="12">
        <f t="shared" si="1"/>
        <v>3.442047879604182</v>
      </c>
      <c r="S43" s="12">
        <f t="shared" si="1"/>
        <v>11.831473473352087</v>
      </c>
      <c r="T43" s="8"/>
      <c r="U43" s="8"/>
    </row>
    <row r="44" spans="1:26" x14ac:dyDescent="0.3">
      <c r="A44" s="16">
        <f t="shared" si="2"/>
        <v>43</v>
      </c>
      <c r="B44" s="16" t="s">
        <v>53</v>
      </c>
      <c r="C44" s="8">
        <v>2186.2676886931085</v>
      </c>
      <c r="D44" s="8">
        <v>2245.9398482809374</v>
      </c>
      <c r="E44" s="8">
        <v>2265.3435743397404</v>
      </c>
      <c r="F44" s="8">
        <v>2019.6396995746579</v>
      </c>
      <c r="G44" s="8">
        <v>2191.5228642447423</v>
      </c>
      <c r="H44" s="8">
        <v>2163.1026858035675</v>
      </c>
      <c r="I44" s="8">
        <v>1829.1889050891541</v>
      </c>
      <c r="J44" s="8">
        <v>2096.2236367228825</v>
      </c>
      <c r="M44" s="12">
        <f t="shared" si="1"/>
        <v>4.2955365254346543</v>
      </c>
      <c r="N44" s="12">
        <f t="shared" si="1"/>
        <v>7.1421869754370686</v>
      </c>
      <c r="O44" s="12">
        <f t="shared" si="1"/>
        <v>8.0678385003448607</v>
      </c>
      <c r="P44" s="12">
        <f t="shared" si="1"/>
        <v>3.6534239861903064</v>
      </c>
      <c r="Q44" s="12">
        <f t="shared" si="1"/>
        <v>4.5462338012200485</v>
      </c>
      <c r="R44" s="12">
        <f t="shared" si="1"/>
        <v>3.1904539147950812</v>
      </c>
      <c r="S44" s="12">
        <f t="shared" si="1"/>
        <v>12.738847466255812</v>
      </c>
      <c r="T44" s="8"/>
      <c r="U44" s="8"/>
    </row>
    <row r="45" spans="1:26" x14ac:dyDescent="0.3">
      <c r="A45" s="16">
        <f t="shared" si="2"/>
        <v>44</v>
      </c>
      <c r="B45" s="16" t="s">
        <v>54</v>
      </c>
      <c r="C45" s="8">
        <v>2375.4001676999123</v>
      </c>
      <c r="D45" s="8">
        <v>2422.8293272877418</v>
      </c>
      <c r="E45" s="8">
        <v>2423.618053346544</v>
      </c>
      <c r="F45" s="8">
        <v>2184.8981785814617</v>
      </c>
      <c r="G45" s="8">
        <v>2352.7073432515463</v>
      </c>
      <c r="H45" s="8">
        <v>2339.9921648103709</v>
      </c>
      <c r="I45" s="8">
        <v>1963.5443840959579</v>
      </c>
      <c r="J45" s="8">
        <v>2273.1131157296863</v>
      </c>
      <c r="M45" s="12">
        <f t="shared" si="1"/>
        <v>4.4998663402367063</v>
      </c>
      <c r="N45" s="12">
        <f t="shared" si="1"/>
        <v>6.586395130186709</v>
      </c>
      <c r="O45" s="12">
        <f t="shared" si="1"/>
        <v>6.6210931860531037</v>
      </c>
      <c r="P45" s="12">
        <f t="shared" si="1"/>
        <v>3.8807983878051302</v>
      </c>
      <c r="Q45" s="12">
        <f t="shared" si="1"/>
        <v>3.5015515493301606</v>
      </c>
      <c r="R45" s="12">
        <f t="shared" si="1"/>
        <v>2.9421786631685465</v>
      </c>
      <c r="S45" s="12">
        <f t="shared" si="1"/>
        <v>13.618712130581967</v>
      </c>
      <c r="T45" s="8"/>
      <c r="U45" s="8"/>
    </row>
    <row r="46" spans="1:26" x14ac:dyDescent="0.3">
      <c r="A46" s="16">
        <f t="shared" si="2"/>
        <v>45</v>
      </c>
      <c r="B46" s="16" t="s">
        <v>55</v>
      </c>
      <c r="C46" s="8">
        <v>2263.6929795473507</v>
      </c>
      <c r="D46" s="8">
        <v>2313.6781391351797</v>
      </c>
      <c r="E46" s="8">
        <v>2317.3858651939827</v>
      </c>
      <c r="F46" s="8">
        <v>2108.4859904288996</v>
      </c>
      <c r="G46" s="8">
        <v>2242.0261550989844</v>
      </c>
      <c r="H46" s="8">
        <v>2230.8409766578093</v>
      </c>
      <c r="I46" s="8">
        <v>1882.923195943396</v>
      </c>
      <c r="J46" s="8">
        <v>2163.9619275771242</v>
      </c>
      <c r="M46" s="12">
        <f t="shared" si="1"/>
        <v>4.6087248901781788</v>
      </c>
      <c r="N46" s="12">
        <f t="shared" si="1"/>
        <v>6.9186157875561554</v>
      </c>
      <c r="O46" s="12">
        <f t="shared" si="1"/>
        <v>7.0899554960580691</v>
      </c>
      <c r="P46" s="12">
        <f t="shared" si="1"/>
        <v>2.5636281508121601</v>
      </c>
      <c r="Q46" s="12">
        <f t="shared" si="1"/>
        <v>3.6074676974222295</v>
      </c>
      <c r="R46" s="12">
        <f t="shared" si="1"/>
        <v>3.0905834445787148</v>
      </c>
      <c r="S46" s="12">
        <f t="shared" si="1"/>
        <v>12.987230877411635</v>
      </c>
      <c r="T46" s="8"/>
      <c r="U46" s="8"/>
    </row>
    <row r="47" spans="1:26" x14ac:dyDescent="0.3">
      <c r="A47" s="16">
        <f t="shared" si="2"/>
        <v>46</v>
      </c>
      <c r="B47" s="16" t="s">
        <v>56</v>
      </c>
      <c r="C47" s="8">
        <v>2063.5590181119351</v>
      </c>
      <c r="D47" s="8">
        <v>2112.7281776997643</v>
      </c>
      <c r="E47" s="8">
        <v>2112.7579037585674</v>
      </c>
      <c r="F47" s="8">
        <v>1931.6170289934846</v>
      </c>
      <c r="G47" s="8">
        <v>2036.4111936635691</v>
      </c>
      <c r="H47" s="8">
        <v>2029.8910152223939</v>
      </c>
      <c r="I47" s="8">
        <v>1738.5832345079807</v>
      </c>
      <c r="J47" s="8">
        <v>1963.0119661417093</v>
      </c>
      <c r="M47" s="12">
        <f t="shared" si="1"/>
        <v>5.1220804408976948</v>
      </c>
      <c r="N47" s="12">
        <f t="shared" si="1"/>
        <v>7.6268618908279739</v>
      </c>
      <c r="O47" s="12">
        <f t="shared" si="1"/>
        <v>7.6283761994168087</v>
      </c>
      <c r="P47" s="12">
        <f t="shared" si="1"/>
        <v>1.5993247972874713</v>
      </c>
      <c r="Q47" s="12">
        <f t="shared" si="1"/>
        <v>3.7391125875878171</v>
      </c>
      <c r="R47" s="12">
        <f t="shared" si="1"/>
        <v>3.4069608455894969</v>
      </c>
      <c r="S47" s="12">
        <f t="shared" si="1"/>
        <v>11.432876391214375</v>
      </c>
      <c r="T47" s="8"/>
      <c r="U47" s="8"/>
    </row>
    <row r="48" spans="1:26" x14ac:dyDescent="0.3">
      <c r="A48" s="16">
        <f t="shared" si="2"/>
        <v>47</v>
      </c>
      <c r="B48" s="16" t="s">
        <v>57</v>
      </c>
      <c r="C48" s="8">
        <v>2041.9652575174696</v>
      </c>
      <c r="D48" s="8">
        <v>2094.9834171052989</v>
      </c>
      <c r="E48" s="8">
        <v>2093.6931431641015</v>
      </c>
      <c r="F48" s="8">
        <v>1923.991268399019</v>
      </c>
      <c r="G48" s="8">
        <v>2017.4034330691034</v>
      </c>
      <c r="H48" s="8">
        <v>2012.1462546279283</v>
      </c>
      <c r="I48" s="8">
        <v>1712.0424739135151</v>
      </c>
      <c r="J48" s="8">
        <v>1945.2672055472435</v>
      </c>
      <c r="M48" s="12">
        <f t="shared" si="1"/>
        <v>4.9709392979265754</v>
      </c>
      <c r="N48" s="12">
        <f t="shared" si="1"/>
        <v>7.6964342549504492</v>
      </c>
      <c r="O48" s="12">
        <f t="shared" si="1"/>
        <v>7.6301053754259263</v>
      </c>
      <c r="P48" s="12">
        <f t="shared" si="1"/>
        <v>1.0937282594161248</v>
      </c>
      <c r="Q48" s="12">
        <f t="shared" si="1"/>
        <v>3.7082940233687043</v>
      </c>
      <c r="R48" s="12">
        <f t="shared" si="1"/>
        <v>3.4380392004742792</v>
      </c>
      <c r="S48" s="12">
        <f t="shared" si="1"/>
        <v>11.989341668262872</v>
      </c>
      <c r="T48" s="8"/>
      <c r="U48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FB0C3-01D7-443D-AADC-163D84E338F0}">
  <dimension ref="A1:S48"/>
  <sheetViews>
    <sheetView topLeftCell="A7" workbookViewId="0">
      <selection activeCell="P22" sqref="P22"/>
    </sheetView>
  </sheetViews>
  <sheetFormatPr defaultRowHeight="14.4" x14ac:dyDescent="0.3"/>
  <cols>
    <col min="3" max="3" width="8.33203125" bestFit="1" customWidth="1"/>
    <col min="4" max="7" width="7.5546875" bestFit="1" customWidth="1"/>
    <col min="8" max="8" width="10.88671875" bestFit="1" customWidth="1"/>
    <col min="9" max="9" width="7.5546875" bestFit="1" customWidth="1"/>
  </cols>
  <sheetData>
    <row r="1" spans="1:19" x14ac:dyDescent="0.3">
      <c r="A1" s="16" t="s">
        <v>62</v>
      </c>
      <c r="B1" s="16" t="s">
        <v>61</v>
      </c>
      <c r="C1" s="16" t="s">
        <v>2</v>
      </c>
      <c r="D1" s="16" t="s">
        <v>3</v>
      </c>
      <c r="E1" s="16" t="s">
        <v>5</v>
      </c>
      <c r="F1" s="16" t="s">
        <v>64</v>
      </c>
      <c r="G1" s="16" t="s">
        <v>6</v>
      </c>
      <c r="H1" s="16" t="s">
        <v>63</v>
      </c>
      <c r="I1" s="16" t="s">
        <v>10</v>
      </c>
    </row>
    <row r="2" spans="1:19" x14ac:dyDescent="0.3">
      <c r="A2" s="16">
        <v>1</v>
      </c>
      <c r="B2" s="16" t="s">
        <v>11</v>
      </c>
      <c r="C2" s="8">
        <v>2385.909674890333</v>
      </c>
      <c r="D2" s="8">
        <v>2326.4276437964209</v>
      </c>
      <c r="E2" s="8">
        <v>2069.8475242148597</v>
      </c>
      <c r="F2" s="8">
        <v>2190.2212119702317</v>
      </c>
      <c r="G2" s="8">
        <v>2041.6104846861224</v>
      </c>
      <c r="H2" s="8">
        <v>2812.4646933083523</v>
      </c>
      <c r="I2" s="8">
        <v>2161.119085008911</v>
      </c>
      <c r="M2" s="12">
        <f>ABS((C2-$I2)/$I2)*100</f>
        <v>10.401582746676594</v>
      </c>
      <c r="N2" s="12">
        <f t="shared" ref="N2:S17" si="0">ABS((D2-$I2)/$I2)*100</f>
        <v>7.6492110006435938</v>
      </c>
      <c r="O2" s="12">
        <f t="shared" si="0"/>
        <v>4.2233471272905341</v>
      </c>
      <c r="P2" s="12">
        <f t="shared" si="0"/>
        <v>1.3466230141223647</v>
      </c>
      <c r="Q2" s="12">
        <f t="shared" si="0"/>
        <v>5.5299405364464622</v>
      </c>
      <c r="R2" s="12">
        <f t="shared" si="0"/>
        <v>30.139274268486481</v>
      </c>
      <c r="S2" s="12">
        <f t="shared" si="0"/>
        <v>0</v>
      </c>
    </row>
    <row r="3" spans="1:19" x14ac:dyDescent="0.3">
      <c r="A3" s="16">
        <f>A2+1</f>
        <v>2</v>
      </c>
      <c r="B3" s="16" t="s">
        <v>12</v>
      </c>
      <c r="C3" s="8">
        <v>2374.9208775670418</v>
      </c>
      <c r="D3" s="8">
        <v>2313.0568464731296</v>
      </c>
      <c r="E3" s="8">
        <v>2057.8357268915688</v>
      </c>
      <c r="F3" s="8">
        <v>2179.2324146469409</v>
      </c>
      <c r="G3" s="8">
        <v>2030.2196873628313</v>
      </c>
      <c r="H3" s="8">
        <v>2800.0208959850611</v>
      </c>
      <c r="I3" s="8">
        <v>2150.1302876856203</v>
      </c>
      <c r="M3" s="12">
        <f t="shared" ref="M3:S48" si="1">ABS((C3-$I3)/$I3)*100</f>
        <v>10.454742727399276</v>
      </c>
      <c r="N3" s="12">
        <f t="shared" si="0"/>
        <v>7.5775202889161601</v>
      </c>
      <c r="O3" s="12">
        <f t="shared" si="0"/>
        <v>4.2925101479964933</v>
      </c>
      <c r="P3" s="12">
        <f t="shared" si="0"/>
        <v>1.3535052795635893</v>
      </c>
      <c r="Q3" s="12">
        <f t="shared" si="0"/>
        <v>5.5768992702232731</v>
      </c>
      <c r="R3" s="12">
        <f t="shared" si="0"/>
        <v>30.225638512305082</v>
      </c>
      <c r="S3" s="12">
        <f t="shared" si="0"/>
        <v>0</v>
      </c>
    </row>
    <row r="4" spans="1:19" x14ac:dyDescent="0.3">
      <c r="A4" s="16">
        <f t="shared" ref="A4:A48" si="2">A3+1</f>
        <v>3</v>
      </c>
      <c r="B4" s="16" t="s">
        <v>13</v>
      </c>
      <c r="C4" s="8">
        <v>2365.4645195993426</v>
      </c>
      <c r="D4" s="8">
        <v>2303.4324885054307</v>
      </c>
      <c r="E4" s="8">
        <v>2050.5963689238697</v>
      </c>
      <c r="F4" s="8">
        <v>2169.7760566792417</v>
      </c>
      <c r="G4" s="8">
        <v>2022.8693293951324</v>
      </c>
      <c r="H4" s="8">
        <v>2792.319538017362</v>
      </c>
      <c r="I4" s="8">
        <v>2140.6739297179211</v>
      </c>
      <c r="M4" s="12">
        <f t="shared" si="1"/>
        <v>10.500926215840934</v>
      </c>
      <c r="N4" s="12">
        <f t="shared" si="0"/>
        <v>7.6031457443383967</v>
      </c>
      <c r="O4" s="12">
        <f t="shared" si="0"/>
        <v>4.2079066570367845</v>
      </c>
      <c r="P4" s="12">
        <f t="shared" si="0"/>
        <v>1.3594843454348737</v>
      </c>
      <c r="Q4" s="12">
        <f t="shared" si="0"/>
        <v>5.5031548096777145</v>
      </c>
      <c r="R4" s="12">
        <f t="shared" si="0"/>
        <v>30.44114282203217</v>
      </c>
      <c r="S4" s="12">
        <f t="shared" si="0"/>
        <v>0</v>
      </c>
    </row>
    <row r="5" spans="1:19" x14ac:dyDescent="0.3">
      <c r="A5" s="16">
        <f t="shared" si="2"/>
        <v>4</v>
      </c>
      <c r="B5" s="16" t="s">
        <v>14</v>
      </c>
      <c r="C5" s="8">
        <v>2365.5567930070515</v>
      </c>
      <c r="D5" s="8">
        <v>2302.8917619131398</v>
      </c>
      <c r="E5" s="8">
        <v>2048.9516423315786</v>
      </c>
      <c r="F5" s="8">
        <v>2169.8683300869507</v>
      </c>
      <c r="G5" s="8">
        <v>2021.521602802841</v>
      </c>
      <c r="H5" s="8">
        <v>2790.6058114250709</v>
      </c>
      <c r="I5" s="8">
        <v>2140.76620312563</v>
      </c>
      <c r="M5" s="12">
        <f t="shared" si="1"/>
        <v>10.500473594604379</v>
      </c>
      <c r="N5" s="12">
        <f t="shared" si="0"/>
        <v>7.5732491736275582</v>
      </c>
      <c r="O5" s="12">
        <f t="shared" si="0"/>
        <v>4.2888644570340002</v>
      </c>
      <c r="P5" s="12">
        <f t="shared" si="0"/>
        <v>1.3594257476052287</v>
      </c>
      <c r="Q5" s="12">
        <f t="shared" si="0"/>
        <v>5.5701832432091685</v>
      </c>
      <c r="R5" s="12">
        <f t="shared" si="0"/>
        <v>30.355468399615116</v>
      </c>
      <c r="S5" s="12">
        <f t="shared" si="0"/>
        <v>0</v>
      </c>
    </row>
    <row r="6" spans="1:19" x14ac:dyDescent="0.3">
      <c r="A6" s="16">
        <f t="shared" si="2"/>
        <v>5</v>
      </c>
      <c r="B6" s="16" t="s">
        <v>15</v>
      </c>
      <c r="C6" s="8">
        <v>2361.7643259934789</v>
      </c>
      <c r="D6" s="8">
        <v>2298.571294899567</v>
      </c>
      <c r="E6" s="8">
        <v>2044.0821753180057</v>
      </c>
      <c r="F6" s="8">
        <v>2166.0758630733776</v>
      </c>
      <c r="G6" s="8">
        <v>2016.8681357892683</v>
      </c>
      <c r="H6" s="8">
        <v>2786.3603444114979</v>
      </c>
      <c r="I6" s="8">
        <v>2136.9737361120569</v>
      </c>
      <c r="M6" s="12">
        <f t="shared" si="1"/>
        <v>10.519108685462786</v>
      </c>
      <c r="N6" s="12">
        <f t="shared" si="0"/>
        <v>7.5619815094927452</v>
      </c>
      <c r="O6" s="12">
        <f t="shared" si="0"/>
        <v>4.3468742373528277</v>
      </c>
      <c r="P6" s="12">
        <f t="shared" si="0"/>
        <v>1.3618383075810825</v>
      </c>
      <c r="Q6" s="12">
        <f t="shared" si="0"/>
        <v>5.6203592160802591</v>
      </c>
      <c r="R6" s="12">
        <f t="shared" si="0"/>
        <v>30.388141759800686</v>
      </c>
      <c r="S6" s="12">
        <f t="shared" si="0"/>
        <v>0</v>
      </c>
    </row>
    <row r="7" spans="1:19" x14ac:dyDescent="0.3">
      <c r="A7" s="16">
        <f t="shared" si="2"/>
        <v>6</v>
      </c>
      <c r="B7" s="16" t="s">
        <v>16</v>
      </c>
      <c r="C7" s="8">
        <v>2354.9276531311002</v>
      </c>
      <c r="D7" s="8">
        <v>2290.9456220371885</v>
      </c>
      <c r="E7" s="8">
        <v>2038.2205024556272</v>
      </c>
      <c r="F7" s="8">
        <v>2159.2391902109994</v>
      </c>
      <c r="G7" s="8">
        <v>2011.2614629268899</v>
      </c>
      <c r="H7" s="8">
        <v>2779.9346715491192</v>
      </c>
      <c r="I7" s="8">
        <v>2130.1370632496787</v>
      </c>
      <c r="M7" s="12">
        <f t="shared" si="1"/>
        <v>10.55286975470429</v>
      </c>
      <c r="N7" s="12">
        <f t="shared" si="0"/>
        <v>7.5492118118533025</v>
      </c>
      <c r="O7" s="12">
        <f t="shared" si="0"/>
        <v>4.3150538235237379</v>
      </c>
      <c r="P7" s="12">
        <f t="shared" si="0"/>
        <v>1.3662091263236955</v>
      </c>
      <c r="Q7" s="12">
        <f t="shared" si="0"/>
        <v>5.580654990408715</v>
      </c>
      <c r="R7" s="12">
        <f t="shared" si="0"/>
        <v>30.504967004711286</v>
      </c>
      <c r="S7" s="12">
        <f t="shared" si="0"/>
        <v>0</v>
      </c>
    </row>
    <row r="8" spans="1:19" x14ac:dyDescent="0.3">
      <c r="A8" s="16">
        <f t="shared" si="2"/>
        <v>7</v>
      </c>
      <c r="B8" s="16" t="s">
        <v>17</v>
      </c>
      <c r="C8" s="8">
        <v>2357.3001600455955</v>
      </c>
      <c r="D8" s="8">
        <v>2293.6901289516836</v>
      </c>
      <c r="E8" s="8">
        <v>2039.5580093701224</v>
      </c>
      <c r="F8" s="8">
        <v>2161.6116971254942</v>
      </c>
      <c r="G8" s="8">
        <v>2012.7609698413848</v>
      </c>
      <c r="H8" s="8">
        <v>2781.1611784636148</v>
      </c>
      <c r="I8" s="8">
        <v>2132.509570164174</v>
      </c>
      <c r="M8" s="12">
        <f t="shared" si="1"/>
        <v>10.541129241643484</v>
      </c>
      <c r="N8" s="12">
        <f t="shared" si="0"/>
        <v>7.5582572309441485</v>
      </c>
      <c r="O8" s="12">
        <f t="shared" si="0"/>
        <v>4.358787510008483</v>
      </c>
      <c r="P8" s="12">
        <f t="shared" si="0"/>
        <v>1.3646891610000955</v>
      </c>
      <c r="Q8" s="12">
        <f t="shared" si="0"/>
        <v>5.6153839587960261</v>
      </c>
      <c r="R8" s="12">
        <f t="shared" si="0"/>
        <v>30.417289440323756</v>
      </c>
      <c r="S8" s="12">
        <f t="shared" si="0"/>
        <v>0</v>
      </c>
    </row>
    <row r="9" spans="1:19" x14ac:dyDescent="0.3">
      <c r="A9" s="16">
        <f t="shared" si="2"/>
        <v>8</v>
      </c>
      <c r="B9" s="16" t="s">
        <v>18</v>
      </c>
      <c r="C9" s="8">
        <v>2356.8521738745858</v>
      </c>
      <c r="D9" s="8">
        <v>2292.8101427806737</v>
      </c>
      <c r="E9" s="8">
        <v>2039.1610231991126</v>
      </c>
      <c r="F9" s="8">
        <v>2161.1637109544845</v>
      </c>
      <c r="G9" s="8">
        <v>2011.2269836703751</v>
      </c>
      <c r="H9" s="8">
        <v>2780.9171922926048</v>
      </c>
      <c r="I9" s="8">
        <v>2132.0615839931643</v>
      </c>
      <c r="M9" s="12">
        <f t="shared" si="1"/>
        <v>10.543344130820483</v>
      </c>
      <c r="N9" s="12">
        <f t="shared" si="0"/>
        <v>7.5395832838206038</v>
      </c>
      <c r="O9" s="12">
        <f t="shared" si="0"/>
        <v>4.3573113221268711</v>
      </c>
      <c r="P9" s="12">
        <f t="shared" si="0"/>
        <v>1.364975907816625</v>
      </c>
      <c r="Q9" s="12">
        <f t="shared" si="0"/>
        <v>5.6675004713736516</v>
      </c>
      <c r="R9" s="12">
        <f t="shared" si="0"/>
        <v>30.433248887876442</v>
      </c>
      <c r="S9" s="12">
        <f t="shared" si="0"/>
        <v>0</v>
      </c>
    </row>
    <row r="10" spans="1:19" x14ac:dyDescent="0.3">
      <c r="A10" s="16">
        <f t="shared" si="2"/>
        <v>9</v>
      </c>
      <c r="B10" s="16" t="s">
        <v>19</v>
      </c>
      <c r="C10" s="8">
        <v>2360.238462697333</v>
      </c>
      <c r="D10" s="8">
        <v>2297.1684316034211</v>
      </c>
      <c r="E10" s="8">
        <v>2043.3273120218601</v>
      </c>
      <c r="F10" s="8">
        <v>2164.5499997772322</v>
      </c>
      <c r="G10" s="8">
        <v>2014.0822724931227</v>
      </c>
      <c r="H10" s="8">
        <v>2784.3694811153523</v>
      </c>
      <c r="I10" s="8">
        <v>2135.4478728159115</v>
      </c>
      <c r="M10" s="12">
        <f t="shared" si="1"/>
        <v>10.526625011220764</v>
      </c>
      <c r="N10" s="12">
        <f t="shared" si="0"/>
        <v>7.5731447649085695</v>
      </c>
      <c r="O10" s="12">
        <f t="shared" si="0"/>
        <v>4.3138754153982957</v>
      </c>
      <c r="P10" s="12">
        <f t="shared" si="0"/>
        <v>1.3628113957633206</v>
      </c>
      <c r="Q10" s="12">
        <f t="shared" si="0"/>
        <v>5.6833792043235372</v>
      </c>
      <c r="R10" s="12">
        <f t="shared" si="0"/>
        <v>30.388080016382666</v>
      </c>
      <c r="S10" s="12">
        <f t="shared" si="0"/>
        <v>0</v>
      </c>
    </row>
    <row r="11" spans="1:19" x14ac:dyDescent="0.3">
      <c r="A11" s="16">
        <f t="shared" si="2"/>
        <v>10</v>
      </c>
      <c r="B11" s="16" t="s">
        <v>20</v>
      </c>
      <c r="C11" s="8">
        <v>2366.5284919413621</v>
      </c>
      <c r="D11" s="8">
        <v>2304.0254608474502</v>
      </c>
      <c r="E11" s="8">
        <v>2049.764341265889</v>
      </c>
      <c r="F11" s="8">
        <v>2170.8400290212612</v>
      </c>
      <c r="G11" s="8">
        <v>2021.5243017371517</v>
      </c>
      <c r="H11" s="8">
        <v>2790.7195103593813</v>
      </c>
      <c r="I11" s="8">
        <v>2141.7379020599406</v>
      </c>
      <c r="M11" s="12">
        <f t="shared" si="1"/>
        <v>10.495709566759599</v>
      </c>
      <c r="N11" s="12">
        <f t="shared" si="0"/>
        <v>7.5773771679261106</v>
      </c>
      <c r="O11" s="12">
        <f t="shared" si="0"/>
        <v>4.2943424919356676</v>
      </c>
      <c r="P11" s="12">
        <f t="shared" si="0"/>
        <v>1.3588089809369299</v>
      </c>
      <c r="Q11" s="12">
        <f t="shared" si="0"/>
        <v>5.612899702020794</v>
      </c>
      <c r="R11" s="12">
        <f t="shared" si="0"/>
        <v>30.301635306320396</v>
      </c>
      <c r="S11" s="12">
        <f t="shared" si="0"/>
        <v>0</v>
      </c>
    </row>
    <row r="12" spans="1:19" x14ac:dyDescent="0.3">
      <c r="A12" s="16">
        <f t="shared" si="2"/>
        <v>11</v>
      </c>
      <c r="B12" s="16" t="s">
        <v>21</v>
      </c>
      <c r="C12" s="8">
        <v>2368.3720126848475</v>
      </c>
      <c r="D12" s="8">
        <v>2306.8529815909355</v>
      </c>
      <c r="E12" s="8">
        <v>2048.9888620093748</v>
      </c>
      <c r="F12" s="8">
        <v>2172.6835497647467</v>
      </c>
      <c r="G12" s="8">
        <v>2020.6648224806372</v>
      </c>
      <c r="H12" s="8">
        <v>2792.7730311028668</v>
      </c>
      <c r="I12" s="8">
        <v>2143.581422803426</v>
      </c>
      <c r="M12" s="12">
        <f t="shared" si="1"/>
        <v>10.486683057153719</v>
      </c>
      <c r="N12" s="12">
        <f t="shared" si="0"/>
        <v>7.6167649640282473</v>
      </c>
      <c r="O12" s="12">
        <f t="shared" si="0"/>
        <v>4.4128279797433985</v>
      </c>
      <c r="P12" s="12">
        <f t="shared" si="0"/>
        <v>1.3576403794011342</v>
      </c>
      <c r="Q12" s="12">
        <f t="shared" si="0"/>
        <v>5.7341698810785351</v>
      </c>
      <c r="R12" s="12">
        <f t="shared" si="0"/>
        <v>30.285372013086992</v>
      </c>
      <c r="S12" s="12">
        <f t="shared" si="0"/>
        <v>0</v>
      </c>
    </row>
    <row r="13" spans="1:19" x14ac:dyDescent="0.3">
      <c r="A13" s="16">
        <f t="shared" si="2"/>
        <v>12</v>
      </c>
      <c r="B13" s="16" t="s">
        <v>22</v>
      </c>
      <c r="C13" s="8">
        <v>2361.9617238621004</v>
      </c>
      <c r="D13" s="8">
        <v>2300.3076927681882</v>
      </c>
      <c r="E13" s="8">
        <v>2043.8385731866272</v>
      </c>
      <c r="F13" s="8">
        <v>2166.2732609419991</v>
      </c>
      <c r="G13" s="8">
        <v>2014.4495336578898</v>
      </c>
      <c r="H13" s="8">
        <v>2787.4787422801191</v>
      </c>
      <c r="I13" s="8">
        <v>2137.1711339806784</v>
      </c>
      <c r="M13" s="12">
        <f t="shared" si="1"/>
        <v>10.518137097553286</v>
      </c>
      <c r="N13" s="12">
        <f t="shared" si="0"/>
        <v>7.6332941332429893</v>
      </c>
      <c r="O13" s="12">
        <f t="shared" si="0"/>
        <v>4.3671074959828191</v>
      </c>
      <c r="P13" s="12">
        <f t="shared" si="0"/>
        <v>1.3617125226240197</v>
      </c>
      <c r="Q13" s="12">
        <f t="shared" si="0"/>
        <v>5.7422448942686364</v>
      </c>
      <c r="R13" s="12">
        <f t="shared" si="0"/>
        <v>30.428429336315375</v>
      </c>
      <c r="S13" s="12">
        <f t="shared" si="0"/>
        <v>0</v>
      </c>
    </row>
    <row r="14" spans="1:19" x14ac:dyDescent="0.3">
      <c r="A14" s="16">
        <f t="shared" si="2"/>
        <v>13</v>
      </c>
      <c r="B14" s="16" t="s">
        <v>23</v>
      </c>
      <c r="C14" s="8">
        <v>2261.102998750343</v>
      </c>
      <c r="D14" s="8">
        <v>2263.2838071462425</v>
      </c>
      <c r="E14" s="8">
        <v>2141.9234222132754</v>
      </c>
      <c r="F14" s="8">
        <v>2042.637531678266</v>
      </c>
      <c r="G14" s="8">
        <v>1956.09803340141</v>
      </c>
      <c r="H14" s="8">
        <v>2648.6595402500998</v>
      </c>
      <c r="I14" s="8">
        <v>2092.6177486363831</v>
      </c>
      <c r="M14" s="12">
        <f t="shared" si="1"/>
        <v>8.0514107377589745</v>
      </c>
      <c r="N14" s="12">
        <f t="shared" si="0"/>
        <v>8.1556251074077348</v>
      </c>
      <c r="O14" s="12">
        <f t="shared" si="0"/>
        <v>2.356172005566783</v>
      </c>
      <c r="P14" s="12">
        <f t="shared" si="0"/>
        <v>2.3884064345094007</v>
      </c>
      <c r="Q14" s="12">
        <f t="shared" si="0"/>
        <v>6.5238725669766362</v>
      </c>
      <c r="R14" s="12">
        <f t="shared" si="0"/>
        <v>26.571589196165966</v>
      </c>
      <c r="S14" s="12">
        <f t="shared" si="0"/>
        <v>0</v>
      </c>
    </row>
    <row r="15" spans="1:19" x14ac:dyDescent="0.3">
      <c r="A15" s="16">
        <f t="shared" si="2"/>
        <v>14</v>
      </c>
      <c r="B15" s="16" t="s">
        <v>24</v>
      </c>
      <c r="C15" s="8">
        <v>2252.1538328024599</v>
      </c>
      <c r="D15" s="8">
        <v>2254.7396411983591</v>
      </c>
      <c r="E15" s="8">
        <v>2134.4382562653923</v>
      </c>
      <c r="F15" s="8">
        <v>2033.6883657303827</v>
      </c>
      <c r="G15" s="8">
        <v>1949.5038674535265</v>
      </c>
      <c r="H15" s="8">
        <v>2641.3753743022166</v>
      </c>
      <c r="I15" s="8">
        <v>2083.6685826884996</v>
      </c>
      <c r="M15" s="12">
        <f t="shared" si="1"/>
        <v>8.0859908103316744</v>
      </c>
      <c r="N15" s="12">
        <f t="shared" si="0"/>
        <v>8.2100896433890327</v>
      </c>
      <c r="O15" s="12">
        <f t="shared" si="0"/>
        <v>2.4365522424581569</v>
      </c>
      <c r="P15" s="12">
        <f t="shared" si="0"/>
        <v>2.3986644216533137</v>
      </c>
      <c r="Q15" s="12">
        <f t="shared" si="0"/>
        <v>6.4388701902806478</v>
      </c>
      <c r="R15" s="12">
        <f t="shared" si="0"/>
        <v>26.765618882352371</v>
      </c>
      <c r="S15" s="12">
        <f t="shared" si="0"/>
        <v>0</v>
      </c>
    </row>
    <row r="16" spans="1:19" x14ac:dyDescent="0.3">
      <c r="A16" s="16">
        <f t="shared" si="2"/>
        <v>15</v>
      </c>
      <c r="B16" s="16" t="s">
        <v>25</v>
      </c>
      <c r="C16" s="8">
        <v>2251.0099556773239</v>
      </c>
      <c r="D16" s="8">
        <v>2252.686764073223</v>
      </c>
      <c r="E16" s="8">
        <v>2130.924379140256</v>
      </c>
      <c r="F16" s="8">
        <v>2032.5444886052469</v>
      </c>
      <c r="G16" s="8">
        <v>1945.7409903283906</v>
      </c>
      <c r="H16" s="8">
        <v>2638.6084971770806</v>
      </c>
      <c r="I16" s="8">
        <v>2082.5247055633636</v>
      </c>
      <c r="M16" s="12">
        <f t="shared" si="1"/>
        <v>8.0904322365953281</v>
      </c>
      <c r="N16" s="12">
        <f t="shared" si="0"/>
        <v>8.1709502919835604</v>
      </c>
      <c r="O16" s="12">
        <f t="shared" si="0"/>
        <v>2.3240864056784059</v>
      </c>
      <c r="P16" s="12">
        <f t="shared" si="0"/>
        <v>2.3999819461731691</v>
      </c>
      <c r="Q16" s="12">
        <f t="shared" si="0"/>
        <v>6.5681677086260697</v>
      </c>
      <c r="R16" s="12">
        <f t="shared" si="0"/>
        <v>26.702386297178908</v>
      </c>
      <c r="S16" s="12">
        <f t="shared" si="0"/>
        <v>0</v>
      </c>
    </row>
    <row r="17" spans="1:19" x14ac:dyDescent="0.3">
      <c r="A17" s="16">
        <f t="shared" si="2"/>
        <v>16</v>
      </c>
      <c r="B17" s="16" t="s">
        <v>26</v>
      </c>
      <c r="C17" s="8">
        <v>2245.1788173874211</v>
      </c>
      <c r="D17" s="8">
        <v>2245.3706257833201</v>
      </c>
      <c r="E17" s="8">
        <v>2124.5802408503532</v>
      </c>
      <c r="F17" s="8">
        <v>2026.7133503153441</v>
      </c>
      <c r="G17" s="8">
        <v>1938.5118520384879</v>
      </c>
      <c r="H17" s="8">
        <v>2632.684358887178</v>
      </c>
      <c r="I17" s="8">
        <v>2076.6935672734608</v>
      </c>
      <c r="M17" s="12">
        <f t="shared" si="1"/>
        <v>8.1131493239596502</v>
      </c>
      <c r="N17" s="12">
        <f t="shared" si="0"/>
        <v>8.1223855636688533</v>
      </c>
      <c r="O17" s="12">
        <f t="shared" si="0"/>
        <v>2.3059094674118912</v>
      </c>
      <c r="P17" s="12">
        <f t="shared" si="0"/>
        <v>2.4067208444111885</v>
      </c>
      <c r="Q17" s="12">
        <f t="shared" si="0"/>
        <v>6.6539289865666067</v>
      </c>
      <c r="R17" s="12">
        <f t="shared" si="0"/>
        <v>26.772885531864503</v>
      </c>
      <c r="S17" s="12">
        <f t="shared" si="0"/>
        <v>0</v>
      </c>
    </row>
    <row r="18" spans="1:19" x14ac:dyDescent="0.3">
      <c r="A18" s="16">
        <f t="shared" si="2"/>
        <v>17</v>
      </c>
      <c r="B18" s="16" t="s">
        <v>27</v>
      </c>
      <c r="C18" s="8">
        <v>2241.5726929265084</v>
      </c>
      <c r="D18" s="8">
        <v>2242.0375013224075</v>
      </c>
      <c r="E18" s="8">
        <v>2119.9031163894406</v>
      </c>
      <c r="F18" s="8">
        <v>2023.1072258544314</v>
      </c>
      <c r="G18" s="8">
        <v>1935.8567275775752</v>
      </c>
      <c r="H18" s="8">
        <v>2628.5232344262654</v>
      </c>
      <c r="I18" s="8">
        <v>2073.087442812548</v>
      </c>
      <c r="M18" s="12">
        <f t="shared" si="1"/>
        <v>8.127262103588702</v>
      </c>
      <c r="N18" s="12">
        <f t="shared" si="1"/>
        <v>8.1496831740317557</v>
      </c>
      <c r="O18" s="12">
        <f t="shared" si="1"/>
        <v>2.2582585090273835</v>
      </c>
      <c r="P18" s="12">
        <f t="shared" si="1"/>
        <v>2.4109073223804174</v>
      </c>
      <c r="Q18" s="12">
        <f t="shared" si="1"/>
        <v>6.6196298526024835</v>
      </c>
      <c r="R18" s="12">
        <f t="shared" si="1"/>
        <v>26.792685158526659</v>
      </c>
      <c r="S18" s="12">
        <f t="shared" si="1"/>
        <v>0</v>
      </c>
    </row>
    <row r="19" spans="1:19" x14ac:dyDescent="0.3">
      <c r="A19" s="16">
        <f t="shared" si="2"/>
        <v>18</v>
      </c>
      <c r="B19" s="16" t="s">
        <v>28</v>
      </c>
      <c r="C19" s="8">
        <v>2245.3488987753144</v>
      </c>
      <c r="D19" s="8">
        <v>2246.5187071712135</v>
      </c>
      <c r="E19" s="8">
        <v>2122.9743222382467</v>
      </c>
      <c r="F19" s="8">
        <v>2026.8834317032372</v>
      </c>
      <c r="G19" s="8">
        <v>1939.833933426381</v>
      </c>
      <c r="H19" s="8">
        <v>2632.2874402750713</v>
      </c>
      <c r="I19" s="8">
        <v>2076.8636486613541</v>
      </c>
      <c r="M19" s="12">
        <f t="shared" si="1"/>
        <v>8.1124849107238113</v>
      </c>
      <c r="N19" s="12">
        <f t="shared" si="1"/>
        <v>8.1688106303565391</v>
      </c>
      <c r="O19" s="12">
        <f t="shared" si="1"/>
        <v>2.2202070707248085</v>
      </c>
      <c r="P19" s="12">
        <f t="shared" si="1"/>
        <v>2.4065237499020089</v>
      </c>
      <c r="Q19" s="12">
        <f t="shared" si="1"/>
        <v>6.5979158200056034</v>
      </c>
      <c r="R19" s="12">
        <f t="shared" si="1"/>
        <v>26.743392228551766</v>
      </c>
      <c r="S19" s="12">
        <f t="shared" si="1"/>
        <v>0</v>
      </c>
    </row>
    <row r="20" spans="1:19" x14ac:dyDescent="0.3">
      <c r="A20" s="16">
        <f t="shared" si="2"/>
        <v>19</v>
      </c>
      <c r="B20" s="16" t="s">
        <v>29</v>
      </c>
      <c r="C20" s="8">
        <v>2246.8500769661396</v>
      </c>
      <c r="D20" s="8">
        <v>2249.1388853620388</v>
      </c>
      <c r="E20" s="8">
        <v>2126.3055004290718</v>
      </c>
      <c r="F20" s="8">
        <v>2028.3846098940626</v>
      </c>
      <c r="G20" s="8">
        <v>1941.3801116172062</v>
      </c>
      <c r="H20" s="8">
        <v>2633.5636184658965</v>
      </c>
      <c r="I20" s="8">
        <v>2078.3648268521792</v>
      </c>
      <c r="M20" s="12">
        <f t="shared" si="1"/>
        <v>8.106625359376503</v>
      </c>
      <c r="N20" s="12">
        <f t="shared" si="1"/>
        <v>8.2167507986799464</v>
      </c>
      <c r="O20" s="12">
        <f t="shared" si="1"/>
        <v>2.3066534305000661</v>
      </c>
      <c r="P20" s="12">
        <f t="shared" si="1"/>
        <v>2.4047855464247347</v>
      </c>
      <c r="Q20" s="12">
        <f t="shared" si="1"/>
        <v>6.5909850602334048</v>
      </c>
      <c r="R20" s="12">
        <f t="shared" si="1"/>
        <v>26.713249976165276</v>
      </c>
      <c r="S20" s="12">
        <f t="shared" si="1"/>
        <v>0</v>
      </c>
    </row>
    <row r="21" spans="1:19" x14ac:dyDescent="0.3">
      <c r="A21" s="16">
        <f t="shared" si="2"/>
        <v>20</v>
      </c>
      <c r="B21" s="16" t="s">
        <v>30</v>
      </c>
      <c r="C21" s="8">
        <v>2255.6986546116345</v>
      </c>
      <c r="D21" s="8">
        <v>2257.5434630075338</v>
      </c>
      <c r="E21" s="8">
        <v>2134.4010780745666</v>
      </c>
      <c r="F21" s="8">
        <v>2037.2331875395575</v>
      </c>
      <c r="G21" s="8">
        <v>1949.2596892627012</v>
      </c>
      <c r="H21" s="8">
        <v>2642.3821961113913</v>
      </c>
      <c r="I21" s="8">
        <v>2087.2134044976742</v>
      </c>
      <c r="M21" s="12">
        <f t="shared" si="1"/>
        <v>8.0722579565125656</v>
      </c>
      <c r="N21" s="12">
        <f t="shared" si="1"/>
        <v>8.1606441460571482</v>
      </c>
      <c r="O21" s="12">
        <f t="shared" si="1"/>
        <v>2.2607977447446954</v>
      </c>
      <c r="P21" s="12">
        <f t="shared" si="1"/>
        <v>2.3945906465728797</v>
      </c>
      <c r="Q21" s="12">
        <f t="shared" si="1"/>
        <v>6.6094686311280242</v>
      </c>
      <c r="R21" s="12">
        <f t="shared" si="1"/>
        <v>26.598563923430174</v>
      </c>
      <c r="S21" s="12">
        <f t="shared" si="1"/>
        <v>0</v>
      </c>
    </row>
    <row r="22" spans="1:19" x14ac:dyDescent="0.3">
      <c r="A22" s="16">
        <f t="shared" si="2"/>
        <v>21</v>
      </c>
      <c r="B22" s="16" t="s">
        <v>31</v>
      </c>
      <c r="C22" s="8">
        <v>2265.9477391716246</v>
      </c>
      <c r="D22" s="8">
        <v>2268.284547567524</v>
      </c>
      <c r="E22" s="8">
        <v>2144.5511626345569</v>
      </c>
      <c r="F22" s="8">
        <v>2047.4822720995476</v>
      </c>
      <c r="G22" s="8">
        <v>1958.5937738226914</v>
      </c>
      <c r="H22" s="8">
        <v>2652.5532806713813</v>
      </c>
      <c r="I22" s="8">
        <v>2097.4624890576642</v>
      </c>
      <c r="M22" s="12">
        <f t="shared" si="1"/>
        <v>8.0328135064601991</v>
      </c>
      <c r="N22" s="12">
        <f t="shared" si="1"/>
        <v>8.1442247192037112</v>
      </c>
      <c r="O22" s="12">
        <f t="shared" si="1"/>
        <v>2.2450305463173463</v>
      </c>
      <c r="P22" s="12">
        <f t="shared" si="1"/>
        <v>2.3828896687716923</v>
      </c>
      <c r="Q22" s="12">
        <f t="shared" si="1"/>
        <v>6.6207961267218147</v>
      </c>
      <c r="R22" s="12">
        <f t="shared" si="1"/>
        <v>26.464873365296992</v>
      </c>
      <c r="S22" s="12">
        <f t="shared" si="1"/>
        <v>0</v>
      </c>
    </row>
    <row r="23" spans="1:19" x14ac:dyDescent="0.3">
      <c r="A23" s="16">
        <f t="shared" si="2"/>
        <v>22</v>
      </c>
      <c r="B23" s="16" t="s">
        <v>32</v>
      </c>
      <c r="C23" s="8">
        <v>2269.5962891591389</v>
      </c>
      <c r="D23" s="8">
        <v>2272.0530975550382</v>
      </c>
      <c r="E23" s="8">
        <v>2149.5497126220716</v>
      </c>
      <c r="F23" s="8">
        <v>2051.1308220870619</v>
      </c>
      <c r="G23" s="8">
        <v>1963.5383238102058</v>
      </c>
      <c r="H23" s="8">
        <v>2657.4708306588959</v>
      </c>
      <c r="I23" s="8">
        <v>2101.1110390451786</v>
      </c>
      <c r="M23" s="12">
        <f t="shared" si="1"/>
        <v>8.0188646379453683</v>
      </c>
      <c r="N23" s="12">
        <f t="shared" si="1"/>
        <v>8.1357936507506974</v>
      </c>
      <c r="O23" s="12">
        <f t="shared" si="1"/>
        <v>2.3053838029857459</v>
      </c>
      <c r="P23" s="12">
        <f t="shared" si="1"/>
        <v>2.3787518141273245</v>
      </c>
      <c r="Q23" s="12">
        <f t="shared" si="1"/>
        <v>6.5476175546386548</v>
      </c>
      <c r="R23" s="12">
        <f t="shared" si="1"/>
        <v>26.479314099770164</v>
      </c>
      <c r="S23" s="12">
        <f t="shared" si="1"/>
        <v>0</v>
      </c>
    </row>
    <row r="24" spans="1:19" x14ac:dyDescent="0.3">
      <c r="A24" s="16">
        <f t="shared" si="2"/>
        <v>23</v>
      </c>
      <c r="B24" s="16" t="s">
        <v>33</v>
      </c>
      <c r="C24" s="8">
        <v>2270.699110968314</v>
      </c>
      <c r="D24" s="8">
        <v>2272.3849193642131</v>
      </c>
      <c r="E24" s="8">
        <v>2150.7665344312463</v>
      </c>
      <c r="F24" s="8">
        <v>2052.233643896237</v>
      </c>
      <c r="G24" s="8">
        <v>1964.8121456193808</v>
      </c>
      <c r="H24" s="8">
        <v>2658.3036524680706</v>
      </c>
      <c r="I24" s="8">
        <v>2102.2138608543537</v>
      </c>
      <c r="M24" s="12">
        <f t="shared" si="1"/>
        <v>8.0146579399627207</v>
      </c>
      <c r="N24" s="12">
        <f t="shared" si="1"/>
        <v>8.0948499902241533</v>
      </c>
      <c r="O24" s="12">
        <f t="shared" si="1"/>
        <v>2.3095972527343389</v>
      </c>
      <c r="P24" s="12">
        <f t="shared" si="1"/>
        <v>2.3775039204529067</v>
      </c>
      <c r="Q24" s="12">
        <f t="shared" si="1"/>
        <v>6.5360483913435878</v>
      </c>
      <c r="R24" s="12">
        <f t="shared" si="1"/>
        <v>26.452579443450077</v>
      </c>
      <c r="S24" s="12">
        <f t="shared" si="1"/>
        <v>0</v>
      </c>
    </row>
    <row r="25" spans="1:19" x14ac:dyDescent="0.3">
      <c r="A25" s="16">
        <f t="shared" si="2"/>
        <v>24</v>
      </c>
      <c r="B25" s="16" t="s">
        <v>34</v>
      </c>
      <c r="C25" s="8">
        <v>2279.2473460611486</v>
      </c>
      <c r="D25" s="8">
        <v>2281.9921544570479</v>
      </c>
      <c r="E25" s="8">
        <v>2159.482769524081</v>
      </c>
      <c r="F25" s="8">
        <v>2060.7818789890716</v>
      </c>
      <c r="G25" s="8">
        <v>1971.9383807122156</v>
      </c>
      <c r="H25" s="8">
        <v>2667.5958875609058</v>
      </c>
      <c r="I25" s="8">
        <v>2110.7620959471883</v>
      </c>
      <c r="M25" s="12">
        <f t="shared" si="1"/>
        <v>7.982199909571233</v>
      </c>
      <c r="N25" s="12">
        <f t="shared" si="1"/>
        <v>8.1122386477677146</v>
      </c>
      <c r="O25" s="12">
        <f t="shared" si="1"/>
        <v>2.3082029789354221</v>
      </c>
      <c r="P25" s="12">
        <f t="shared" si="1"/>
        <v>2.3678754253775072</v>
      </c>
      <c r="Q25" s="12">
        <f t="shared" si="1"/>
        <v>6.5769475158533517</v>
      </c>
      <c r="R25" s="12">
        <f t="shared" si="1"/>
        <v>26.380698833036536</v>
      </c>
      <c r="S25" s="12">
        <f t="shared" si="1"/>
        <v>0</v>
      </c>
    </row>
    <row r="26" spans="1:19" x14ac:dyDescent="0.3">
      <c r="A26" s="16">
        <f t="shared" si="2"/>
        <v>25</v>
      </c>
      <c r="B26" s="16" t="s">
        <v>35</v>
      </c>
      <c r="C26" s="8">
        <v>2217.4045002108342</v>
      </c>
      <c r="D26" s="8">
        <v>2080.5171967516408</v>
      </c>
      <c r="E26" s="8">
        <v>2064.3815683506177</v>
      </c>
      <c r="F26" s="8">
        <v>2108.7993925327978</v>
      </c>
      <c r="G26" s="8">
        <v>2024.7064957789291</v>
      </c>
      <c r="H26" s="8">
        <v>2428.2003829268947</v>
      </c>
      <c r="I26" s="8">
        <v>2028.0098546529555</v>
      </c>
      <c r="M26" s="12">
        <f t="shared" si="1"/>
        <v>9.3389410866688802</v>
      </c>
      <c r="N26" s="12">
        <f t="shared" si="1"/>
        <v>2.5891068516366076</v>
      </c>
      <c r="O26" s="12">
        <f t="shared" si="1"/>
        <v>1.7934682917941924</v>
      </c>
      <c r="P26" s="12">
        <f t="shared" si="1"/>
        <v>3.9836856657517323</v>
      </c>
      <c r="Q26" s="12">
        <f t="shared" si="1"/>
        <v>0.16288672692823938</v>
      </c>
      <c r="R26" s="12">
        <f t="shared" si="1"/>
        <v>19.733164873719119</v>
      </c>
      <c r="S26" s="12">
        <f t="shared" si="1"/>
        <v>0</v>
      </c>
    </row>
    <row r="27" spans="1:19" x14ac:dyDescent="0.3">
      <c r="A27" s="16">
        <f t="shared" si="2"/>
        <v>26</v>
      </c>
      <c r="B27" s="16" t="s">
        <v>36</v>
      </c>
      <c r="C27" s="8">
        <v>2208.4287443745138</v>
      </c>
      <c r="D27" s="8">
        <v>2069.6274409153207</v>
      </c>
      <c r="E27" s="8">
        <v>2055.3908125142975</v>
      </c>
      <c r="F27" s="8">
        <v>2099.8236366964775</v>
      </c>
      <c r="G27" s="8">
        <v>2007.4867399426089</v>
      </c>
      <c r="H27" s="8">
        <v>2419.1316270905745</v>
      </c>
      <c r="I27" s="8">
        <v>2019.0340988166352</v>
      </c>
      <c r="M27" s="12">
        <f t="shared" si="1"/>
        <v>9.3804579956764336</v>
      </c>
      <c r="N27" s="12">
        <f t="shared" si="1"/>
        <v>2.5058191007441879</v>
      </c>
      <c r="O27" s="12">
        <f t="shared" si="1"/>
        <v>1.8006983497193634</v>
      </c>
      <c r="P27" s="12">
        <f t="shared" si="1"/>
        <v>4.0013954161147369</v>
      </c>
      <c r="Q27" s="12">
        <f t="shared" si="1"/>
        <v>0.57192490611199764</v>
      </c>
      <c r="R27" s="12">
        <f t="shared" si="1"/>
        <v>19.816283861101621</v>
      </c>
      <c r="S27" s="12">
        <f t="shared" si="1"/>
        <v>0</v>
      </c>
    </row>
    <row r="28" spans="1:19" x14ac:dyDescent="0.3">
      <c r="A28" s="16">
        <f t="shared" si="2"/>
        <v>27</v>
      </c>
      <c r="B28" s="16" t="s">
        <v>37</v>
      </c>
      <c r="C28" s="8">
        <v>2207.7602374600187</v>
      </c>
      <c r="D28" s="8">
        <v>2069.7839340008254</v>
      </c>
      <c r="E28" s="8">
        <v>2056.3333055998023</v>
      </c>
      <c r="F28" s="8">
        <v>2099.1551297819824</v>
      </c>
      <c r="G28" s="8">
        <v>2012.3592330281137</v>
      </c>
      <c r="H28" s="8">
        <v>2418.8201201760794</v>
      </c>
      <c r="I28" s="8">
        <v>2018.3655919021401</v>
      </c>
      <c r="M28" s="12">
        <f t="shared" si="1"/>
        <v>9.3835649159768977</v>
      </c>
      <c r="N28" s="12">
        <f t="shared" si="1"/>
        <v>2.5475237144836518</v>
      </c>
      <c r="O28" s="12">
        <f t="shared" si="1"/>
        <v>1.8811118188891074</v>
      </c>
      <c r="P28" s="12">
        <f t="shared" si="1"/>
        <v>4.0027207263132629</v>
      </c>
      <c r="Q28" s="12">
        <f t="shared" si="1"/>
        <v>0.29758527880797997</v>
      </c>
      <c r="R28" s="12">
        <f t="shared" si="1"/>
        <v>19.840534830785764</v>
      </c>
      <c r="S28" s="12">
        <f t="shared" si="1"/>
        <v>0</v>
      </c>
    </row>
    <row r="29" spans="1:19" x14ac:dyDescent="0.3">
      <c r="A29" s="16">
        <f t="shared" si="2"/>
        <v>28</v>
      </c>
      <c r="B29" s="16" t="s">
        <v>38</v>
      </c>
      <c r="C29" s="8">
        <v>2216.8274725528536</v>
      </c>
      <c r="D29" s="8">
        <v>2080.7831690936605</v>
      </c>
      <c r="E29" s="8">
        <v>2066.0545406926371</v>
      </c>
      <c r="F29" s="8">
        <v>2108.2223648748172</v>
      </c>
      <c r="G29" s="8">
        <v>2025.3564681209486</v>
      </c>
      <c r="H29" s="8">
        <v>2427.437355268914</v>
      </c>
      <c r="I29" s="8">
        <v>2027.4328269949749</v>
      </c>
      <c r="M29" s="12">
        <f t="shared" si="1"/>
        <v>9.3415990426965738</v>
      </c>
      <c r="N29" s="12">
        <f t="shared" si="1"/>
        <v>2.6314234133103449</v>
      </c>
      <c r="O29" s="12">
        <f t="shared" si="1"/>
        <v>1.9049565136471953</v>
      </c>
      <c r="P29" s="12">
        <f t="shared" si="1"/>
        <v>3.9848194625312026</v>
      </c>
      <c r="Q29" s="12">
        <f t="shared" si="1"/>
        <v>0.10241320187676932</v>
      </c>
      <c r="R29" s="12">
        <f t="shared" si="1"/>
        <v>19.729606966402862</v>
      </c>
      <c r="S29" s="12">
        <f t="shared" si="1"/>
        <v>0</v>
      </c>
    </row>
    <row r="30" spans="1:19" x14ac:dyDescent="0.3">
      <c r="A30" s="16">
        <f t="shared" si="2"/>
        <v>29</v>
      </c>
      <c r="B30" s="16" t="s">
        <v>39</v>
      </c>
      <c r="C30" s="8">
        <v>2229.0195448699019</v>
      </c>
      <c r="D30" s="8">
        <v>2090.7072414107088</v>
      </c>
      <c r="E30" s="8">
        <v>2078.6066130096851</v>
      </c>
      <c r="F30" s="8">
        <v>2120.4144371918655</v>
      </c>
      <c r="G30" s="8">
        <v>2038.2835404379969</v>
      </c>
      <c r="H30" s="8">
        <v>2440.4034275859622</v>
      </c>
      <c r="I30" s="8">
        <v>2039.6248993120232</v>
      </c>
      <c r="M30" s="12">
        <f t="shared" si="1"/>
        <v>9.2857586520816913</v>
      </c>
      <c r="N30" s="12">
        <f t="shared" si="1"/>
        <v>2.5044968864576971</v>
      </c>
      <c r="O30" s="12">
        <f t="shared" si="1"/>
        <v>1.9112197400027164</v>
      </c>
      <c r="P30" s="12">
        <f t="shared" si="1"/>
        <v>3.9609997851611385</v>
      </c>
      <c r="Q30" s="12">
        <f t="shared" si="1"/>
        <v>6.5764978378073477E-2</v>
      </c>
      <c r="R30" s="12">
        <f t="shared" si="1"/>
        <v>19.649619320156553</v>
      </c>
      <c r="S30" s="12">
        <f t="shared" si="1"/>
        <v>0</v>
      </c>
    </row>
    <row r="31" spans="1:19" x14ac:dyDescent="0.3">
      <c r="A31" s="16">
        <f t="shared" si="2"/>
        <v>30</v>
      </c>
      <c r="B31" s="16" t="s">
        <v>40</v>
      </c>
      <c r="C31" s="8">
        <v>2244.9666985748436</v>
      </c>
      <c r="D31" s="8">
        <v>2105.9043951156505</v>
      </c>
      <c r="E31" s="8">
        <v>2092.795766714627</v>
      </c>
      <c r="F31" s="8">
        <v>2136.3615908968072</v>
      </c>
      <c r="G31" s="8">
        <v>2052.8296941429385</v>
      </c>
      <c r="H31" s="8">
        <v>2456.2275812909038</v>
      </c>
      <c r="I31" s="8">
        <v>2055.5720530169647</v>
      </c>
      <c r="M31" s="12">
        <f t="shared" si="1"/>
        <v>9.2137196202830367</v>
      </c>
      <c r="N31" s="12">
        <f t="shared" si="1"/>
        <v>2.448580774622469</v>
      </c>
      <c r="O31" s="12">
        <f t="shared" si="1"/>
        <v>1.8108688354187858</v>
      </c>
      <c r="P31" s="12">
        <f t="shared" si="1"/>
        <v>3.9302702992710805</v>
      </c>
      <c r="Q31" s="12">
        <f t="shared" si="1"/>
        <v>0.13341098260220227</v>
      </c>
      <c r="R31" s="12">
        <f t="shared" si="1"/>
        <v>19.491193591871262</v>
      </c>
      <c r="S31" s="12">
        <f t="shared" si="1"/>
        <v>0</v>
      </c>
    </row>
    <row r="32" spans="1:19" x14ac:dyDescent="0.3">
      <c r="A32" s="16">
        <f t="shared" si="2"/>
        <v>31</v>
      </c>
      <c r="B32" s="16" t="s">
        <v>41</v>
      </c>
      <c r="C32" s="8">
        <v>2262.5483746093187</v>
      </c>
      <c r="D32" s="8">
        <v>2122.7630711501261</v>
      </c>
      <c r="E32" s="8">
        <v>2113.5814427491023</v>
      </c>
      <c r="F32" s="8">
        <v>2153.9432669312828</v>
      </c>
      <c r="G32" s="8">
        <v>2070.9813701774142</v>
      </c>
      <c r="H32" s="8">
        <v>2473.4822573253796</v>
      </c>
      <c r="I32" s="8">
        <v>2073.1537290514402</v>
      </c>
      <c r="M32" s="12">
        <f t="shared" si="1"/>
        <v>9.1355813562622252</v>
      </c>
      <c r="N32" s="12">
        <f t="shared" si="1"/>
        <v>2.3929408322934309</v>
      </c>
      <c r="O32" s="12">
        <f t="shared" si="1"/>
        <v>1.9500586536898801</v>
      </c>
      <c r="P32" s="12">
        <f t="shared" si="1"/>
        <v>3.8969390811557112</v>
      </c>
      <c r="Q32" s="12">
        <f t="shared" si="1"/>
        <v>0.10478522859083787</v>
      </c>
      <c r="R32" s="12">
        <f t="shared" si="1"/>
        <v>19.310122672721786</v>
      </c>
      <c r="S32" s="12">
        <f t="shared" si="1"/>
        <v>0</v>
      </c>
    </row>
    <row r="33" spans="1:19" x14ac:dyDescent="0.3">
      <c r="A33" s="16">
        <f t="shared" si="2"/>
        <v>32</v>
      </c>
      <c r="B33" s="16" t="s">
        <v>42</v>
      </c>
      <c r="C33" s="8">
        <v>2283.3963809535126</v>
      </c>
      <c r="D33" s="8">
        <v>2142.8820774943197</v>
      </c>
      <c r="E33" s="8">
        <v>2136.9554490932965</v>
      </c>
      <c r="F33" s="8">
        <v>2174.7912732754767</v>
      </c>
      <c r="G33" s="8">
        <v>2095.4863765216078</v>
      </c>
      <c r="H33" s="8">
        <v>2495.0982636695735</v>
      </c>
      <c r="I33" s="8">
        <v>2094.0017353956341</v>
      </c>
      <c r="M33" s="12">
        <f t="shared" si="1"/>
        <v>9.0446269626464666</v>
      </c>
      <c r="N33" s="12">
        <f t="shared" si="1"/>
        <v>2.3343028457161359</v>
      </c>
      <c r="O33" s="12">
        <f t="shared" si="1"/>
        <v>2.0512740257852178</v>
      </c>
      <c r="P33" s="12">
        <f t="shared" si="1"/>
        <v>3.8581409229146808</v>
      </c>
      <c r="Q33" s="12">
        <f t="shared" si="1"/>
        <v>7.0899708480574086E-2</v>
      </c>
      <c r="R33" s="12">
        <f t="shared" si="1"/>
        <v>19.154546125443275</v>
      </c>
      <c r="S33" s="12">
        <f t="shared" si="1"/>
        <v>0</v>
      </c>
    </row>
    <row r="34" spans="1:19" x14ac:dyDescent="0.3">
      <c r="A34" s="16">
        <f t="shared" si="2"/>
        <v>33</v>
      </c>
      <c r="B34" s="16" t="s">
        <v>43</v>
      </c>
      <c r="C34" s="8">
        <v>2348.8035888338127</v>
      </c>
      <c r="D34" s="8">
        <v>2212.00028537462</v>
      </c>
      <c r="E34" s="8">
        <v>2202.5306569735967</v>
      </c>
      <c r="F34" s="8">
        <v>2240.1984811557768</v>
      </c>
      <c r="G34" s="8">
        <v>2162.3305844019078</v>
      </c>
      <c r="H34" s="8">
        <v>2561.7654715498734</v>
      </c>
      <c r="I34" s="8">
        <v>2159.4089432759342</v>
      </c>
      <c r="M34" s="12">
        <f t="shared" si="1"/>
        <v>8.7706706109384296</v>
      </c>
      <c r="N34" s="12">
        <f t="shared" si="1"/>
        <v>2.4354507867741826</v>
      </c>
      <c r="O34" s="12">
        <f t="shared" si="1"/>
        <v>1.9969220666579541</v>
      </c>
      <c r="P34" s="12">
        <f t="shared" si="1"/>
        <v>3.7412801373917013</v>
      </c>
      <c r="Q34" s="12">
        <f t="shared" si="1"/>
        <v>0.13529818587957154</v>
      </c>
      <c r="R34" s="12">
        <f t="shared" si="1"/>
        <v>18.632715657069738</v>
      </c>
      <c r="S34" s="12">
        <f t="shared" si="1"/>
        <v>0</v>
      </c>
    </row>
    <row r="35" spans="1:19" x14ac:dyDescent="0.3">
      <c r="A35" s="16">
        <f t="shared" si="2"/>
        <v>34</v>
      </c>
      <c r="B35" s="16" t="s">
        <v>44</v>
      </c>
      <c r="C35" s="8">
        <v>2409.4986477673165</v>
      </c>
      <c r="D35" s="8">
        <v>2280.5073443081237</v>
      </c>
      <c r="E35" s="8">
        <v>2277.5387159071006</v>
      </c>
      <c r="F35" s="8">
        <v>2300.8935400892806</v>
      </c>
      <c r="G35" s="8">
        <v>2232.6466433354117</v>
      </c>
      <c r="H35" s="8">
        <v>2627.3265304833776</v>
      </c>
      <c r="I35" s="8">
        <v>2220.104002209438</v>
      </c>
      <c r="M35" s="12">
        <f t="shared" si="1"/>
        <v>8.5308906866252077</v>
      </c>
      <c r="N35" s="12">
        <f t="shared" si="1"/>
        <v>2.720743804730434</v>
      </c>
      <c r="O35" s="12">
        <f t="shared" si="1"/>
        <v>2.5870280689780203</v>
      </c>
      <c r="P35" s="12">
        <f t="shared" si="1"/>
        <v>3.6389978937671907</v>
      </c>
      <c r="Q35" s="12">
        <f t="shared" si="1"/>
        <v>0.56495736746977965</v>
      </c>
      <c r="R35" s="12">
        <f t="shared" si="1"/>
        <v>18.342497823015204</v>
      </c>
      <c r="S35" s="12">
        <f t="shared" si="1"/>
        <v>0</v>
      </c>
    </row>
    <row r="36" spans="1:19" x14ac:dyDescent="0.3">
      <c r="A36" s="16">
        <f t="shared" si="2"/>
        <v>35</v>
      </c>
      <c r="B36" s="16" t="s">
        <v>45</v>
      </c>
      <c r="C36" s="8">
        <v>2396.5580238767052</v>
      </c>
      <c r="D36" s="8">
        <v>2269.9637204175124</v>
      </c>
      <c r="E36" s="8">
        <v>2256.0930920164892</v>
      </c>
      <c r="F36" s="8">
        <v>2287.9529161986693</v>
      </c>
      <c r="G36" s="8">
        <v>2206.9080194448006</v>
      </c>
      <c r="H36" s="8">
        <v>2610.1199065927663</v>
      </c>
      <c r="I36" s="8">
        <v>2207.1633783188272</v>
      </c>
      <c r="M36" s="12">
        <f t="shared" si="1"/>
        <v>8.5809073953618178</v>
      </c>
      <c r="N36" s="12">
        <f t="shared" si="1"/>
        <v>2.8452964884964489</v>
      </c>
      <c r="O36" s="12">
        <f t="shared" si="1"/>
        <v>2.2168596207377838</v>
      </c>
      <c r="P36" s="12">
        <f t="shared" si="1"/>
        <v>3.6603333796421826</v>
      </c>
      <c r="Q36" s="12">
        <f t="shared" si="1"/>
        <v>1.1569550153603657E-2</v>
      </c>
      <c r="R36" s="12">
        <f t="shared" si="1"/>
        <v>18.256760339185526</v>
      </c>
      <c r="S36" s="12">
        <f t="shared" si="1"/>
        <v>0</v>
      </c>
    </row>
    <row r="37" spans="1:19" x14ac:dyDescent="0.3">
      <c r="A37" s="16">
        <f t="shared" si="2"/>
        <v>36</v>
      </c>
      <c r="B37" s="16" t="s">
        <v>46</v>
      </c>
      <c r="C37" s="8">
        <v>2482.6699232065198</v>
      </c>
      <c r="D37" s="8">
        <v>2359.8436197473266</v>
      </c>
      <c r="E37" s="8">
        <v>2345.2769913463035</v>
      </c>
      <c r="F37" s="8">
        <v>2374.0648155284839</v>
      </c>
      <c r="G37" s="8">
        <v>2293.181918774615</v>
      </c>
      <c r="H37" s="8">
        <v>2698.2688059225807</v>
      </c>
      <c r="I37" s="8">
        <v>2293.2752776486413</v>
      </c>
      <c r="M37" s="12">
        <f t="shared" si="1"/>
        <v>8.2586965203789227</v>
      </c>
      <c r="N37" s="12">
        <f t="shared" si="1"/>
        <v>2.9027628190776804</v>
      </c>
      <c r="O37" s="12">
        <f t="shared" si="1"/>
        <v>2.2675739892413143</v>
      </c>
      <c r="P37" s="12">
        <f t="shared" si="1"/>
        <v>3.5228887987088191</v>
      </c>
      <c r="Q37" s="12">
        <f t="shared" si="1"/>
        <v>4.0709841917465333E-3</v>
      </c>
      <c r="R37" s="12">
        <f t="shared" si="1"/>
        <v>17.660048587328355</v>
      </c>
      <c r="S37" s="12">
        <f t="shared" si="1"/>
        <v>0</v>
      </c>
    </row>
    <row r="38" spans="1:19" x14ac:dyDescent="0.3">
      <c r="A38" s="16">
        <f t="shared" si="2"/>
        <v>37</v>
      </c>
      <c r="B38" s="16" t="s">
        <v>47</v>
      </c>
      <c r="C38" s="8">
        <v>2731.1370507339557</v>
      </c>
      <c r="D38" s="8">
        <v>2581.1469458418792</v>
      </c>
      <c r="E38" s="8">
        <v>2564.3792271213701</v>
      </c>
      <c r="F38" s="8">
        <v>2681.9131545060754</v>
      </c>
      <c r="G38" s="8">
        <v>2511.9439506108411</v>
      </c>
      <c r="H38" s="8">
        <v>2979.6387848810423</v>
      </c>
      <c r="I38" s="8">
        <v>2512.4713405948823</v>
      </c>
      <c r="K38" s="31">
        <f t="shared" ref="K38:L38" si="3">AVERAGE(C38:C48)</f>
        <v>2838.4398337404823</v>
      </c>
      <c r="L38" s="31">
        <f t="shared" si="3"/>
        <v>2687.3888197574965</v>
      </c>
      <c r="M38" s="12">
        <f t="shared" si="1"/>
        <v>8.7032121165330167</v>
      </c>
      <c r="N38" s="12">
        <f t="shared" si="1"/>
        <v>2.7333886017874494</v>
      </c>
      <c r="O38" s="12">
        <f t="shared" si="1"/>
        <v>2.0660090997972329</v>
      </c>
      <c r="P38" s="12">
        <f t="shared" si="1"/>
        <v>6.7440297198006665</v>
      </c>
      <c r="Q38" s="12">
        <f t="shared" si="1"/>
        <v>2.0990885568327369E-2</v>
      </c>
      <c r="R38" s="12">
        <f t="shared" si="1"/>
        <v>18.593941221854806</v>
      </c>
      <c r="S38" s="12">
        <f t="shared" si="1"/>
        <v>0</v>
      </c>
    </row>
    <row r="39" spans="1:19" x14ac:dyDescent="0.3">
      <c r="A39" s="16">
        <f t="shared" si="2"/>
        <v>38</v>
      </c>
      <c r="B39" s="16" t="s">
        <v>48</v>
      </c>
      <c r="C39" s="8">
        <v>2712.216980002956</v>
      </c>
      <c r="D39" s="8">
        <v>2566.1688751108795</v>
      </c>
      <c r="E39" s="8">
        <v>2553.3641563903702</v>
      </c>
      <c r="F39" s="8">
        <v>2662.9930837750758</v>
      </c>
      <c r="G39" s="8">
        <v>2504.3038798798416</v>
      </c>
      <c r="H39" s="8">
        <v>2966.1607141500426</v>
      </c>
      <c r="I39" s="8">
        <v>2493.5512698638822</v>
      </c>
      <c r="M39" s="12">
        <f t="shared" si="1"/>
        <v>8.7692486126828388</v>
      </c>
      <c r="N39" s="12">
        <f t="shared" si="1"/>
        <v>2.9122162485538685</v>
      </c>
      <c r="O39" s="12">
        <f t="shared" si="1"/>
        <v>2.3987028961210433</v>
      </c>
      <c r="P39" s="12">
        <f t="shared" si="1"/>
        <v>6.7952007227203719</v>
      </c>
      <c r="Q39" s="12">
        <f t="shared" si="1"/>
        <v>0.43121672074327649</v>
      </c>
      <c r="R39" s="12">
        <f t="shared" si="1"/>
        <v>18.953267574560805</v>
      </c>
      <c r="S39" s="12">
        <f t="shared" si="1"/>
        <v>0</v>
      </c>
    </row>
    <row r="40" spans="1:19" x14ac:dyDescent="0.3">
      <c r="A40" s="16">
        <f t="shared" si="2"/>
        <v>39</v>
      </c>
      <c r="B40" s="16" t="s">
        <v>49</v>
      </c>
      <c r="C40" s="8">
        <v>2854.9818074611676</v>
      </c>
      <c r="D40" s="8">
        <v>2704.9017025690914</v>
      </c>
      <c r="E40" s="8">
        <v>2688.1069838485819</v>
      </c>
      <c r="F40" s="8">
        <v>2805.7579112332878</v>
      </c>
      <c r="G40" s="8">
        <v>2635.0387073380534</v>
      </c>
      <c r="H40" s="8">
        <v>3099.8535416082541</v>
      </c>
      <c r="I40" s="8">
        <v>2636.3160973220943</v>
      </c>
      <c r="M40" s="12">
        <f t="shared" si="1"/>
        <v>8.2943661559093247</v>
      </c>
      <c r="N40" s="12">
        <f t="shared" si="1"/>
        <v>2.6015698692833054</v>
      </c>
      <c r="O40" s="12">
        <f t="shared" si="1"/>
        <v>1.9645173270039784</v>
      </c>
      <c r="P40" s="12">
        <f t="shared" si="1"/>
        <v>6.4272191822258504</v>
      </c>
      <c r="Q40" s="12">
        <f t="shared" si="1"/>
        <v>4.8453597250283427E-2</v>
      </c>
      <c r="R40" s="12">
        <f t="shared" si="1"/>
        <v>17.582771836693251</v>
      </c>
      <c r="S40" s="12">
        <f t="shared" si="1"/>
        <v>0</v>
      </c>
    </row>
    <row r="41" spans="1:19" x14ac:dyDescent="0.3">
      <c r="A41" s="16">
        <f t="shared" si="2"/>
        <v>40</v>
      </c>
      <c r="B41" s="16" t="s">
        <v>50</v>
      </c>
      <c r="C41" s="8">
        <v>2758.0912921709842</v>
      </c>
      <c r="D41" s="8">
        <v>2615.0641872789079</v>
      </c>
      <c r="E41" s="8">
        <v>2598.281468558399</v>
      </c>
      <c r="F41" s="8">
        <v>2708.8673959431044</v>
      </c>
      <c r="G41" s="8">
        <v>2536.3751920478699</v>
      </c>
      <c r="H41" s="8">
        <v>3008.9750263180708</v>
      </c>
      <c r="I41" s="8">
        <v>2539.4255820319108</v>
      </c>
      <c r="M41" s="12">
        <f t="shared" si="1"/>
        <v>8.6108335556779281</v>
      </c>
      <c r="N41" s="12">
        <f t="shared" si="1"/>
        <v>2.9785714447467728</v>
      </c>
      <c r="O41" s="12">
        <f t="shared" si="1"/>
        <v>2.3176850285722814</v>
      </c>
      <c r="P41" s="12">
        <f t="shared" si="1"/>
        <v>6.6724465213749387</v>
      </c>
      <c r="Q41" s="12">
        <f t="shared" si="1"/>
        <v>0.12012125913925065</v>
      </c>
      <c r="R41" s="12">
        <f t="shared" si="1"/>
        <v>18.490380171347727</v>
      </c>
      <c r="S41" s="12">
        <f t="shared" si="1"/>
        <v>0</v>
      </c>
    </row>
    <row r="42" spans="1:19" x14ac:dyDescent="0.3">
      <c r="A42" s="16">
        <f t="shared" si="2"/>
        <v>41</v>
      </c>
      <c r="B42" s="16" t="s">
        <v>51</v>
      </c>
      <c r="C42" s="8">
        <v>2740.3840938069752</v>
      </c>
      <c r="D42" s="8">
        <v>2583.2659889148986</v>
      </c>
      <c r="E42" s="8">
        <v>2572.4022701943895</v>
      </c>
      <c r="F42" s="8">
        <v>2691.160197579095</v>
      </c>
      <c r="G42" s="8">
        <v>2513.9069936838605</v>
      </c>
      <c r="H42" s="8">
        <v>2983.6418279540617</v>
      </c>
      <c r="I42" s="8">
        <v>2521.7183836679014</v>
      </c>
      <c r="M42" s="12">
        <f t="shared" si="1"/>
        <v>8.6712977767572568</v>
      </c>
      <c r="N42" s="12">
        <f t="shared" si="1"/>
        <v>2.4407009777782811</v>
      </c>
      <c r="O42" s="12">
        <f t="shared" si="1"/>
        <v>2.0098947945474834</v>
      </c>
      <c r="P42" s="12">
        <f t="shared" si="1"/>
        <v>6.7192996255488397</v>
      </c>
      <c r="Q42" s="12">
        <f t="shared" si="1"/>
        <v>0.30976456509307293</v>
      </c>
      <c r="R42" s="12">
        <f t="shared" si="1"/>
        <v>18.317804528762693</v>
      </c>
      <c r="S42" s="12">
        <f t="shared" si="1"/>
        <v>0</v>
      </c>
    </row>
    <row r="43" spans="1:19" x14ac:dyDescent="0.3">
      <c r="A43" s="16">
        <f t="shared" si="2"/>
        <v>42</v>
      </c>
      <c r="B43" s="16" t="s">
        <v>52</v>
      </c>
      <c r="C43" s="8">
        <v>2783.2429389614308</v>
      </c>
      <c r="D43" s="8">
        <v>2629.3048340693545</v>
      </c>
      <c r="E43" s="8">
        <v>2615.5191153488449</v>
      </c>
      <c r="F43" s="8">
        <v>2734.0190427335506</v>
      </c>
      <c r="G43" s="8">
        <v>2539.2458388383166</v>
      </c>
      <c r="H43" s="8">
        <v>3023.0896731085177</v>
      </c>
      <c r="I43" s="8">
        <v>2564.5772288223575</v>
      </c>
      <c r="M43" s="12">
        <f t="shared" si="1"/>
        <v>8.5263842976366</v>
      </c>
      <c r="N43" s="12">
        <f t="shared" si="1"/>
        <v>2.5239093804447292</v>
      </c>
      <c r="O43" s="12">
        <f t="shared" si="1"/>
        <v>1.9863658599932177</v>
      </c>
      <c r="P43" s="12">
        <f t="shared" si="1"/>
        <v>6.6070076582953998</v>
      </c>
      <c r="Q43" s="12">
        <f t="shared" si="1"/>
        <v>0.98774135944710795</v>
      </c>
      <c r="R43" s="12">
        <f t="shared" si="1"/>
        <v>17.878675640300646</v>
      </c>
      <c r="S43" s="12">
        <f t="shared" si="1"/>
        <v>0</v>
      </c>
    </row>
    <row r="44" spans="1:19" x14ac:dyDescent="0.3">
      <c r="A44" s="16">
        <f t="shared" si="2"/>
        <v>43</v>
      </c>
      <c r="B44" s="16" t="s">
        <v>53</v>
      </c>
      <c r="C44" s="8">
        <v>2936.4648679807201</v>
      </c>
      <c r="D44" s="8">
        <v>2799.0687630886437</v>
      </c>
      <c r="E44" s="8">
        <v>2790.6650443681347</v>
      </c>
      <c r="F44" s="8">
        <v>2887.2409717528399</v>
      </c>
      <c r="G44" s="8">
        <v>2655.3187678576055</v>
      </c>
      <c r="H44" s="8">
        <v>3176.0356021278067</v>
      </c>
      <c r="I44" s="8">
        <v>2717.7991578416468</v>
      </c>
      <c r="M44" s="12">
        <f t="shared" si="1"/>
        <v>8.045690554732813</v>
      </c>
      <c r="N44" s="12">
        <f t="shared" si="1"/>
        <v>2.99027266280918</v>
      </c>
      <c r="O44" s="12">
        <f t="shared" si="1"/>
        <v>2.6810622233158199</v>
      </c>
      <c r="P44" s="12">
        <f t="shared" si="1"/>
        <v>6.2345230118385979</v>
      </c>
      <c r="Q44" s="12">
        <f t="shared" si="1"/>
        <v>2.2989333043159954</v>
      </c>
      <c r="R44" s="12">
        <f t="shared" si="1"/>
        <v>16.860570545252155</v>
      </c>
      <c r="S44" s="12">
        <f t="shared" si="1"/>
        <v>0</v>
      </c>
    </row>
    <row r="45" spans="1:19" x14ac:dyDescent="0.3">
      <c r="A45" s="16">
        <f t="shared" si="2"/>
        <v>44</v>
      </c>
      <c r="B45" s="16" t="s">
        <v>54</v>
      </c>
      <c r="C45" s="8">
        <v>3113.354346987524</v>
      </c>
      <c r="D45" s="8">
        <v>2957.3432420954473</v>
      </c>
      <c r="E45" s="8">
        <v>2951.8495233749381</v>
      </c>
      <c r="F45" s="8">
        <v>3064.1304507596437</v>
      </c>
      <c r="G45" s="8">
        <v>2789.6742468644093</v>
      </c>
      <c r="H45" s="8">
        <v>3348.8150811346104</v>
      </c>
      <c r="I45" s="8">
        <v>2894.6886368484502</v>
      </c>
      <c r="M45" s="12">
        <f t="shared" si="1"/>
        <v>7.5540321454794839</v>
      </c>
      <c r="N45" s="12">
        <f t="shared" si="1"/>
        <v>2.1644678619117874</v>
      </c>
      <c r="O45" s="12">
        <f t="shared" si="1"/>
        <v>1.9746816911099991</v>
      </c>
      <c r="P45" s="12">
        <f t="shared" si="1"/>
        <v>5.85354195799348</v>
      </c>
      <c r="Q45" s="12">
        <f t="shared" si="1"/>
        <v>3.6278302490721002</v>
      </c>
      <c r="R45" s="12">
        <f t="shared" si="1"/>
        <v>15.688265691351996</v>
      </c>
      <c r="S45" s="12">
        <f t="shared" si="1"/>
        <v>0</v>
      </c>
    </row>
    <row r="46" spans="1:19" x14ac:dyDescent="0.3">
      <c r="A46" s="16">
        <f t="shared" si="2"/>
        <v>45</v>
      </c>
      <c r="B46" s="16" t="s">
        <v>55</v>
      </c>
      <c r="C46" s="8">
        <v>3004.2031588349619</v>
      </c>
      <c r="D46" s="8">
        <v>2851.1110539428855</v>
      </c>
      <c r="E46" s="8">
        <v>2841.1683352223763</v>
      </c>
      <c r="F46" s="8">
        <v>2954.9792626070816</v>
      </c>
      <c r="G46" s="8">
        <v>2709.0530587118474</v>
      </c>
      <c r="H46" s="8">
        <v>3240.5068929820486</v>
      </c>
      <c r="I46" s="8">
        <v>2785.5374486958885</v>
      </c>
      <c r="M46" s="12">
        <f t="shared" si="1"/>
        <v>7.8500366326594015</v>
      </c>
      <c r="N46" s="12">
        <f t="shared" si="1"/>
        <v>2.3540737274128811</v>
      </c>
      <c r="O46" s="12">
        <f t="shared" si="1"/>
        <v>1.9971329609132555</v>
      </c>
      <c r="P46" s="12">
        <f t="shared" si="1"/>
        <v>6.0829127962548499</v>
      </c>
      <c r="Q46" s="12">
        <f t="shared" si="1"/>
        <v>2.7457677878231017</v>
      </c>
      <c r="R46" s="12">
        <f t="shared" si="1"/>
        <v>16.333273297013619</v>
      </c>
      <c r="S46" s="12">
        <f t="shared" si="1"/>
        <v>0</v>
      </c>
    </row>
    <row r="47" spans="1:19" x14ac:dyDescent="0.3">
      <c r="A47" s="16">
        <f t="shared" si="2"/>
        <v>46</v>
      </c>
      <c r="B47" s="16" t="s">
        <v>56</v>
      </c>
      <c r="C47" s="8">
        <v>2803.2531973995465</v>
      </c>
      <c r="D47" s="8">
        <v>2646.4830925074702</v>
      </c>
      <c r="E47" s="8">
        <v>2635.5533737869609</v>
      </c>
      <c r="F47" s="8">
        <v>2754.0293011716667</v>
      </c>
      <c r="G47" s="8">
        <v>2564.7130972764326</v>
      </c>
      <c r="H47" s="8">
        <v>3044.6629315466334</v>
      </c>
      <c r="I47" s="8">
        <v>2584.5874872604736</v>
      </c>
      <c r="M47" s="12">
        <f t="shared" si="1"/>
        <v>8.4603717698427374</v>
      </c>
      <c r="N47" s="12">
        <f t="shared" si="1"/>
        <v>2.3947962896238701</v>
      </c>
      <c r="O47" s="12">
        <f t="shared" si="1"/>
        <v>1.9719157032872774</v>
      </c>
      <c r="P47" s="12">
        <f t="shared" si="1"/>
        <v>6.5558552282086788</v>
      </c>
      <c r="Q47" s="12">
        <f t="shared" si="1"/>
        <v>0.76895791231686461</v>
      </c>
      <c r="R47" s="12">
        <f t="shared" si="1"/>
        <v>17.800730157283841</v>
      </c>
      <c r="S47" s="12">
        <f t="shared" si="1"/>
        <v>0</v>
      </c>
    </row>
    <row r="48" spans="1:19" x14ac:dyDescent="0.3">
      <c r="A48" s="16">
        <f t="shared" si="2"/>
        <v>47</v>
      </c>
      <c r="B48" s="16" t="s">
        <v>57</v>
      </c>
      <c r="C48" s="8">
        <v>2785.5084368050811</v>
      </c>
      <c r="D48" s="8">
        <v>2627.4183319130047</v>
      </c>
      <c r="E48" s="8">
        <v>2616.5456131924957</v>
      </c>
      <c r="F48" s="8">
        <v>2736.2845405772009</v>
      </c>
      <c r="G48" s="8">
        <v>2538.172336681967</v>
      </c>
      <c r="H48" s="8">
        <v>3028.8081709521675</v>
      </c>
      <c r="I48" s="8">
        <v>2566.8427266660074</v>
      </c>
      <c r="M48" s="12">
        <f t="shared" si="1"/>
        <v>8.518858902706981</v>
      </c>
      <c r="N48" s="12">
        <f t="shared" si="1"/>
        <v>2.3599266374094205</v>
      </c>
      <c r="O48" s="12">
        <f t="shared" si="1"/>
        <v>1.9363432753453449</v>
      </c>
      <c r="P48" s="12">
        <f t="shared" si="1"/>
        <v>6.6011763070219844</v>
      </c>
      <c r="Q48" s="12">
        <f t="shared" si="1"/>
        <v>1.1169515641217136</v>
      </c>
      <c r="R48" s="12">
        <f t="shared" si="1"/>
        <v>17.997419144031188</v>
      </c>
      <c r="S48" s="12">
        <f t="shared" si="1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DBA2B-C492-4E14-B9D2-6317C2D70033}">
  <dimension ref="A1:U53"/>
  <sheetViews>
    <sheetView topLeftCell="A13" workbookViewId="0">
      <selection activeCell="I48" sqref="I38:I48"/>
    </sheetView>
  </sheetViews>
  <sheetFormatPr defaultRowHeight="14.4" x14ac:dyDescent="0.3"/>
  <cols>
    <col min="4" max="4" width="11" bestFit="1" customWidth="1"/>
    <col min="5" max="5" width="13.5546875" bestFit="1" customWidth="1"/>
    <col min="6" max="6" width="12.33203125" bestFit="1" customWidth="1"/>
    <col min="7" max="7" width="13.109375" bestFit="1" customWidth="1"/>
    <col min="8" max="8" width="12.88671875" bestFit="1" customWidth="1"/>
    <col min="9" max="9" width="12.44140625" bestFit="1" customWidth="1"/>
    <col min="10" max="10" width="13.21875" bestFit="1" customWidth="1"/>
    <col min="11" max="11" width="13.109375" bestFit="1" customWidth="1"/>
  </cols>
  <sheetData>
    <row r="1" spans="1:21" x14ac:dyDescent="0.3">
      <c r="A1" s="17" t="s">
        <v>62</v>
      </c>
      <c r="B1" s="17" t="s">
        <v>66</v>
      </c>
      <c r="C1" t="s">
        <v>65</v>
      </c>
      <c r="D1" s="17" t="s">
        <v>69</v>
      </c>
      <c r="E1" s="17" t="s">
        <v>70</v>
      </c>
      <c r="F1" s="17" t="s">
        <v>71</v>
      </c>
      <c r="G1" s="17" t="s">
        <v>72</v>
      </c>
      <c r="H1" s="17" t="s">
        <v>73</v>
      </c>
      <c r="I1" s="17" t="s">
        <v>74</v>
      </c>
      <c r="J1" s="17" t="s">
        <v>75</v>
      </c>
      <c r="K1" s="17" t="s">
        <v>76</v>
      </c>
      <c r="M1" s="18" t="s">
        <v>9</v>
      </c>
      <c r="N1" s="18" t="s">
        <v>67</v>
      </c>
      <c r="O1" s="18" t="s">
        <v>68</v>
      </c>
      <c r="Q1" s="18" t="s">
        <v>7</v>
      </c>
      <c r="R1" s="18" t="s">
        <v>67</v>
      </c>
      <c r="S1" s="18" t="s">
        <v>8</v>
      </c>
      <c r="T1" s="18" t="s">
        <v>68</v>
      </c>
      <c r="U1" s="18" t="s">
        <v>8</v>
      </c>
    </row>
    <row r="2" spans="1:21" x14ac:dyDescent="0.3">
      <c r="A2" s="17">
        <v>1</v>
      </c>
      <c r="B2" s="17" t="s">
        <v>11</v>
      </c>
      <c r="C2" s="8">
        <v>3.0794999999999999</v>
      </c>
      <c r="D2" s="8">
        <f>C2/10^6*983/22*10^6</f>
        <v>137.5976590909091</v>
      </c>
      <c r="E2" s="8">
        <v>66.900000000000006</v>
      </c>
      <c r="F2" s="8">
        <v>476.28972300416007</v>
      </c>
      <c r="G2" s="8">
        <v>1312.7635537346468</v>
      </c>
      <c r="H2" s="8">
        <v>1910.3513146981313</v>
      </c>
      <c r="I2" s="8">
        <v>220.15186619234669</v>
      </c>
      <c r="J2" s="8">
        <v>1515.3048442860495</v>
      </c>
      <c r="K2" s="8">
        <v>2159.6542519914883</v>
      </c>
      <c r="M2" s="18">
        <v>2019</v>
      </c>
      <c r="N2" s="4">
        <v>5.6991061853994402</v>
      </c>
      <c r="O2" s="4">
        <v>9.0904188575333293</v>
      </c>
      <c r="Q2" s="18">
        <v>2019</v>
      </c>
      <c r="R2" s="4">
        <v>5.0999999999999997E-2</v>
      </c>
      <c r="S2" s="18">
        <v>44</v>
      </c>
      <c r="T2" s="4">
        <v>6.8000000000000005E-2</v>
      </c>
      <c r="U2" s="12">
        <v>17.5</v>
      </c>
    </row>
    <row r="3" spans="1:21" x14ac:dyDescent="0.3">
      <c r="A3" s="17">
        <f>A2+1</f>
        <v>2</v>
      </c>
      <c r="B3" s="17" t="s">
        <v>12</v>
      </c>
      <c r="C3" s="8">
        <v>2.7170999999999998</v>
      </c>
      <c r="D3" s="8">
        <f t="shared" ref="D3:D48" si="0">C3/10^6*983/22*10^6</f>
        <v>121.40496818181818</v>
      </c>
      <c r="E3" s="8">
        <v>67.3</v>
      </c>
      <c r="F3" s="8">
        <v>468.1348304253296</v>
      </c>
      <c r="G3" s="8">
        <v>1312.9515113156845</v>
      </c>
      <c r="H3" s="8">
        <v>1910.5392722791689</v>
      </c>
      <c r="I3" s="8">
        <v>209.59746960626674</v>
      </c>
      <c r="J3" s="8">
        <v>1512.8940007589481</v>
      </c>
      <c r="K3" s="8">
        <v>2157.2434084643874</v>
      </c>
      <c r="M3" s="18">
        <v>2020</v>
      </c>
      <c r="N3" s="4">
        <v>4.9964109804087302</v>
      </c>
      <c r="O3" s="4">
        <v>9.0843326994338707</v>
      </c>
      <c r="Q3" s="18">
        <v>2020</v>
      </c>
      <c r="R3" s="4">
        <v>3.6999999999999998E-2</v>
      </c>
      <c r="S3" s="18">
        <v>43</v>
      </c>
      <c r="T3" s="4">
        <v>5.7000000000000002E-2</v>
      </c>
      <c r="U3" s="12">
        <v>16.100000000000001</v>
      </c>
    </row>
    <row r="4" spans="1:21" x14ac:dyDescent="0.3">
      <c r="A4" s="17">
        <f t="shared" ref="A4:A48" si="1">A3+1</f>
        <v>3</v>
      </c>
      <c r="B4" s="17" t="s">
        <v>13</v>
      </c>
      <c r="C4" s="8">
        <v>2.9350000000000001</v>
      </c>
      <c r="D4" s="8">
        <f t="shared" si="0"/>
        <v>131.14113636363635</v>
      </c>
      <c r="E4" s="8">
        <v>65.099999999999994</v>
      </c>
      <c r="F4" s="8">
        <v>471.20522648832412</v>
      </c>
      <c r="G4" s="8">
        <v>1311.9177446199785</v>
      </c>
      <c r="H4" s="8">
        <v>1909.505505583463</v>
      </c>
      <c r="I4" s="8">
        <v>215.79850199066746</v>
      </c>
      <c r="J4" s="8">
        <v>1513.7557193145644</v>
      </c>
      <c r="K4" s="8">
        <v>2158.1051270200037</v>
      </c>
      <c r="M4" s="18">
        <v>2021</v>
      </c>
      <c r="N4" s="4">
        <v>4.53479271461278</v>
      </c>
      <c r="O4" s="4">
        <v>8.6370631426591906</v>
      </c>
      <c r="Q4" s="18">
        <v>2021</v>
      </c>
      <c r="R4" s="4">
        <v>3.1E-2</v>
      </c>
      <c r="S4" s="18">
        <v>45</v>
      </c>
      <c r="T4" s="4">
        <v>5.5E-2</v>
      </c>
      <c r="U4" s="12">
        <v>17.2</v>
      </c>
    </row>
    <row r="5" spans="1:21" x14ac:dyDescent="0.3">
      <c r="A5" s="17">
        <f t="shared" si="1"/>
        <v>4</v>
      </c>
      <c r="B5" s="17" t="s">
        <v>14</v>
      </c>
      <c r="C5" s="8">
        <v>2.6459999999999999</v>
      </c>
      <c r="D5" s="8">
        <f t="shared" si="0"/>
        <v>118.22809090909089</v>
      </c>
      <c r="E5" s="8">
        <v>66.900000000000006</v>
      </c>
      <c r="F5" s="8">
        <v>466.08734259647218</v>
      </c>
      <c r="G5" s="8">
        <v>1312.7635537346468</v>
      </c>
      <c r="H5" s="8">
        <v>1910.3513146981313</v>
      </c>
      <c r="I5" s="8">
        <v>207.49137358730903</v>
      </c>
      <c r="J5" s="8">
        <v>1512.2774693715946</v>
      </c>
      <c r="K5" s="8">
        <v>2156.6268770770339</v>
      </c>
      <c r="M5" s="18">
        <v>2022</v>
      </c>
      <c r="N5" s="4">
        <f>N4*817.5/708</f>
        <v>5.2361483675084006</v>
      </c>
      <c r="O5" s="4">
        <f>O4*817.5/708</f>
        <v>9.9728801117569041</v>
      </c>
      <c r="Q5" s="18"/>
      <c r="R5" s="18"/>
      <c r="S5" s="18"/>
    </row>
    <row r="6" spans="1:21" x14ac:dyDescent="0.3">
      <c r="A6" s="17">
        <f t="shared" si="1"/>
        <v>5</v>
      </c>
      <c r="B6" s="17" t="s">
        <v>15</v>
      </c>
      <c r="C6" s="8">
        <v>2.6278999999999999</v>
      </c>
      <c r="D6" s="8">
        <f t="shared" si="0"/>
        <v>117.41935000000001</v>
      </c>
      <c r="E6" s="8">
        <v>68.7</v>
      </c>
      <c r="F6" s="8">
        <v>467.34506390056629</v>
      </c>
      <c r="G6" s="8">
        <v>1313.6093628493154</v>
      </c>
      <c r="H6" s="8">
        <v>1911.1971238127999</v>
      </c>
      <c r="I6" s="8">
        <v>207.0959578637769</v>
      </c>
      <c r="J6" s="8">
        <v>1512.6910668665159</v>
      </c>
      <c r="K6" s="8">
        <v>2157.0404745719552</v>
      </c>
    </row>
    <row r="7" spans="1:21" x14ac:dyDescent="0.3">
      <c r="A7" s="17">
        <f t="shared" si="1"/>
        <v>6</v>
      </c>
      <c r="B7" s="17" t="s">
        <v>16</v>
      </c>
      <c r="C7" s="8">
        <v>2.3965000000000001</v>
      </c>
      <c r="D7" s="8">
        <f t="shared" si="0"/>
        <v>107.07997727272729</v>
      </c>
      <c r="E7" s="8">
        <v>71.400000000000006</v>
      </c>
      <c r="F7" s="8">
        <v>464.42464193912906</v>
      </c>
      <c r="G7" s="8">
        <v>1314.8780765213182</v>
      </c>
      <c r="H7" s="8">
        <v>1912.4658374848027</v>
      </c>
      <c r="I7" s="8">
        <v>200.53765408337159</v>
      </c>
      <c r="J7" s="8">
        <v>1511.8850701993767</v>
      </c>
      <c r="K7" s="8">
        <v>2156.2344779048158</v>
      </c>
    </row>
    <row r="8" spans="1:21" x14ac:dyDescent="0.3">
      <c r="A8" s="17">
        <f t="shared" si="1"/>
        <v>7</v>
      </c>
      <c r="B8" s="17" t="s">
        <v>17</v>
      </c>
      <c r="C8" s="8">
        <v>2.36</v>
      </c>
      <c r="D8" s="8">
        <f t="shared" si="0"/>
        <v>105.4490909090909</v>
      </c>
      <c r="E8" s="8">
        <v>74</v>
      </c>
      <c r="F8" s="8">
        <v>465.99763349499887</v>
      </c>
      <c r="G8" s="8">
        <v>1316.0998007980616</v>
      </c>
      <c r="H8" s="8">
        <v>1913.687561761546</v>
      </c>
      <c r="I8" s="8">
        <v>199.66406104972941</v>
      </c>
      <c r="J8" s="8">
        <v>1512.4101701200743</v>
      </c>
      <c r="K8" s="8">
        <v>2156.7595778255131</v>
      </c>
    </row>
    <row r="9" spans="1:21" x14ac:dyDescent="0.3">
      <c r="A9" s="17">
        <f t="shared" si="1"/>
        <v>8</v>
      </c>
      <c r="B9" s="17" t="s">
        <v>18</v>
      </c>
      <c r="C9" s="8">
        <v>2.2242999999999999</v>
      </c>
      <c r="D9" s="8">
        <f t="shared" si="0"/>
        <v>99.385768181818179</v>
      </c>
      <c r="E9" s="8">
        <v>70.599999999999994</v>
      </c>
      <c r="F9" s="8">
        <v>459.62361919437689</v>
      </c>
      <c r="G9" s="8">
        <v>1314.5021613592432</v>
      </c>
      <c r="H9" s="8">
        <v>1912.0899223227277</v>
      </c>
      <c r="I9" s="8">
        <v>195.44930338766804</v>
      </c>
      <c r="J9" s="8">
        <v>1510.4425005101746</v>
      </c>
      <c r="K9" s="8">
        <v>2154.7919082156136</v>
      </c>
    </row>
    <row r="10" spans="1:21" x14ac:dyDescent="0.3">
      <c r="A10" s="17">
        <f t="shared" si="1"/>
        <v>9</v>
      </c>
      <c r="B10" s="17" t="s">
        <v>19</v>
      </c>
      <c r="C10" s="8">
        <v>2.58</v>
      </c>
      <c r="D10" s="8">
        <f t="shared" si="0"/>
        <v>115.27909090909088</v>
      </c>
      <c r="E10" s="8">
        <v>68.400000000000006</v>
      </c>
      <c r="F10" s="8">
        <v>465.93712487716243</v>
      </c>
      <c r="G10" s="8">
        <v>1313.4683946635373</v>
      </c>
      <c r="H10" s="8">
        <v>1911.0561556270218</v>
      </c>
      <c r="I10" s="8">
        <v>205.67482454017525</v>
      </c>
      <c r="J10" s="8">
        <v>1512.2665541597053</v>
      </c>
      <c r="K10" s="8">
        <v>2156.6159618651445</v>
      </c>
    </row>
    <row r="11" spans="1:21" x14ac:dyDescent="0.3">
      <c r="A11" s="17">
        <f t="shared" si="1"/>
        <v>10</v>
      </c>
      <c r="B11" s="17" t="s">
        <v>20</v>
      </c>
      <c r="C11" s="8">
        <v>2.3313000000000001</v>
      </c>
      <c r="D11" s="8">
        <f t="shared" si="0"/>
        <v>104.16672272727273</v>
      </c>
      <c r="E11" s="8">
        <v>67.2</v>
      </c>
      <c r="F11" s="8">
        <v>458.96152582788613</v>
      </c>
      <c r="G11" s="8">
        <v>1312.9045219204249</v>
      </c>
      <c r="H11" s="8">
        <v>1910.4922828839094</v>
      </c>
      <c r="I11" s="8">
        <v>198.32266926711216</v>
      </c>
      <c r="J11" s="8">
        <v>1510.1697418385406</v>
      </c>
      <c r="K11" s="8">
        <v>2154.5191495439794</v>
      </c>
    </row>
    <row r="12" spans="1:21" x14ac:dyDescent="0.3">
      <c r="A12" s="17">
        <f t="shared" si="1"/>
        <v>11</v>
      </c>
      <c r="B12" s="17" t="s">
        <v>21</v>
      </c>
      <c r="C12" s="8">
        <v>2.6505000000000001</v>
      </c>
      <c r="D12" s="8">
        <f t="shared" si="0"/>
        <v>118.4291590909091</v>
      </c>
      <c r="E12" s="8">
        <v>63.8</v>
      </c>
      <c r="F12" s="8">
        <v>463.29353885703858</v>
      </c>
      <c r="G12" s="8">
        <v>1311.3068824816069</v>
      </c>
      <c r="H12" s="8">
        <v>1908.8946434450913</v>
      </c>
      <c r="I12" s="8">
        <v>207.39339738597727</v>
      </c>
      <c r="J12" s="8">
        <v>1511.378895408769</v>
      </c>
      <c r="K12" s="8">
        <v>2155.7283031142078</v>
      </c>
    </row>
    <row r="13" spans="1:21" x14ac:dyDescent="0.3">
      <c r="A13" s="17">
        <f t="shared" si="1"/>
        <v>12</v>
      </c>
      <c r="B13" s="17" t="s">
        <v>22</v>
      </c>
      <c r="C13" s="8">
        <v>2.2425000000000002</v>
      </c>
      <c r="D13" s="8">
        <f t="shared" si="0"/>
        <v>100.19897727272728</v>
      </c>
      <c r="E13" s="8">
        <v>63.7</v>
      </c>
      <c r="F13" s="8">
        <v>453.59775941518757</v>
      </c>
      <c r="G13" s="8">
        <v>1311.2598930863473</v>
      </c>
      <c r="H13" s="8">
        <v>1908.8476540498318</v>
      </c>
      <c r="I13" s="8">
        <v>195.47023964005945</v>
      </c>
      <c r="J13" s="8">
        <v>1508.499601371635</v>
      </c>
      <c r="K13" s="8">
        <v>2152.8490090770738</v>
      </c>
    </row>
    <row r="14" spans="1:21" x14ac:dyDescent="0.3">
      <c r="A14" s="17">
        <f t="shared" si="1"/>
        <v>13</v>
      </c>
      <c r="B14" s="17" t="s">
        <v>23</v>
      </c>
      <c r="C14" s="8">
        <v>2.0305</v>
      </c>
      <c r="D14" s="8">
        <f t="shared" si="0"/>
        <v>90.726431818181808</v>
      </c>
      <c r="E14" s="8">
        <v>64.400000000000006</v>
      </c>
      <c r="F14" s="8">
        <v>438.59869724612804</v>
      </c>
      <c r="G14" s="8">
        <v>1179.1065380383086</v>
      </c>
      <c r="H14" s="8">
        <v>1899.4447147977844</v>
      </c>
      <c r="I14" s="8">
        <v>185.41573794265241</v>
      </c>
      <c r="J14" s="8">
        <v>1364.1843458017843</v>
      </c>
      <c r="K14" s="8">
        <v>2140.8894724165611</v>
      </c>
    </row>
    <row r="15" spans="1:21" x14ac:dyDescent="0.3">
      <c r="A15" s="17">
        <f t="shared" si="1"/>
        <v>14</v>
      </c>
      <c r="B15" s="17" t="s">
        <v>24</v>
      </c>
      <c r="C15" s="8">
        <v>1.9157999999999999</v>
      </c>
      <c r="D15" s="8">
        <f t="shared" si="0"/>
        <v>85.601427272727278</v>
      </c>
      <c r="E15" s="8">
        <v>63.9</v>
      </c>
      <c r="F15" s="8">
        <v>435.43154859263166</v>
      </c>
      <c r="G15" s="8">
        <v>1178.8715910620117</v>
      </c>
      <c r="H15" s="8">
        <v>1899.2097678214877</v>
      </c>
      <c r="I15" s="8">
        <v>182.02889134104271</v>
      </c>
      <c r="J15" s="8">
        <v>1363.2333310320312</v>
      </c>
      <c r="K15" s="8">
        <v>2139.9384576468083</v>
      </c>
    </row>
    <row r="16" spans="1:21" x14ac:dyDescent="0.3">
      <c r="A16" s="17">
        <f t="shared" si="1"/>
        <v>15</v>
      </c>
      <c r="B16" s="17" t="s">
        <v>25</v>
      </c>
      <c r="C16" s="8">
        <v>1.7927</v>
      </c>
      <c r="D16" s="8">
        <f t="shared" si="0"/>
        <v>80.101095454545458</v>
      </c>
      <c r="E16" s="8">
        <v>63.9</v>
      </c>
      <c r="F16" s="8">
        <v>432.53440204548895</v>
      </c>
      <c r="G16" s="8">
        <v>1178.8715910620117</v>
      </c>
      <c r="H16" s="8">
        <v>1899.2097678214877</v>
      </c>
      <c r="I16" s="8">
        <v>178.43372031525232</v>
      </c>
      <c r="J16" s="8">
        <v>1362.3736543262194</v>
      </c>
      <c r="K16" s="8">
        <v>2139.0787809409962</v>
      </c>
    </row>
    <row r="17" spans="1:11" x14ac:dyDescent="0.3">
      <c r="A17" s="17">
        <f t="shared" si="1"/>
        <v>16</v>
      </c>
      <c r="B17" s="17" t="s">
        <v>26</v>
      </c>
      <c r="C17" s="8">
        <v>1.7385999999999999</v>
      </c>
      <c r="D17" s="8">
        <f t="shared" si="0"/>
        <v>77.683809090909094</v>
      </c>
      <c r="E17" s="8">
        <v>65.400000000000006</v>
      </c>
      <c r="F17" s="8">
        <v>432.66424967070395</v>
      </c>
      <c r="G17" s="8">
        <v>1179.5764319909022</v>
      </c>
      <c r="H17" s="8">
        <v>1899.9146087503782</v>
      </c>
      <c r="I17" s="8">
        <v>176.96471420237449</v>
      </c>
      <c r="J17" s="8">
        <v>1362.4458435237466</v>
      </c>
      <c r="K17" s="8">
        <v>2139.1509701385235</v>
      </c>
    </row>
    <row r="18" spans="1:11" x14ac:dyDescent="0.3">
      <c r="A18" s="17">
        <f t="shared" si="1"/>
        <v>17</v>
      </c>
      <c r="B18" s="17" t="s">
        <v>27</v>
      </c>
      <c r="C18" s="8">
        <v>1.7524999999999999</v>
      </c>
      <c r="D18" s="8">
        <f t="shared" si="0"/>
        <v>78.304886363636371</v>
      </c>
      <c r="E18" s="8">
        <v>69.400000000000006</v>
      </c>
      <c r="F18" s="8">
        <v>436.73294714682368</v>
      </c>
      <c r="G18" s="8">
        <v>1181.4560078012767</v>
      </c>
      <c r="H18" s="8">
        <v>1901.7941845607525</v>
      </c>
      <c r="I18" s="8">
        <v>177.66666771381631</v>
      </c>
      <c r="J18" s="8">
        <v>1363.7429150607959</v>
      </c>
      <c r="K18" s="8">
        <v>2140.4480416755728</v>
      </c>
    </row>
    <row r="19" spans="1:11" x14ac:dyDescent="0.3">
      <c r="A19" s="17">
        <f t="shared" si="1"/>
        <v>18</v>
      </c>
      <c r="B19" s="17" t="s">
        <v>28</v>
      </c>
      <c r="C19" s="8">
        <v>1.6128</v>
      </c>
      <c r="D19" s="8">
        <f t="shared" si="0"/>
        <v>72.062836363636364</v>
      </c>
      <c r="E19" s="8">
        <v>71.599999999999994</v>
      </c>
      <c r="F19" s="8">
        <v>435.50298049070614</v>
      </c>
      <c r="G19" s="8">
        <v>1182.4897744969826</v>
      </c>
      <c r="H19" s="8">
        <v>1902.8279512564584</v>
      </c>
      <c r="I19" s="8">
        <v>173.74948889738317</v>
      </c>
      <c r="J19" s="8">
        <v>1363.4273111956304</v>
      </c>
      <c r="K19" s="8">
        <v>2140.1324378104073</v>
      </c>
    </row>
    <row r="20" spans="1:11" x14ac:dyDescent="0.3">
      <c r="A20" s="17">
        <f t="shared" si="1"/>
        <v>19</v>
      </c>
      <c r="B20" s="17" t="s">
        <v>29</v>
      </c>
      <c r="C20" s="8">
        <v>1.7352000000000001</v>
      </c>
      <c r="D20" s="8">
        <f t="shared" si="0"/>
        <v>77.531890909090919</v>
      </c>
      <c r="E20" s="8">
        <v>70.7</v>
      </c>
      <c r="F20" s="8">
        <v>437.54180108251472</v>
      </c>
      <c r="G20" s="8">
        <v>1182.0668699396483</v>
      </c>
      <c r="H20" s="8">
        <v>1902.4050466991241</v>
      </c>
      <c r="I20" s="8">
        <v>177.25761622115851</v>
      </c>
      <c r="J20" s="8">
        <v>1364.0120994067704</v>
      </c>
      <c r="K20" s="8">
        <v>2140.7172260215475</v>
      </c>
    </row>
    <row r="21" spans="1:11" x14ac:dyDescent="0.3">
      <c r="A21" s="17">
        <f t="shared" si="1"/>
        <v>20</v>
      </c>
      <c r="B21" s="17" t="s">
        <v>30</v>
      </c>
      <c r="C21" s="8">
        <v>2.3016999999999999</v>
      </c>
      <c r="D21" s="8">
        <f t="shared" si="0"/>
        <v>102.8441409090909</v>
      </c>
      <c r="E21" s="8">
        <v>70</v>
      </c>
      <c r="F21" s="8">
        <v>450.21955016905395</v>
      </c>
      <c r="G21" s="8">
        <v>1181.7379441728326</v>
      </c>
      <c r="H21" s="8">
        <v>1902.0761209323086</v>
      </c>
      <c r="I21" s="8">
        <v>193.75061220905661</v>
      </c>
      <c r="J21" s="8">
        <v>1367.7582883088203</v>
      </c>
      <c r="K21" s="8">
        <v>2144.4634149235972</v>
      </c>
    </row>
    <row r="22" spans="1:11" x14ac:dyDescent="0.3">
      <c r="A22" s="17">
        <f t="shared" si="1"/>
        <v>21</v>
      </c>
      <c r="B22" s="17" t="s">
        <v>31</v>
      </c>
      <c r="C22" s="8">
        <v>1.9186000000000001</v>
      </c>
      <c r="D22" s="8">
        <f t="shared" si="0"/>
        <v>85.726536363636384</v>
      </c>
      <c r="E22" s="8">
        <v>67.2</v>
      </c>
      <c r="F22" s="8">
        <v>438.58423523953394</v>
      </c>
      <c r="G22" s="8">
        <v>1180.4222411055707</v>
      </c>
      <c r="H22" s="8">
        <v>1900.7604178650465</v>
      </c>
      <c r="I22" s="8">
        <v>182.35486614910295</v>
      </c>
      <c r="J22" s="8">
        <v>1364.2428850107174</v>
      </c>
      <c r="K22" s="8">
        <v>2140.9480116254945</v>
      </c>
    </row>
    <row r="23" spans="1:11" x14ac:dyDescent="0.3">
      <c r="A23" s="17">
        <f t="shared" si="1"/>
        <v>22</v>
      </c>
      <c r="B23" s="17" t="s">
        <v>32</v>
      </c>
      <c r="C23" s="8">
        <v>2.2473000000000001</v>
      </c>
      <c r="D23" s="8">
        <f t="shared" si="0"/>
        <v>100.41345000000001</v>
      </c>
      <c r="E23" s="8">
        <v>64.900000000000006</v>
      </c>
      <c r="F23" s="8">
        <v>444.16875948584112</v>
      </c>
      <c r="G23" s="8">
        <v>1179.3414850146055</v>
      </c>
      <c r="H23" s="8">
        <v>1899.6796617740813</v>
      </c>
      <c r="I23" s="8">
        <v>191.78444450960092</v>
      </c>
      <c r="J23" s="8">
        <v>1365.8483824372024</v>
      </c>
      <c r="K23" s="8">
        <v>2142.5535090519793</v>
      </c>
    </row>
    <row r="24" spans="1:11" x14ac:dyDescent="0.3">
      <c r="A24" s="17">
        <f t="shared" si="1"/>
        <v>23</v>
      </c>
      <c r="B24" s="17" t="s">
        <v>33</v>
      </c>
      <c r="C24" s="8">
        <v>2.5880999999999998</v>
      </c>
      <c r="D24" s="8">
        <f t="shared" si="0"/>
        <v>115.64101363636362</v>
      </c>
      <c r="E24" s="8">
        <v>64.099999999999994</v>
      </c>
      <c r="F24" s="8">
        <v>451.4411419294255</v>
      </c>
      <c r="G24" s="8">
        <v>1178.9655698525305</v>
      </c>
      <c r="H24" s="8">
        <v>1899.3037466120063</v>
      </c>
      <c r="I24" s="8">
        <v>201.67840686207339</v>
      </c>
      <c r="J24" s="8">
        <v>1367.9883809858675</v>
      </c>
      <c r="K24" s="8">
        <v>2144.6935076006444</v>
      </c>
    </row>
    <row r="25" spans="1:11" x14ac:dyDescent="0.3">
      <c r="A25" s="17">
        <f t="shared" si="1"/>
        <v>24</v>
      </c>
      <c r="B25" s="17" t="s">
        <v>34</v>
      </c>
      <c r="C25" s="8">
        <v>2.5387</v>
      </c>
      <c r="D25" s="8">
        <f t="shared" si="0"/>
        <v>113.43373181818181</v>
      </c>
      <c r="E25" s="8">
        <v>63.2</v>
      </c>
      <c r="F25" s="8">
        <v>449.43666620280084</v>
      </c>
      <c r="G25" s="8">
        <v>1178.5426652951962</v>
      </c>
      <c r="H25" s="8">
        <v>1898.8808420546723</v>
      </c>
      <c r="I25" s="8">
        <v>200.16906560558238</v>
      </c>
      <c r="J25" s="8">
        <v>1367.3733929333321</v>
      </c>
      <c r="K25" s="8">
        <v>2144.0785195481089</v>
      </c>
    </row>
    <row r="26" spans="1:11" x14ac:dyDescent="0.3">
      <c r="A26" s="17">
        <f t="shared" si="1"/>
        <v>25</v>
      </c>
      <c r="B26" s="17" t="s">
        <v>35</v>
      </c>
      <c r="C26" s="8">
        <v>2.6655000000000002</v>
      </c>
      <c r="D26" s="8">
        <f t="shared" si="0"/>
        <v>119.09938636363637</v>
      </c>
      <c r="E26" s="8">
        <v>77.5</v>
      </c>
      <c r="F26" s="8">
        <v>509.73360600713715</v>
      </c>
      <c r="G26" s="8">
        <v>1139.5958749620686</v>
      </c>
      <c r="H26" s="8">
        <v>1862.4624570105034</v>
      </c>
      <c r="I26" s="8">
        <v>221.05908056705798</v>
      </c>
      <c r="J26" s="8">
        <v>1346.8984769248384</v>
      </c>
      <c r="K26" s="8">
        <v>2126.3298582536563</v>
      </c>
    </row>
    <row r="27" spans="1:11" x14ac:dyDescent="0.3">
      <c r="A27" s="17">
        <f t="shared" si="1"/>
        <v>26</v>
      </c>
      <c r="B27" s="17" t="s">
        <v>36</v>
      </c>
      <c r="C27" s="8">
        <v>5.0651000000000002</v>
      </c>
      <c r="D27" s="8">
        <f t="shared" si="0"/>
        <v>226.31787727272729</v>
      </c>
      <c r="E27" s="8">
        <v>69.8</v>
      </c>
      <c r="F27" s="8">
        <v>559.00545153180406</v>
      </c>
      <c r="G27" s="8">
        <v>1135.9776915270979</v>
      </c>
      <c r="H27" s="8">
        <v>1858.8442735755327</v>
      </c>
      <c r="I27" s="8">
        <v>290.57029107466656</v>
      </c>
      <c r="J27" s="8">
        <v>1361.3462366589233</v>
      </c>
      <c r="K27" s="8">
        <v>2140.777617987741</v>
      </c>
    </row>
    <row r="28" spans="1:11" x14ac:dyDescent="0.3">
      <c r="A28" s="17">
        <f t="shared" si="1"/>
        <v>27</v>
      </c>
      <c r="B28" s="17" t="s">
        <v>37</v>
      </c>
      <c r="C28" s="8">
        <v>2.5644999999999998</v>
      </c>
      <c r="D28" s="8">
        <f t="shared" si="0"/>
        <v>114.58652272727272</v>
      </c>
      <c r="E28" s="8">
        <v>67</v>
      </c>
      <c r="F28" s="8">
        <v>497.53497970890669</v>
      </c>
      <c r="G28" s="8">
        <v>1134.6619884598358</v>
      </c>
      <c r="H28" s="8">
        <v>1857.5285705082706</v>
      </c>
      <c r="I28" s="8">
        <v>217.33234641917144</v>
      </c>
      <c r="J28" s="8">
        <v>1343.0431369793714</v>
      </c>
      <c r="K28" s="8">
        <v>2122.4745183081895</v>
      </c>
    </row>
    <row r="29" spans="1:11" x14ac:dyDescent="0.3">
      <c r="A29" s="17">
        <f t="shared" si="1"/>
        <v>28</v>
      </c>
      <c r="B29" s="17" t="s">
        <v>38</v>
      </c>
      <c r="C29" s="8">
        <v>2.61</v>
      </c>
      <c r="D29" s="8">
        <f t="shared" si="0"/>
        <v>116.61954545454546</v>
      </c>
      <c r="E29" s="8">
        <v>66.5</v>
      </c>
      <c r="F29" s="8">
        <v>498.13812250018913</v>
      </c>
      <c r="G29" s="8">
        <v>1134.4270414835391</v>
      </c>
      <c r="H29" s="8">
        <v>1857.2936235319739</v>
      </c>
      <c r="I29" s="8">
        <v>218.62418705015</v>
      </c>
      <c r="J29" s="8">
        <v>1343.2108891330224</v>
      </c>
      <c r="K29" s="8">
        <v>2122.6422704618403</v>
      </c>
    </row>
    <row r="30" spans="1:11" x14ac:dyDescent="0.3">
      <c r="A30" s="17">
        <f t="shared" si="1"/>
        <v>29</v>
      </c>
      <c r="B30" s="17" t="s">
        <v>39</v>
      </c>
      <c r="C30" s="8">
        <v>2.8883999999999999</v>
      </c>
      <c r="D30" s="8">
        <f t="shared" si="0"/>
        <v>129.05896363636364</v>
      </c>
      <c r="E30" s="8">
        <v>72.2</v>
      </c>
      <c r="F30" s="8">
        <v>510.02196578214875</v>
      </c>
      <c r="G30" s="8">
        <v>1137.1054370133224</v>
      </c>
      <c r="H30" s="8">
        <v>1859.9720190617572</v>
      </c>
      <c r="I30" s="8">
        <v>227.17673939442335</v>
      </c>
      <c r="J30" s="8">
        <v>1346.8651132995374</v>
      </c>
      <c r="K30" s="8">
        <v>2126.296494628355</v>
      </c>
    </row>
    <row r="31" spans="1:11" x14ac:dyDescent="0.3">
      <c r="A31" s="17">
        <f t="shared" si="1"/>
        <v>30</v>
      </c>
      <c r="B31" s="17" t="s">
        <v>40</v>
      </c>
      <c r="C31" s="8">
        <v>3.2317999999999998</v>
      </c>
      <c r="D31" s="8">
        <f t="shared" si="0"/>
        <v>144.40269999999998</v>
      </c>
      <c r="E31" s="8">
        <v>74.2</v>
      </c>
      <c r="F31" s="8">
        <v>519.974632601331</v>
      </c>
      <c r="G31" s="8">
        <v>1138.0452249185098</v>
      </c>
      <c r="H31" s="8">
        <v>1860.9118069669446</v>
      </c>
      <c r="I31" s="8">
        <v>237.35383549723744</v>
      </c>
      <c r="J31" s="8">
        <v>1349.8632691141252</v>
      </c>
      <c r="K31" s="8">
        <v>2129.2946504429428</v>
      </c>
    </row>
    <row r="32" spans="1:11" x14ac:dyDescent="0.3">
      <c r="A32" s="17">
        <f t="shared" si="1"/>
        <v>31</v>
      </c>
      <c r="B32" s="17" t="s">
        <v>41</v>
      </c>
      <c r="C32" s="8">
        <v>3.8035999999999999</v>
      </c>
      <c r="D32" s="8">
        <f t="shared" si="0"/>
        <v>169.95176363636364</v>
      </c>
      <c r="E32" s="8">
        <v>75.400000000000006</v>
      </c>
      <c r="F32" s="8">
        <v>534.55435877799823</v>
      </c>
      <c r="G32" s="8">
        <v>1138.6090976616219</v>
      </c>
      <c r="H32" s="8">
        <v>1861.4756797100567</v>
      </c>
      <c r="I32" s="8">
        <v>254.14221951467809</v>
      </c>
      <c r="J32" s="8">
        <v>1354.2164709044025</v>
      </c>
      <c r="K32" s="8">
        <v>2133.6478522332204</v>
      </c>
    </row>
    <row r="33" spans="1:11" x14ac:dyDescent="0.3">
      <c r="A33" s="17">
        <f t="shared" si="1"/>
        <v>32</v>
      </c>
      <c r="B33" s="17" t="s">
        <v>42</v>
      </c>
      <c r="C33" s="8">
        <v>4.0486000000000004</v>
      </c>
      <c r="D33" s="8">
        <f t="shared" si="0"/>
        <v>180.89880909090911</v>
      </c>
      <c r="E33" s="8">
        <v>76.099999999999994</v>
      </c>
      <c r="F33" s="8">
        <v>540.97518339581598</v>
      </c>
      <c r="G33" s="8">
        <v>1138.9380234284376</v>
      </c>
      <c r="H33" s="8">
        <v>1861.8046054768724</v>
      </c>
      <c r="I33" s="8">
        <v>261.34931521994736</v>
      </c>
      <c r="J33" s="8">
        <v>1356.1374440394461</v>
      </c>
      <c r="K33" s="8">
        <v>2135.5688253682638</v>
      </c>
    </row>
    <row r="34" spans="1:11" x14ac:dyDescent="0.3">
      <c r="A34" s="17">
        <f t="shared" si="1"/>
        <v>33</v>
      </c>
      <c r="B34" s="17" t="s">
        <v>43</v>
      </c>
      <c r="C34" s="8">
        <v>5.1111000000000004</v>
      </c>
      <c r="D34" s="8">
        <f t="shared" si="0"/>
        <v>228.37324090909092</v>
      </c>
      <c r="E34" s="8">
        <v>74.400000000000006</v>
      </c>
      <c r="F34" s="8">
        <v>564.39085373992248</v>
      </c>
      <c r="G34" s="8">
        <v>1138.1392037090286</v>
      </c>
      <c r="H34" s="8">
        <v>1861.0057857574634</v>
      </c>
      <c r="I34" s="8">
        <v>292.25413434994158</v>
      </c>
      <c r="J34" s="8">
        <v>1363.0474805944825</v>
      </c>
      <c r="K34" s="8">
        <v>2142.4788619233004</v>
      </c>
    </row>
    <row r="35" spans="1:11" x14ac:dyDescent="0.3">
      <c r="A35" s="17">
        <f t="shared" si="1"/>
        <v>34</v>
      </c>
      <c r="B35" s="17" t="s">
        <v>44</v>
      </c>
      <c r="C35" s="8">
        <v>5.4779999999999998</v>
      </c>
      <c r="D35" s="8">
        <f t="shared" si="0"/>
        <v>244.76699999999997</v>
      </c>
      <c r="E35" s="8">
        <v>73.7</v>
      </c>
      <c r="F35" s="8">
        <v>572.371036207374</v>
      </c>
      <c r="G35" s="8">
        <v>1137.8102779422129</v>
      </c>
      <c r="H35" s="8">
        <v>1860.6768599906477</v>
      </c>
      <c r="I35" s="8">
        <v>302.91775473468965</v>
      </c>
      <c r="J35" s="8">
        <v>1365.399750158758</v>
      </c>
      <c r="K35" s="8">
        <v>2144.8311314875759</v>
      </c>
    </row>
    <row r="36" spans="1:11" x14ac:dyDescent="0.3">
      <c r="A36" s="17">
        <f t="shared" si="1"/>
        <v>35</v>
      </c>
      <c r="B36" s="17" t="s">
        <v>45</v>
      </c>
      <c r="C36" s="8">
        <v>5.0175999999999998</v>
      </c>
      <c r="D36" s="8">
        <f t="shared" si="0"/>
        <v>224.19549090909092</v>
      </c>
      <c r="E36" s="8">
        <v>70.599999999999994</v>
      </c>
      <c r="F36" s="8">
        <v>558.63585610915368</v>
      </c>
      <c r="G36" s="8">
        <v>1136.3536066891729</v>
      </c>
      <c r="H36" s="8">
        <v>1859.2201887376077</v>
      </c>
      <c r="I36" s="8">
        <v>289.24223986650208</v>
      </c>
      <c r="J36" s="8">
        <v>1361.2545173776393</v>
      </c>
      <c r="K36" s="8">
        <v>2140.685898706457</v>
      </c>
    </row>
    <row r="37" spans="1:11" x14ac:dyDescent="0.3">
      <c r="A37" s="17">
        <f t="shared" si="1"/>
        <v>36</v>
      </c>
      <c r="B37" s="17" t="s">
        <v>46</v>
      </c>
      <c r="C37" s="8">
        <v>3.7326999999999999</v>
      </c>
      <c r="D37" s="8">
        <f t="shared" si="0"/>
        <v>166.78382272727274</v>
      </c>
      <c r="E37" s="8">
        <v>73</v>
      </c>
      <c r="F37" s="8">
        <v>530.64079676682491</v>
      </c>
      <c r="G37" s="8">
        <v>1137.4813521753974</v>
      </c>
      <c r="H37" s="8">
        <v>1860.3479342238322</v>
      </c>
      <c r="I37" s="8">
        <v>251.89396455343893</v>
      </c>
      <c r="J37" s="8">
        <v>1353.0013362298123</v>
      </c>
      <c r="K37" s="8">
        <v>2132.43271755863</v>
      </c>
    </row>
    <row r="38" spans="1:11" x14ac:dyDescent="0.3">
      <c r="A38" s="17">
        <f t="shared" si="1"/>
        <v>37</v>
      </c>
      <c r="B38" s="17" t="s">
        <v>47</v>
      </c>
      <c r="C38" s="8">
        <v>4.3324999999999996</v>
      </c>
      <c r="D38" s="8">
        <f t="shared" si="0"/>
        <v>193.58397727272725</v>
      </c>
      <c r="E38" s="8">
        <v>74.7</v>
      </c>
      <c r="F38" s="8">
        <v>668.4925895182771</v>
      </c>
      <c r="G38" s="8">
        <v>1361.047825197094</v>
      </c>
      <c r="H38" s="8">
        <v>2195.7136879436976</v>
      </c>
      <c r="I38" s="8">
        <v>314.37513602889982</v>
      </c>
      <c r="J38" s="8">
        <v>1593.1824366772296</v>
      </c>
      <c r="K38" s="8">
        <v>2493.161468084445</v>
      </c>
    </row>
    <row r="39" spans="1:11" x14ac:dyDescent="0.3">
      <c r="A39" s="17">
        <f t="shared" si="1"/>
        <v>38</v>
      </c>
      <c r="B39" s="17" t="s">
        <v>48</v>
      </c>
      <c r="C39" s="8">
        <v>4.6577000000000002</v>
      </c>
      <c r="D39" s="8">
        <f t="shared" si="0"/>
        <v>208.11450454545457</v>
      </c>
      <c r="E39" s="8">
        <v>75</v>
      </c>
      <c r="F39" s="8">
        <v>676.42675711619495</v>
      </c>
      <c r="G39" s="8">
        <v>1361.1887933828721</v>
      </c>
      <c r="H39" s="8">
        <v>2195.8546561294756</v>
      </c>
      <c r="I39" s="8">
        <v>323.89489587932258</v>
      </c>
      <c r="J39" s="8">
        <v>1595.543491630357</v>
      </c>
      <c r="K39" s="8">
        <v>2495.5225230375727</v>
      </c>
    </row>
    <row r="40" spans="1:11" x14ac:dyDescent="0.3">
      <c r="A40" s="17">
        <f t="shared" si="1"/>
        <v>39</v>
      </c>
      <c r="B40" s="17" t="s">
        <v>49</v>
      </c>
      <c r="C40" s="8">
        <v>4.8838999999999997</v>
      </c>
      <c r="D40" s="8">
        <f t="shared" si="0"/>
        <v>218.2215318181818</v>
      </c>
      <c r="E40" s="8">
        <v>78.400000000000006</v>
      </c>
      <c r="F40" s="8">
        <v>684.93068012937931</v>
      </c>
      <c r="G40" s="8">
        <v>1362.7864328216904</v>
      </c>
      <c r="H40" s="8">
        <v>2197.4522955682942</v>
      </c>
      <c r="I40" s="8">
        <v>330.75273215904463</v>
      </c>
      <c r="J40" s="8">
        <v>1598.1431737656503</v>
      </c>
      <c r="K40" s="8">
        <v>2498.122205172866</v>
      </c>
    </row>
    <row r="41" spans="1:11" x14ac:dyDescent="0.3">
      <c r="A41" s="17">
        <f t="shared" si="1"/>
        <v>40</v>
      </c>
      <c r="B41" s="17" t="s">
        <v>50</v>
      </c>
      <c r="C41" s="8">
        <v>6.5305999999999997</v>
      </c>
      <c r="D41" s="8">
        <f t="shared" si="0"/>
        <v>291.79908181818183</v>
      </c>
      <c r="E41" s="8">
        <v>83.7</v>
      </c>
      <c r="F41" s="8">
        <v>728.64317481852743</v>
      </c>
      <c r="G41" s="8">
        <v>1365.2768707704365</v>
      </c>
      <c r="H41" s="8">
        <v>2199.9427335170399</v>
      </c>
      <c r="I41" s="8">
        <v>379.23728088503185</v>
      </c>
      <c r="J41" s="8">
        <v>1611.2330083022887</v>
      </c>
      <c r="K41" s="8">
        <v>2511.2120397095041</v>
      </c>
    </row>
    <row r="42" spans="1:11" x14ac:dyDescent="0.3">
      <c r="A42" s="17">
        <f t="shared" si="1"/>
        <v>41</v>
      </c>
      <c r="B42" s="17" t="s">
        <v>51</v>
      </c>
      <c r="C42" s="8">
        <v>8.1372999999999998</v>
      </c>
      <c r="D42" s="8">
        <f t="shared" si="0"/>
        <v>363.589359090909</v>
      </c>
      <c r="E42" s="8">
        <v>89.6</v>
      </c>
      <c r="F42" s="8">
        <v>771.97550774049478</v>
      </c>
      <c r="G42" s="8">
        <v>1368.0492450907386</v>
      </c>
      <c r="H42" s="8">
        <v>2202.7151078373422</v>
      </c>
      <c r="I42" s="8">
        <v>426.59801806730161</v>
      </c>
      <c r="J42" s="8">
        <v>1624.2235002862667</v>
      </c>
      <c r="K42" s="8">
        <v>2524.2025316934823</v>
      </c>
    </row>
    <row r="43" spans="1:11" x14ac:dyDescent="0.3">
      <c r="A43" s="17">
        <f t="shared" si="1"/>
        <v>42</v>
      </c>
      <c r="B43" s="17" t="s">
        <v>52</v>
      </c>
      <c r="C43" s="8">
        <v>7.6740000000000004</v>
      </c>
      <c r="D43" s="8">
        <f t="shared" si="0"/>
        <v>342.88827272727269</v>
      </c>
      <c r="E43" s="8">
        <v>94.1</v>
      </c>
      <c r="F43" s="8">
        <v>765.28104484286644</v>
      </c>
      <c r="G43" s="8">
        <v>1370.16376787741</v>
      </c>
      <c r="H43" s="8">
        <v>2204.8296306240136</v>
      </c>
      <c r="I43" s="8">
        <v>413.40020786219452</v>
      </c>
      <c r="J43" s="8">
        <v>1622.3380151700803</v>
      </c>
      <c r="K43" s="8">
        <v>2522.3170465772955</v>
      </c>
    </row>
    <row r="44" spans="1:11" x14ac:dyDescent="0.3">
      <c r="A44" s="17">
        <f t="shared" si="1"/>
        <v>43</v>
      </c>
      <c r="B44" s="17" t="s">
        <v>53</v>
      </c>
      <c r="C44" s="8">
        <v>7.2561</v>
      </c>
      <c r="D44" s="8">
        <f t="shared" si="0"/>
        <v>324.21574090909093</v>
      </c>
      <c r="E44" s="8">
        <v>95.1</v>
      </c>
      <c r="F44" s="8">
        <v>756.38119950188593</v>
      </c>
      <c r="G44" s="8">
        <v>1370.6336618300033</v>
      </c>
      <c r="H44" s="8">
        <v>2205.2995245766069</v>
      </c>
      <c r="I44" s="8">
        <v>401.26931775920673</v>
      </c>
      <c r="J44" s="8">
        <v>1619.719583851163</v>
      </c>
      <c r="K44" s="8">
        <v>2519.6986152583786</v>
      </c>
    </row>
    <row r="45" spans="1:11" x14ac:dyDescent="0.3">
      <c r="A45" s="17">
        <f t="shared" si="1"/>
        <v>44</v>
      </c>
      <c r="B45" s="17" t="s">
        <v>54</v>
      </c>
      <c r="C45" s="8">
        <v>8.7853999999999992</v>
      </c>
      <c r="D45" s="8">
        <f t="shared" si="0"/>
        <v>392.54764545454543</v>
      </c>
      <c r="E45" s="8">
        <v>92.2</v>
      </c>
      <c r="F45" s="8">
        <v>789.66049382255414</v>
      </c>
      <c r="G45" s="8">
        <v>1369.2709693674819</v>
      </c>
      <c r="H45" s="8">
        <v>2203.9368321140855</v>
      </c>
      <c r="I45" s="8">
        <v>445.71836560438328</v>
      </c>
      <c r="J45" s="8">
        <v>1629.5295479957435</v>
      </c>
      <c r="K45" s="8">
        <v>2529.5085794029592</v>
      </c>
    </row>
    <row r="46" spans="1:11" x14ac:dyDescent="0.3">
      <c r="A46" s="17">
        <f t="shared" si="1"/>
        <v>45</v>
      </c>
      <c r="B46" s="17" t="s">
        <v>55</v>
      </c>
      <c r="C46" s="8">
        <v>7.7629000000000001</v>
      </c>
      <c r="D46" s="8">
        <f t="shared" si="0"/>
        <v>346.86048636363637</v>
      </c>
      <c r="E46" s="8">
        <v>86.1</v>
      </c>
      <c r="F46" s="8">
        <v>759.89017305920186</v>
      </c>
      <c r="G46" s="8">
        <v>1366.404616256661</v>
      </c>
      <c r="H46" s="8">
        <v>2201.0704790032646</v>
      </c>
      <c r="I46" s="8">
        <v>415.40455801810657</v>
      </c>
      <c r="J46" s="8">
        <v>1620.5588539933674</v>
      </c>
      <c r="K46" s="8">
        <v>2520.537885400583</v>
      </c>
    </row>
    <row r="47" spans="1:11" x14ac:dyDescent="0.3">
      <c r="A47" s="17">
        <f t="shared" si="1"/>
        <v>46</v>
      </c>
      <c r="B47" s="17" t="s">
        <v>56</v>
      </c>
      <c r="C47" s="8">
        <v>5.6195000000000004</v>
      </c>
      <c r="D47" s="8">
        <f t="shared" si="0"/>
        <v>251.08947727272727</v>
      </c>
      <c r="E47" s="8">
        <v>83.1</v>
      </c>
      <c r="F47" s="8">
        <v>706.639290436338</v>
      </c>
      <c r="G47" s="8">
        <v>1364.9949343988803</v>
      </c>
      <c r="H47" s="8">
        <v>2199.6607971454841</v>
      </c>
      <c r="I47" s="8">
        <v>352.58394244800809</v>
      </c>
      <c r="J47" s="8">
        <v>1604.6902833090712</v>
      </c>
      <c r="K47" s="8">
        <v>2504.6693147162869</v>
      </c>
    </row>
    <row r="48" spans="1:11" x14ac:dyDescent="0.3">
      <c r="A48" s="17">
        <f t="shared" si="1"/>
        <v>47</v>
      </c>
      <c r="B48" s="17" t="s">
        <v>57</v>
      </c>
      <c r="C48" s="8">
        <v>5.2769000000000004</v>
      </c>
      <c r="D48" s="8">
        <f t="shared" si="0"/>
        <v>235.78148636363636</v>
      </c>
      <c r="E48" s="8">
        <v>86.3</v>
      </c>
      <c r="F48" s="8">
        <v>701.56948256300689</v>
      </c>
      <c r="G48" s="8">
        <v>1366.4985950471798</v>
      </c>
      <c r="H48" s="8">
        <v>2201.1644577937832</v>
      </c>
      <c r="I48" s="8">
        <v>342.81501057606835</v>
      </c>
      <c r="J48" s="8">
        <v>1603.2577143455367</v>
      </c>
      <c r="K48" s="8">
        <v>2503.2367457527521</v>
      </c>
    </row>
    <row r="49" spans="3:3" x14ac:dyDescent="0.3">
      <c r="C49" s="8"/>
    </row>
    <row r="50" spans="3:3" x14ac:dyDescent="0.3">
      <c r="C50" s="8"/>
    </row>
    <row r="51" spans="3:3" x14ac:dyDescent="0.3">
      <c r="C51" s="8"/>
    </row>
    <row r="52" spans="3:3" x14ac:dyDescent="0.3">
      <c r="C52" s="8"/>
    </row>
    <row r="53" spans="3:3" x14ac:dyDescent="0.3">
      <c r="C53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99D41-EC54-4A9B-8F6F-871BB4D178AD}">
  <dimension ref="A1:K17"/>
  <sheetViews>
    <sheetView workbookViewId="0">
      <selection activeCell="I36" sqref="I36"/>
    </sheetView>
  </sheetViews>
  <sheetFormatPr defaultRowHeight="14.4" x14ac:dyDescent="0.3"/>
  <cols>
    <col min="2" max="8" width="9.5546875" bestFit="1" customWidth="1"/>
    <col min="9" max="9" width="11" bestFit="1" customWidth="1"/>
    <col min="10" max="11" width="9.5546875" bestFit="1" customWidth="1"/>
  </cols>
  <sheetData>
    <row r="1" spans="1:11" x14ac:dyDescent="0.3">
      <c r="A1" s="19" t="s">
        <v>78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64</v>
      </c>
      <c r="H1" s="19" t="s">
        <v>6</v>
      </c>
      <c r="I1" s="19" t="s">
        <v>63</v>
      </c>
      <c r="J1" s="19" t="s">
        <v>10</v>
      </c>
      <c r="K1" s="19" t="s">
        <v>77</v>
      </c>
    </row>
    <row r="2" spans="1:11" x14ac:dyDescent="0.3">
      <c r="A2" s="19">
        <v>2019</v>
      </c>
      <c r="B2" s="20">
        <f>6.634081</f>
        <v>6.6340810000000001</v>
      </c>
      <c r="C2" s="20">
        <v>0.72824900000000004</v>
      </c>
      <c r="D2" s="20">
        <v>0.71628599999999998</v>
      </c>
      <c r="E2" s="20">
        <v>8.7096420000000006</v>
      </c>
      <c r="F2" s="20">
        <v>0.65677099999999999</v>
      </c>
      <c r="G2" s="20">
        <v>1.864012</v>
      </c>
      <c r="H2" s="20">
        <v>0.61297199999999996</v>
      </c>
      <c r="I2" s="20">
        <v>0.778559</v>
      </c>
      <c r="J2" s="20">
        <v>0.65978700000000001</v>
      </c>
      <c r="K2" s="20">
        <v>1</v>
      </c>
    </row>
    <row r="3" spans="1:11" x14ac:dyDescent="0.3">
      <c r="A3" s="19">
        <v>2020</v>
      </c>
      <c r="B3" s="20">
        <v>6.551107</v>
      </c>
      <c r="C3" s="20">
        <v>0.72500200000000004</v>
      </c>
      <c r="D3" s="20">
        <v>0.71035999999999999</v>
      </c>
      <c r="E3" s="20">
        <v>8.6684830000000002</v>
      </c>
      <c r="F3" s="20">
        <v>0.64770899999999998</v>
      </c>
      <c r="G3" s="20">
        <v>2.1642000000000001</v>
      </c>
      <c r="H3" s="20">
        <v>0.62133700000000003</v>
      </c>
      <c r="I3" s="20">
        <v>0.76339699999999999</v>
      </c>
      <c r="J3" s="20">
        <v>0.65510699999999999</v>
      </c>
      <c r="K3" s="20">
        <v>1</v>
      </c>
    </row>
    <row r="4" spans="1:11" x14ac:dyDescent="0.3">
      <c r="A4" s="19">
        <v>2021</v>
      </c>
      <c r="B4" s="20">
        <v>6.5898079999999997</v>
      </c>
      <c r="C4" s="20">
        <v>0.73627699999999996</v>
      </c>
      <c r="D4" s="20">
        <v>0.71866699999999994</v>
      </c>
      <c r="E4" s="20">
        <v>8.7215480000000003</v>
      </c>
      <c r="F4" s="20">
        <v>0.64754</v>
      </c>
      <c r="G4" s="20">
        <v>2.8078789999999998</v>
      </c>
      <c r="H4" s="20">
        <v>0.62594899999999998</v>
      </c>
      <c r="I4" s="20">
        <v>0.76996399999999998</v>
      </c>
      <c r="J4" s="20">
        <v>0.66314600000000001</v>
      </c>
      <c r="K4" s="20">
        <v>1</v>
      </c>
    </row>
    <row r="5" spans="1:11" x14ac:dyDescent="0.3">
      <c r="A5" s="19">
        <v>2022</v>
      </c>
      <c r="B5" s="20">
        <v>6.3198100000000004</v>
      </c>
      <c r="C5" s="20">
        <v>0.71994400000000003</v>
      </c>
      <c r="D5" s="20">
        <v>0.69275600000000004</v>
      </c>
      <c r="E5" s="20">
        <v>8.6662189999999999</v>
      </c>
      <c r="F5" s="20">
        <v>0.61741999999999997</v>
      </c>
      <c r="G5" s="20">
        <v>5.0353880000000002</v>
      </c>
      <c r="H5" s="20">
        <v>0.59621500000000005</v>
      </c>
      <c r="I5" s="20">
        <v>0.749166</v>
      </c>
      <c r="J5" s="20">
        <v>0.64850399999999997</v>
      </c>
      <c r="K5" s="20">
        <v>1</v>
      </c>
    </row>
    <row r="7" spans="1:11" x14ac:dyDescent="0.3">
      <c r="A7" s="19" t="s">
        <v>78</v>
      </c>
      <c r="B7" s="19" t="s">
        <v>1</v>
      </c>
      <c r="C7" s="19" t="s">
        <v>2</v>
      </c>
      <c r="D7" s="19" t="s">
        <v>3</v>
      </c>
      <c r="E7" s="19" t="s">
        <v>4</v>
      </c>
      <c r="F7" s="19" t="s">
        <v>5</v>
      </c>
      <c r="G7" s="19" t="s">
        <v>64</v>
      </c>
      <c r="H7" s="19" t="s">
        <v>6</v>
      </c>
      <c r="I7" s="19" t="s">
        <v>63</v>
      </c>
      <c r="J7" s="19" t="s">
        <v>10</v>
      </c>
      <c r="K7" s="19" t="s">
        <v>77</v>
      </c>
    </row>
    <row r="8" spans="1:11" x14ac:dyDescent="0.3">
      <c r="A8" s="19">
        <v>2019</v>
      </c>
      <c r="B8" s="20">
        <v>6.6694469999999999</v>
      </c>
      <c r="C8" s="20">
        <v>0.89327599999999996</v>
      </c>
      <c r="D8" s="20">
        <v>0.89327599999999996</v>
      </c>
      <c r="E8" s="20">
        <v>9.4583490000000001</v>
      </c>
      <c r="F8" s="20">
        <v>0.89327599999999996</v>
      </c>
      <c r="G8" s="20">
        <v>5.6738189999999999</v>
      </c>
      <c r="H8" s="20">
        <v>0.89327599999999996</v>
      </c>
      <c r="I8" s="20">
        <v>0.89327599999999996</v>
      </c>
      <c r="J8" s="20">
        <v>0.89327599999999996</v>
      </c>
      <c r="K8" s="20">
        <v>1</v>
      </c>
    </row>
    <row r="9" spans="1:11" x14ac:dyDescent="0.3">
      <c r="A9" s="19">
        <v>2020</v>
      </c>
      <c r="B9" s="20">
        <v>6.5421519999999997</v>
      </c>
      <c r="C9" s="20">
        <v>0.87550600000000001</v>
      </c>
      <c r="D9" s="20">
        <v>0.87550600000000001</v>
      </c>
      <c r="E9" s="20">
        <v>9.2103090000000005</v>
      </c>
      <c r="F9" s="20">
        <v>0.87550600000000001</v>
      </c>
      <c r="G9" s="20">
        <v>7.0086050000000002</v>
      </c>
      <c r="H9" s="20">
        <v>0.87550600000000001</v>
      </c>
      <c r="I9" s="20">
        <v>0.87550600000000001</v>
      </c>
      <c r="J9" s="20">
        <v>0.87550600000000001</v>
      </c>
      <c r="K9" s="20">
        <v>1</v>
      </c>
    </row>
    <row r="10" spans="1:11" x14ac:dyDescent="0.3">
      <c r="A10" s="19">
        <v>2021</v>
      </c>
      <c r="B10" s="20">
        <v>6.2871129999999997</v>
      </c>
      <c r="C10" s="20">
        <v>0.84549399999999997</v>
      </c>
      <c r="D10" s="20">
        <v>0.84549399999999997</v>
      </c>
      <c r="E10" s="20">
        <v>8.5765670000000007</v>
      </c>
      <c r="F10" s="20">
        <v>0.84549399999999997</v>
      </c>
      <c r="G10" s="20">
        <v>8.8504079999999998</v>
      </c>
      <c r="H10" s="20">
        <v>0.84549399999999997</v>
      </c>
      <c r="I10" s="20">
        <v>0.84549399999999997</v>
      </c>
      <c r="J10" s="20">
        <v>0.84549399999999997</v>
      </c>
      <c r="K10" s="20">
        <v>1</v>
      </c>
    </row>
    <row r="11" spans="1:11" x14ac:dyDescent="0.3">
      <c r="A11" s="19">
        <v>2022</v>
      </c>
      <c r="B11" s="20">
        <v>7.1448039999999997</v>
      </c>
      <c r="C11" s="20">
        <v>0.94962400000000002</v>
      </c>
      <c r="D11" s="20">
        <v>0.94962400000000002</v>
      </c>
      <c r="E11" s="20">
        <v>10.114250999999999</v>
      </c>
      <c r="F11" s="20">
        <v>0.94962400000000002</v>
      </c>
      <c r="G11" s="20">
        <v>8.8504079999999998</v>
      </c>
      <c r="H11" s="20">
        <v>0.94962400000000002</v>
      </c>
      <c r="I11" s="20">
        <v>0.94962400000000002</v>
      </c>
      <c r="J11" s="20">
        <v>0.94962400000000002</v>
      </c>
      <c r="K11" s="20">
        <v>1</v>
      </c>
    </row>
    <row r="12" spans="1:11" x14ac:dyDescent="0.3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 spans="1:11" x14ac:dyDescent="0.3">
      <c r="A13" s="19" t="s">
        <v>79</v>
      </c>
      <c r="B13" s="19" t="s">
        <v>1</v>
      </c>
      <c r="C13" s="19" t="s">
        <v>2</v>
      </c>
      <c r="D13" s="19" t="s">
        <v>3</v>
      </c>
      <c r="E13" s="19" t="s">
        <v>4</v>
      </c>
      <c r="F13" s="19" t="s">
        <v>5</v>
      </c>
      <c r="G13" s="19" t="s">
        <v>64</v>
      </c>
      <c r="H13" s="19" t="s">
        <v>6</v>
      </c>
      <c r="I13" s="19" t="s">
        <v>63</v>
      </c>
      <c r="J13" s="19" t="s">
        <v>10</v>
      </c>
      <c r="K13" s="19" t="s">
        <v>77</v>
      </c>
    </row>
    <row r="14" spans="1:11" x14ac:dyDescent="0.3">
      <c r="A14" s="19">
        <v>2019</v>
      </c>
      <c r="B14" s="20">
        <f>B2/B8</f>
        <v>0.99469731148624474</v>
      </c>
      <c r="C14" s="20">
        <f t="shared" ref="C14:K14" si="0">C2/C8</f>
        <v>0.81525642690501043</v>
      </c>
      <c r="D14" s="20">
        <f t="shared" si="0"/>
        <v>0.80186414949019114</v>
      </c>
      <c r="E14" s="20">
        <f t="shared" si="0"/>
        <v>0.92084168177765491</v>
      </c>
      <c r="F14" s="20">
        <f t="shared" si="0"/>
        <v>0.73523860486568549</v>
      </c>
      <c r="G14" s="20">
        <f t="shared" si="0"/>
        <v>0.32852863300715091</v>
      </c>
      <c r="H14" s="20">
        <f t="shared" si="0"/>
        <v>0.68620672670037031</v>
      </c>
      <c r="I14" s="20">
        <f t="shared" si="0"/>
        <v>0.87157720570126151</v>
      </c>
      <c r="J14" s="20">
        <f t="shared" si="0"/>
        <v>0.73861494095889746</v>
      </c>
      <c r="K14" s="20">
        <f t="shared" si="0"/>
        <v>1</v>
      </c>
    </row>
    <row r="15" spans="1:11" x14ac:dyDescent="0.3">
      <c r="A15" s="19">
        <v>2020</v>
      </c>
      <c r="B15" s="20">
        <f t="shared" ref="B15:K17" si="1">B3/B9</f>
        <v>1.0013688156435374</v>
      </c>
      <c r="C15" s="20">
        <f t="shared" si="1"/>
        <v>0.82809483887032187</v>
      </c>
      <c r="D15" s="20">
        <f t="shared" si="1"/>
        <v>0.81137079585976568</v>
      </c>
      <c r="E15" s="20">
        <f t="shared" si="1"/>
        <v>0.94117178913324184</v>
      </c>
      <c r="F15" s="20">
        <f t="shared" si="1"/>
        <v>0.73981103499005141</v>
      </c>
      <c r="G15" s="20">
        <f t="shared" si="1"/>
        <v>0.30879183517975406</v>
      </c>
      <c r="H15" s="20">
        <f t="shared" si="1"/>
        <v>0.70968902554636981</v>
      </c>
      <c r="I15" s="20">
        <f t="shared" si="1"/>
        <v>0.87194947835880054</v>
      </c>
      <c r="J15" s="20">
        <f t="shared" si="1"/>
        <v>0.74826100563559816</v>
      </c>
      <c r="K15" s="20">
        <f t="shared" si="1"/>
        <v>1</v>
      </c>
    </row>
    <row r="16" spans="1:11" x14ac:dyDescent="0.3">
      <c r="A16" s="19">
        <v>2021</v>
      </c>
      <c r="B16" s="20">
        <f t="shared" si="1"/>
        <v>1.0481453093017414</v>
      </c>
      <c r="C16" s="20">
        <f t="shared" si="1"/>
        <v>0.87082463033445534</v>
      </c>
      <c r="D16" s="20">
        <f t="shared" si="1"/>
        <v>0.84999657005253726</v>
      </c>
      <c r="E16" s="20">
        <f t="shared" si="1"/>
        <v>1.0169043161442102</v>
      </c>
      <c r="F16" s="20">
        <f t="shared" si="1"/>
        <v>0.76587178619836449</v>
      </c>
      <c r="G16" s="20">
        <f t="shared" si="1"/>
        <v>0.31725983706061911</v>
      </c>
      <c r="H16" s="20">
        <f t="shared" si="1"/>
        <v>0.74033523596855799</v>
      </c>
      <c r="I16" s="20">
        <f t="shared" si="1"/>
        <v>0.91066760970509553</v>
      </c>
      <c r="J16" s="20">
        <f t="shared" si="1"/>
        <v>0.78432963450952942</v>
      </c>
      <c r="K16" s="20">
        <f t="shared" si="1"/>
        <v>1</v>
      </c>
    </row>
    <row r="17" spans="1:11" x14ac:dyDescent="0.3">
      <c r="A17" s="19">
        <v>2022</v>
      </c>
      <c r="B17" s="20">
        <f t="shared" si="1"/>
        <v>0.88453231187307602</v>
      </c>
      <c r="C17" s="20">
        <f t="shared" si="1"/>
        <v>0.75813585166339525</v>
      </c>
      <c r="D17" s="20">
        <f t="shared" si="1"/>
        <v>0.7295055727319445</v>
      </c>
      <c r="E17" s="20">
        <f t="shared" si="1"/>
        <v>0.85683250297031388</v>
      </c>
      <c r="F17" s="20">
        <f t="shared" si="1"/>
        <v>0.65017312115110815</v>
      </c>
      <c r="G17" s="20">
        <f t="shared" si="1"/>
        <v>0.56894416618985255</v>
      </c>
      <c r="H17" s="20">
        <f t="shared" si="1"/>
        <v>0.62784323058389424</v>
      </c>
      <c r="I17" s="20">
        <f t="shared" si="1"/>
        <v>0.78890803096804629</v>
      </c>
      <c r="J17" s="20">
        <f t="shared" si="1"/>
        <v>0.6829060765102819</v>
      </c>
      <c r="K17" s="20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Wind LCOH countries</vt:lpstr>
      <vt:lpstr>Solar LCOH countries</vt:lpstr>
      <vt:lpstr>Wind LCOH 2022</vt:lpstr>
      <vt:lpstr>Solar LCOH 2022</vt:lpstr>
      <vt:lpstr>Grid electricity prices</vt:lpstr>
      <vt:lpstr>BAU ammonia</vt:lpstr>
      <vt:lpstr>Wind ammonia</vt:lpstr>
      <vt:lpstr>Solar ammonia</vt:lpstr>
      <vt:lpstr>BAU methanol</vt:lpstr>
      <vt:lpstr>Wind methanol</vt:lpstr>
      <vt:lpstr>Solar methanol</vt:lpstr>
      <vt:lpstr>US</vt:lpstr>
      <vt:lpstr>PPP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2023-05-15T07:04:23Z</dcterms:created>
  <dcterms:modified xsi:type="dcterms:W3CDTF">2023-06-01T11:13:56Z</dcterms:modified>
</cp:coreProperties>
</file>