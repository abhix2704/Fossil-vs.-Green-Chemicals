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 chemicals\"/>
    </mc:Choice>
  </mc:AlternateContent>
  <xr:revisionPtr revIDLastSave="0" documentId="13_ncr:1_{8D8BEACE-9DFE-43CC-A259-E1141F1A0BCB}" xr6:coauthVersionLast="47" xr6:coauthVersionMax="47" xr10:uidLastSave="{00000000-0000-0000-0000-000000000000}"/>
  <bookViews>
    <workbookView xWindow="-108" yWindow="-108" windowWidth="30936" windowHeight="16896" xr2:uid="{E85F0067-C087-4B93-B00D-B1D7B046B9DC}"/>
  </bookViews>
  <sheets>
    <sheet name="Prices" sheetId="1" r:id="rId1"/>
    <sheet name="Total requir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D4" i="2" s="1"/>
  <c r="C3" i="2"/>
  <c r="D3" i="2" s="1"/>
  <c r="F3" i="2" l="1"/>
  <c r="D5" i="2"/>
  <c r="E3" i="2"/>
  <c r="F4" i="2"/>
  <c r="E4" i="2"/>
  <c r="E5" i="2" l="1"/>
  <c r="F5" i="2"/>
  <c r="C9" i="2" s="1"/>
  <c r="E38" i="1" l="1"/>
  <c r="E32" i="1"/>
  <c r="E26" i="1"/>
  <c r="E20" i="1"/>
  <c r="E14" i="1"/>
  <c r="E8" i="1"/>
  <c r="E2" i="1"/>
  <c r="D38" i="1"/>
  <c r="D32" i="1"/>
  <c r="D26" i="1"/>
  <c r="D20" i="1"/>
  <c r="D14" i="1"/>
  <c r="D8" i="1"/>
  <c r="D2" i="1"/>
  <c r="G38" i="1"/>
  <c r="G32" i="1"/>
  <c r="G26" i="1"/>
  <c r="G20" i="1"/>
  <c r="G14" i="1"/>
  <c r="G8" i="1"/>
  <c r="G2" i="1"/>
  <c r="F38" i="1"/>
  <c r="F32" i="1"/>
  <c r="F26" i="1"/>
  <c r="F20" i="1"/>
  <c r="F14" i="1"/>
  <c r="F8" i="1"/>
  <c r="F2" i="1"/>
</calcChain>
</file>

<file path=xl/sharedStrings.xml><?xml version="1.0" encoding="utf-8"?>
<sst xmlns="http://schemas.openxmlformats.org/spreadsheetml/2006/main" count="63" uniqueCount="63">
  <si>
    <t>Time</t>
  </si>
  <si>
    <t>Jan '19</t>
  </si>
  <si>
    <t>Feb '19</t>
  </si>
  <si>
    <t>Mar '19</t>
  </si>
  <si>
    <t>Apr '19</t>
  </si>
  <si>
    <t>May '19</t>
  </si>
  <si>
    <t>Jun '19</t>
  </si>
  <si>
    <t>Jul '19</t>
  </si>
  <si>
    <t>Aug '19</t>
  </si>
  <si>
    <t>Sep '19</t>
  </si>
  <si>
    <t>Oct '19</t>
  </si>
  <si>
    <t>Nov '19</t>
  </si>
  <si>
    <t>Dec '19</t>
  </si>
  <si>
    <t>Jan '20</t>
  </si>
  <si>
    <t>Feb '20</t>
  </si>
  <si>
    <t>Mar '20</t>
  </si>
  <si>
    <t>Apr '20</t>
  </si>
  <si>
    <t>May '20</t>
  </si>
  <si>
    <t>Jun '20</t>
  </si>
  <si>
    <t>Jul '20</t>
  </si>
  <si>
    <t>Aug '20</t>
  </si>
  <si>
    <t>Sep '20</t>
  </si>
  <si>
    <t>Oct '20</t>
  </si>
  <si>
    <t>Nov '20</t>
  </si>
  <si>
    <t>Dec '20</t>
  </si>
  <si>
    <t>Jan '21</t>
  </si>
  <si>
    <t>Feb '21</t>
  </si>
  <si>
    <t>Mar '21</t>
  </si>
  <si>
    <t>Apr '21</t>
  </si>
  <si>
    <t>May '21</t>
  </si>
  <si>
    <t>Jun '21</t>
  </si>
  <si>
    <t>Jul '21</t>
  </si>
  <si>
    <t>Aug '21</t>
  </si>
  <si>
    <t>Sep '21</t>
  </si>
  <si>
    <t>Oct '21</t>
  </si>
  <si>
    <t>Nov '21</t>
  </si>
  <si>
    <t>Dec '21</t>
  </si>
  <si>
    <t>Jan '22</t>
  </si>
  <si>
    <t>Feb '22</t>
  </si>
  <si>
    <t>Mar '22</t>
  </si>
  <si>
    <t>Apr '22</t>
  </si>
  <si>
    <t>May '22</t>
  </si>
  <si>
    <t>Jun '22</t>
  </si>
  <si>
    <t>Jul '22</t>
  </si>
  <si>
    <t>Aug '22</t>
  </si>
  <si>
    <t>Sep '22</t>
  </si>
  <si>
    <t>World Bank</t>
  </si>
  <si>
    <t>Trading economics</t>
  </si>
  <si>
    <t>Eurostat (household, without taxes)</t>
  </si>
  <si>
    <t>Eurostat (household, with taxes)</t>
  </si>
  <si>
    <t>Eurostat (non-household, without taxes)</t>
  </si>
  <si>
    <t>Eurostat (non-household, with taxes)</t>
  </si>
  <si>
    <t>Ammonia</t>
  </si>
  <si>
    <t>NG kg/kg ammonia</t>
  </si>
  <si>
    <t>Demand (kg)</t>
  </si>
  <si>
    <t>NG required (kg)</t>
  </si>
  <si>
    <t>NG (bcm)</t>
  </si>
  <si>
    <t>Methanol</t>
  </si>
  <si>
    <t>Total</t>
  </si>
  <si>
    <t>NG (Mt)</t>
  </si>
  <si>
    <t>Europe consumption 2021</t>
  </si>
  <si>
    <t>bcm</t>
  </si>
  <si>
    <t>%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</si>
</sst>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view/NRG_PC_202/default/table?lang=en&amp;category=nrg.nrg_price.nrg_pc" TargetMode="External"/><Relationship Id="rId2" Type="http://schemas.openxmlformats.org/officeDocument/2006/relationships/hyperlink" Target="https://tradingeconomics.com/commodity/eu-natural-gas" TargetMode="External"/><Relationship Id="rId1" Type="http://schemas.openxmlformats.org/officeDocument/2006/relationships/hyperlink" Target="https://www.statista.com/statistics/673333/monthly-prices-for-natural-gas-in-the-united-states-and-europe/" TargetMode="External"/><Relationship Id="rId6" Type="http://schemas.openxmlformats.org/officeDocument/2006/relationships/hyperlink" Target="https://ec.europa.eu/eurostat/databrowser/view/NRG_PC_202/default/table?lang=en&amp;category=nrg.nrg_price.nrg_pc" TargetMode="External"/><Relationship Id="rId5" Type="http://schemas.openxmlformats.org/officeDocument/2006/relationships/hyperlink" Target="https://ec.europa.eu/eurostat/databrowser/view/NRG_PC_203__custom_4059712/default/table?lang=en" TargetMode="External"/><Relationship Id="rId4" Type="http://schemas.openxmlformats.org/officeDocument/2006/relationships/hyperlink" Target="https://ec.europa.eu/eurostat/databrowser/view/NRG_PC_203__custom_4059712/default/table?lang=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6F39-2D84-44B5-A260-9F14BE6B91CD}">
  <dimension ref="A1:G46"/>
  <sheetViews>
    <sheetView tabSelected="1" zoomScale="130" zoomScaleNormal="130" workbookViewId="0">
      <selection activeCell="B1" sqref="B1"/>
    </sheetView>
  </sheetViews>
  <sheetFormatPr defaultRowHeight="15" x14ac:dyDescent="0.25"/>
  <cols>
    <col min="1" max="1" width="8.85546875" style="1"/>
    <col min="2" max="2" width="10.7109375" bestFit="1" customWidth="1"/>
    <col min="3" max="3" width="16.7109375" bestFit="1" customWidth="1"/>
    <col min="4" max="4" width="30.42578125" hidden="1" customWidth="1"/>
    <col min="5" max="5" width="27.5703125" hidden="1" customWidth="1"/>
    <col min="6" max="6" width="34.28515625" bestFit="1" customWidth="1"/>
    <col min="7" max="7" width="31.42578125" bestFit="1" customWidth="1"/>
    <col min="8" max="8" width="12" bestFit="1" customWidth="1"/>
    <col min="9" max="9" width="10" bestFit="1" customWidth="1"/>
  </cols>
  <sheetData>
    <row r="1" spans="1:7" x14ac:dyDescent="0.25">
      <c r="A1" s="1" t="s">
        <v>0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</row>
    <row r="2" spans="1:7" x14ac:dyDescent="0.25">
      <c r="A2" s="1" t="s">
        <v>1</v>
      </c>
      <c r="B2" s="3">
        <v>326.17727272727274</v>
      </c>
      <c r="C2" s="3">
        <v>260.03500000000003</v>
      </c>
      <c r="D2" s="9">
        <f>45.7*13.1</f>
        <v>598.67000000000007</v>
      </c>
      <c r="E2" s="9">
        <f>66.9*13.1</f>
        <v>876.3900000000001</v>
      </c>
      <c r="F2" s="9">
        <f>28.4*13.1</f>
        <v>372.03999999999996</v>
      </c>
      <c r="G2" s="9">
        <f>39.8*13.1</f>
        <v>521.38</v>
      </c>
    </row>
    <row r="3" spans="1:7" x14ac:dyDescent="0.25">
      <c r="A3" s="1" t="s">
        <v>2</v>
      </c>
      <c r="B3" s="3">
        <v>268.5377272727273</v>
      </c>
      <c r="C3" s="3">
        <v>233.31099999999998</v>
      </c>
      <c r="D3" s="9"/>
      <c r="E3" s="9"/>
      <c r="F3" s="9"/>
      <c r="G3" s="9"/>
    </row>
    <row r="4" spans="1:7" x14ac:dyDescent="0.25">
      <c r="A4" s="1" t="s">
        <v>3</v>
      </c>
      <c r="B4" s="3">
        <v>231.45181818181817</v>
      </c>
      <c r="C4" s="3">
        <v>186.15100000000001</v>
      </c>
      <c r="D4" s="9"/>
      <c r="E4" s="9"/>
      <c r="F4" s="9"/>
      <c r="G4" s="9"/>
    </row>
    <row r="5" spans="1:7" x14ac:dyDescent="0.25">
      <c r="A5" s="1" t="s">
        <v>4</v>
      </c>
      <c r="B5" s="3">
        <v>219.83454545454546</v>
      </c>
      <c r="C5" s="3">
        <v>188.50900000000001</v>
      </c>
      <c r="D5" s="9"/>
      <c r="E5" s="9"/>
      <c r="F5" s="9"/>
      <c r="G5" s="9"/>
    </row>
    <row r="6" spans="1:7" x14ac:dyDescent="0.25">
      <c r="A6" s="1" t="s">
        <v>5</v>
      </c>
      <c r="B6" s="3">
        <v>193.9190909090909</v>
      </c>
      <c r="C6" s="3">
        <v>146.851</v>
      </c>
      <c r="D6" s="9"/>
      <c r="E6" s="9"/>
      <c r="F6" s="9"/>
      <c r="G6" s="9"/>
    </row>
    <row r="7" spans="1:7" x14ac:dyDescent="0.25">
      <c r="A7" s="1" t="s">
        <v>6</v>
      </c>
      <c r="B7" s="3">
        <v>160.40772727272727</v>
      </c>
      <c r="C7" s="3">
        <v>132.57199999999997</v>
      </c>
      <c r="D7" s="9"/>
      <c r="E7" s="9"/>
      <c r="F7" s="9"/>
      <c r="G7" s="9"/>
    </row>
    <row r="8" spans="1:7" x14ac:dyDescent="0.25">
      <c r="A8" s="1" t="s">
        <v>7</v>
      </c>
      <c r="B8" s="3">
        <v>161.74818181818182</v>
      </c>
      <c r="C8" s="3">
        <v>144.1</v>
      </c>
      <c r="D8" s="9">
        <f>49.7*13.1</f>
        <v>651.07000000000005</v>
      </c>
      <c r="E8" s="9">
        <f>72*13.1</f>
        <v>943.19999999999993</v>
      </c>
      <c r="F8" s="9">
        <f>26.7*13.1</f>
        <v>349.77</v>
      </c>
      <c r="G8" s="9">
        <f>37*13.1</f>
        <v>484.7</v>
      </c>
    </row>
    <row r="9" spans="1:7" x14ac:dyDescent="0.25">
      <c r="A9" s="1" t="s">
        <v>8</v>
      </c>
      <c r="B9" s="3">
        <v>164.42909090909092</v>
      </c>
      <c r="C9" s="3">
        <v>167.68</v>
      </c>
      <c r="D9" s="9"/>
      <c r="E9" s="9"/>
      <c r="F9" s="9"/>
      <c r="G9" s="9"/>
    </row>
    <row r="10" spans="1:7" x14ac:dyDescent="0.25">
      <c r="A10" s="1" t="s">
        <v>9</v>
      </c>
      <c r="B10" s="3">
        <v>188.11045454545456</v>
      </c>
      <c r="C10" s="3">
        <v>214.709</v>
      </c>
      <c r="D10" s="9"/>
      <c r="E10" s="9"/>
      <c r="F10" s="9"/>
      <c r="G10" s="9"/>
    </row>
    <row r="11" spans="1:7" x14ac:dyDescent="0.25">
      <c r="A11" s="1" t="s">
        <v>10</v>
      </c>
      <c r="B11" s="3">
        <v>226.08999999999997</v>
      </c>
      <c r="C11" s="3">
        <v>211.30299999999997</v>
      </c>
      <c r="D11" s="9"/>
      <c r="E11" s="9"/>
      <c r="F11" s="9"/>
      <c r="G11" s="9"/>
    </row>
    <row r="12" spans="1:7" x14ac:dyDescent="0.25">
      <c r="A12" s="1" t="s">
        <v>11</v>
      </c>
      <c r="B12" s="3">
        <v>230.11136363636368</v>
      </c>
      <c r="C12" s="3">
        <v>213.92299999999997</v>
      </c>
      <c r="D12" s="9"/>
      <c r="E12" s="9"/>
      <c r="F12" s="9"/>
      <c r="G12" s="9"/>
    </row>
    <row r="13" spans="1:7" x14ac:dyDescent="0.25">
      <c r="A13" s="1" t="s">
        <v>12</v>
      </c>
      <c r="B13" s="3">
        <v>206.43</v>
      </c>
      <c r="C13" s="3">
        <v>157.85500000000002</v>
      </c>
      <c r="D13" s="9"/>
      <c r="E13" s="9"/>
      <c r="F13" s="9"/>
      <c r="G13" s="9"/>
    </row>
    <row r="14" spans="1:7" x14ac:dyDescent="0.25">
      <c r="A14" s="1" t="s">
        <v>13</v>
      </c>
      <c r="B14" s="3">
        <v>162.19499999999999</v>
      </c>
      <c r="C14" s="3">
        <v>127.85599999999999</v>
      </c>
      <c r="D14" s="9">
        <f>43.1*13.1</f>
        <v>564.61</v>
      </c>
      <c r="E14" s="9">
        <f>64.5*13.1</f>
        <v>844.94999999999993</v>
      </c>
      <c r="F14" s="9">
        <f>25*13.1</f>
        <v>327.5</v>
      </c>
      <c r="G14" s="9">
        <f>36.8*13.1</f>
        <v>482.07999999999993</v>
      </c>
    </row>
    <row r="15" spans="1:7" x14ac:dyDescent="0.25">
      <c r="A15" s="1" t="s">
        <v>14</v>
      </c>
      <c r="B15" s="3">
        <v>130.02409090909092</v>
      </c>
      <c r="C15" s="3">
        <v>116.19699999999999</v>
      </c>
      <c r="D15" s="9"/>
      <c r="E15" s="9"/>
      <c r="F15" s="9"/>
      <c r="G15" s="9"/>
    </row>
    <row r="16" spans="1:7" x14ac:dyDescent="0.25">
      <c r="A16" s="1" t="s">
        <v>15</v>
      </c>
      <c r="B16" s="3">
        <v>121.53454545454547</v>
      </c>
      <c r="C16" s="3">
        <v>90.39</v>
      </c>
      <c r="D16" s="9"/>
      <c r="E16" s="9"/>
      <c r="F16" s="9"/>
      <c r="G16" s="9"/>
    </row>
    <row r="17" spans="1:7" x14ac:dyDescent="0.25">
      <c r="A17" s="1" t="s">
        <v>16</v>
      </c>
      <c r="B17" s="3">
        <v>94.725454545454554</v>
      </c>
      <c r="C17" s="3">
        <v>81.481999999999999</v>
      </c>
      <c r="D17" s="9"/>
      <c r="E17" s="9"/>
      <c r="F17" s="9"/>
      <c r="G17" s="9"/>
    </row>
    <row r="18" spans="1:7" x14ac:dyDescent="0.25">
      <c r="A18" s="1" t="s">
        <v>17</v>
      </c>
      <c r="B18" s="3">
        <v>70.597272727272724</v>
      </c>
      <c r="C18" s="3">
        <v>57.378</v>
      </c>
      <c r="D18" s="9"/>
      <c r="E18" s="9"/>
      <c r="F18" s="9"/>
      <c r="G18" s="9"/>
    </row>
    <row r="19" spans="1:7" x14ac:dyDescent="0.25">
      <c r="A19" s="1" t="s">
        <v>18</v>
      </c>
      <c r="B19" s="3">
        <v>78.193181818181827</v>
      </c>
      <c r="C19" s="3">
        <v>80.695999999999998</v>
      </c>
      <c r="D19" s="9"/>
      <c r="E19" s="9"/>
      <c r="F19" s="9"/>
      <c r="G19" s="9"/>
    </row>
    <row r="20" spans="1:7" x14ac:dyDescent="0.25">
      <c r="A20" s="1" t="s">
        <v>19</v>
      </c>
      <c r="B20" s="3">
        <v>80.427272727272737</v>
      </c>
      <c r="C20" s="3">
        <v>78.861999999999995</v>
      </c>
      <c r="D20" s="9">
        <f>47.6*13.1</f>
        <v>623.55999999999995</v>
      </c>
      <c r="E20" s="9">
        <f>69.8*13.1</f>
        <v>914.37999999999988</v>
      </c>
      <c r="F20" s="9">
        <f>23.8*13.1</f>
        <v>311.77999999999997</v>
      </c>
      <c r="G20" s="9">
        <f>33.5*13.1</f>
        <v>438.84999999999997</v>
      </c>
    </row>
    <row r="21" spans="1:7" x14ac:dyDescent="0.25">
      <c r="A21" s="1" t="s">
        <v>20</v>
      </c>
      <c r="B21" s="3">
        <v>127.78999999999999</v>
      </c>
      <c r="C21" s="3">
        <v>147.244</v>
      </c>
      <c r="D21" s="9"/>
      <c r="E21" s="9"/>
      <c r="F21" s="9"/>
      <c r="G21" s="9"/>
    </row>
    <row r="22" spans="1:7" x14ac:dyDescent="0.25">
      <c r="A22" s="1" t="s">
        <v>21</v>
      </c>
      <c r="B22" s="3">
        <v>176.49318181818182</v>
      </c>
      <c r="C22" s="3">
        <v>174.09899999999999</v>
      </c>
      <c r="D22" s="9"/>
      <c r="E22" s="9"/>
      <c r="F22" s="9"/>
      <c r="G22" s="9"/>
    </row>
    <row r="23" spans="1:7" x14ac:dyDescent="0.25">
      <c r="A23" s="1" t="s">
        <v>22</v>
      </c>
      <c r="B23" s="3">
        <v>218.49409090909091</v>
      </c>
      <c r="C23" s="3">
        <v>184.18600000000001</v>
      </c>
      <c r="D23" s="9"/>
      <c r="E23" s="9"/>
      <c r="F23" s="9"/>
      <c r="G23" s="9"/>
    </row>
    <row r="24" spans="1:7" x14ac:dyDescent="0.25">
      <c r="A24" s="1" t="s">
        <v>23</v>
      </c>
      <c r="B24" s="3">
        <v>216.26000000000002</v>
      </c>
      <c r="C24" s="3">
        <v>198.334</v>
      </c>
      <c r="D24" s="9"/>
      <c r="E24" s="9"/>
      <c r="F24" s="9"/>
      <c r="G24" s="9"/>
    </row>
    <row r="25" spans="1:7" x14ac:dyDescent="0.25">
      <c r="A25" s="1" t="s">
        <v>24</v>
      </c>
      <c r="B25" s="3">
        <v>261.83545454545458</v>
      </c>
      <c r="C25" s="3">
        <v>250.47200000000001</v>
      </c>
      <c r="D25" s="9"/>
      <c r="E25" s="9"/>
      <c r="F25" s="9"/>
      <c r="G25" s="9"/>
    </row>
    <row r="26" spans="1:7" x14ac:dyDescent="0.25">
      <c r="A26" s="1" t="s">
        <v>25</v>
      </c>
      <c r="B26" s="3">
        <v>324.83681818181822</v>
      </c>
      <c r="C26" s="3">
        <v>259.642</v>
      </c>
      <c r="D26" s="9">
        <f>41.1*13.1</f>
        <v>538.41</v>
      </c>
      <c r="E26" s="9">
        <f>63.8*13.1</f>
        <v>835.78</v>
      </c>
      <c r="F26" s="9">
        <f>23.8*13.1</f>
        <v>311.77999999999997</v>
      </c>
      <c r="G26" s="9">
        <f>36.5*13.1</f>
        <v>478.15</v>
      </c>
    </row>
    <row r="27" spans="1:7" x14ac:dyDescent="0.25">
      <c r="A27" s="1" t="s">
        <v>26</v>
      </c>
      <c r="B27" s="3">
        <v>275.24000000000007</v>
      </c>
      <c r="C27" s="3">
        <v>205.53899999999999</v>
      </c>
      <c r="D27" s="9"/>
      <c r="E27" s="9"/>
      <c r="F27" s="9"/>
      <c r="G27" s="9"/>
    </row>
    <row r="28" spans="1:7" x14ac:dyDescent="0.25">
      <c r="A28" s="1" t="s">
        <v>27</v>
      </c>
      <c r="B28" s="3">
        <v>273.89954545454549</v>
      </c>
      <c r="C28" s="3">
        <v>248.76899999999998</v>
      </c>
      <c r="D28" s="9"/>
      <c r="E28" s="9"/>
      <c r="F28" s="9"/>
      <c r="G28" s="9"/>
    </row>
    <row r="29" spans="1:7" x14ac:dyDescent="0.25">
      <c r="A29" s="1" t="s">
        <v>28</v>
      </c>
      <c r="B29" s="3">
        <v>319.47500000000002</v>
      </c>
      <c r="C29" s="3">
        <v>305.09899999999999</v>
      </c>
      <c r="D29" s="9"/>
      <c r="E29" s="9"/>
      <c r="F29" s="9"/>
      <c r="G29" s="9"/>
    </row>
    <row r="30" spans="1:7" x14ac:dyDescent="0.25">
      <c r="A30" s="1" t="s">
        <v>29</v>
      </c>
      <c r="B30" s="3">
        <v>398.11500000000001</v>
      </c>
      <c r="C30" s="3">
        <v>329.072</v>
      </c>
      <c r="D30" s="9"/>
      <c r="E30" s="9"/>
      <c r="F30" s="9"/>
      <c r="G30" s="9"/>
    </row>
    <row r="31" spans="1:7" x14ac:dyDescent="0.25">
      <c r="A31" s="1" t="s">
        <v>30</v>
      </c>
      <c r="B31" s="3">
        <v>460.22272727272735</v>
      </c>
      <c r="C31" s="3">
        <v>453.52199999999993</v>
      </c>
      <c r="D31" s="9"/>
      <c r="E31" s="9"/>
      <c r="F31" s="9"/>
      <c r="G31" s="9"/>
    </row>
    <row r="32" spans="1:7" x14ac:dyDescent="0.25">
      <c r="A32" s="1" t="s">
        <v>31</v>
      </c>
      <c r="B32" s="3">
        <v>558.96954545454548</v>
      </c>
      <c r="C32" s="3">
        <v>533.9559999999999</v>
      </c>
      <c r="D32" s="9">
        <f>54.6*13.1</f>
        <v>715.26</v>
      </c>
      <c r="E32" s="9">
        <f>78.2*13.1</f>
        <v>1024.42</v>
      </c>
      <c r="F32" s="9">
        <f>36.5*13.1</f>
        <v>478.15</v>
      </c>
      <c r="G32" s="9">
        <f>49.6*13.1</f>
        <v>649.76</v>
      </c>
    </row>
    <row r="33" spans="1:7" x14ac:dyDescent="0.25">
      <c r="A33" s="1" t="s">
        <v>32</v>
      </c>
      <c r="B33" s="3">
        <v>689.4404545454546</v>
      </c>
      <c r="C33" s="3">
        <v>659.45400000000006</v>
      </c>
      <c r="D33" s="9"/>
      <c r="E33" s="9"/>
      <c r="F33" s="9"/>
      <c r="G33" s="9"/>
    </row>
    <row r="34" spans="1:7" x14ac:dyDescent="0.25">
      <c r="A34" s="1" t="s">
        <v>33</v>
      </c>
      <c r="B34" s="3">
        <v>1020.5327272727274</v>
      </c>
      <c r="C34" s="3">
        <v>1280.7869999999998</v>
      </c>
      <c r="D34" s="9"/>
      <c r="E34" s="9"/>
      <c r="F34" s="9"/>
      <c r="G34" s="9"/>
    </row>
    <row r="35" spans="1:7" x14ac:dyDescent="0.25">
      <c r="A35" s="1" t="s">
        <v>34</v>
      </c>
      <c r="B35" s="3">
        <v>1387.3704545454545</v>
      </c>
      <c r="C35" s="3">
        <v>849.66599999999994</v>
      </c>
      <c r="D35" s="9"/>
      <c r="E35" s="9"/>
      <c r="F35" s="9"/>
      <c r="G35" s="9"/>
    </row>
    <row r="36" spans="1:7" x14ac:dyDescent="0.25">
      <c r="A36" s="1" t="s">
        <v>35</v>
      </c>
      <c r="B36" s="3">
        <v>1234.1118181818183</v>
      </c>
      <c r="C36" s="3">
        <v>1211.8810000000001</v>
      </c>
      <c r="D36" s="9"/>
      <c r="E36" s="9"/>
      <c r="F36" s="9"/>
      <c r="G36" s="9"/>
    </row>
    <row r="37" spans="1:7" x14ac:dyDescent="0.25">
      <c r="A37" s="1" t="s">
        <v>36</v>
      </c>
      <c r="B37" s="3">
        <v>1699.2495454545456</v>
      </c>
      <c r="C37" s="3">
        <v>921.45400000000006</v>
      </c>
      <c r="D37" s="9"/>
      <c r="E37" s="9"/>
      <c r="F37" s="9"/>
      <c r="G37" s="9"/>
    </row>
    <row r="38" spans="1:7" x14ac:dyDescent="0.25">
      <c r="A38" s="1" t="s">
        <v>37</v>
      </c>
      <c r="B38" s="3">
        <v>1262.7081818181821</v>
      </c>
      <c r="C38" s="3">
        <v>1109.1769999999999</v>
      </c>
      <c r="D38" s="9">
        <f>62.9*13.1</f>
        <v>823.99</v>
      </c>
      <c r="E38" s="9">
        <f>86.1*13.1</f>
        <v>1127.9099999999999</v>
      </c>
      <c r="F38" s="9">
        <f>58.8*13.1</f>
        <v>770.28</v>
      </c>
      <c r="G38" s="9">
        <f>76.4*13.1</f>
        <v>1000.84</v>
      </c>
    </row>
    <row r="39" spans="1:7" x14ac:dyDescent="0.25">
      <c r="A39" s="1" t="s">
        <v>38</v>
      </c>
      <c r="B39" s="3">
        <v>1216.6859090909093</v>
      </c>
      <c r="C39" s="3">
        <v>1291.529</v>
      </c>
      <c r="D39" s="9"/>
      <c r="E39" s="9"/>
      <c r="F39" s="9"/>
      <c r="G39" s="9"/>
    </row>
    <row r="40" spans="1:7" x14ac:dyDescent="0.25">
      <c r="A40" s="1" t="s">
        <v>39</v>
      </c>
      <c r="B40" s="3">
        <v>1894.062272727273</v>
      </c>
      <c r="C40" s="3">
        <v>1649.4209999999998</v>
      </c>
      <c r="D40" s="9"/>
      <c r="E40" s="9"/>
      <c r="F40" s="9"/>
      <c r="G40" s="9"/>
    </row>
    <row r="41" spans="1:7" x14ac:dyDescent="0.25">
      <c r="A41" s="1" t="s">
        <v>40</v>
      </c>
      <c r="B41" s="3">
        <v>1438.7545454545457</v>
      </c>
      <c r="C41" s="3">
        <v>1302.7950000000001</v>
      </c>
      <c r="D41" s="9"/>
      <c r="E41" s="9"/>
      <c r="F41" s="9"/>
      <c r="G41" s="9"/>
    </row>
    <row r="42" spans="1:7" x14ac:dyDescent="0.25">
      <c r="A42" s="1" t="s">
        <v>41</v>
      </c>
      <c r="B42" s="3">
        <v>1303.3686363636366</v>
      </c>
      <c r="C42" s="3">
        <v>1231.3999999999999</v>
      </c>
      <c r="D42" s="9"/>
      <c r="E42" s="9"/>
      <c r="F42" s="9"/>
      <c r="G42" s="9"/>
    </row>
    <row r="43" spans="1:7" x14ac:dyDescent="0.25">
      <c r="A43" s="1" t="s">
        <v>42</v>
      </c>
      <c r="B43" s="3">
        <v>1499.5218181818184</v>
      </c>
      <c r="C43" s="3">
        <v>1893.0809999999999</v>
      </c>
      <c r="D43" s="9"/>
      <c r="E43" s="9"/>
      <c r="F43" s="9"/>
      <c r="G43" s="9"/>
    </row>
    <row r="44" spans="1:7" x14ac:dyDescent="0.25">
      <c r="A44" s="1" t="s">
        <v>43</v>
      </c>
      <c r="B44" s="3">
        <v>2293.5177272727274</v>
      </c>
      <c r="C44" s="3">
        <v>2500.9209999999998</v>
      </c>
      <c r="D44" s="3"/>
      <c r="E44" s="1"/>
      <c r="F44" s="1"/>
      <c r="G44" s="1"/>
    </row>
    <row r="45" spans="1:7" x14ac:dyDescent="0.25">
      <c r="A45" s="1" t="s">
        <v>44</v>
      </c>
      <c r="B45" s="3">
        <v>3129.5145454545459</v>
      </c>
      <c r="C45" s="3">
        <v>3142.8209999999999</v>
      </c>
      <c r="D45" s="3"/>
      <c r="E45" s="1"/>
      <c r="F45" s="1"/>
      <c r="G45" s="1"/>
    </row>
    <row r="46" spans="1:7" x14ac:dyDescent="0.25">
      <c r="A46" s="1" t="s">
        <v>45</v>
      </c>
      <c r="B46" s="3">
        <v>2473.2800000000002</v>
      </c>
      <c r="C46" s="3">
        <v>1757.365</v>
      </c>
      <c r="D46" s="3"/>
      <c r="E46" s="1"/>
      <c r="F46" s="1"/>
      <c r="G46" s="1"/>
    </row>
  </sheetData>
  <mergeCells count="28">
    <mergeCell ref="D38:D43"/>
    <mergeCell ref="E38:E43"/>
    <mergeCell ref="D20:D25"/>
    <mergeCell ref="E20:E25"/>
    <mergeCell ref="D26:D31"/>
    <mergeCell ref="E26:E31"/>
    <mergeCell ref="D32:D37"/>
    <mergeCell ref="E32:E37"/>
    <mergeCell ref="D2:D7"/>
    <mergeCell ref="E2:E7"/>
    <mergeCell ref="D8:D13"/>
    <mergeCell ref="E8:E13"/>
    <mergeCell ref="D14:D19"/>
    <mergeCell ref="E14:E19"/>
    <mergeCell ref="F38:F43"/>
    <mergeCell ref="G2:G7"/>
    <mergeCell ref="G8:G13"/>
    <mergeCell ref="G14:G19"/>
    <mergeCell ref="G20:G25"/>
    <mergeCell ref="G26:G31"/>
    <mergeCell ref="G32:G37"/>
    <mergeCell ref="G38:G43"/>
    <mergeCell ref="F2:F7"/>
    <mergeCell ref="F8:F13"/>
    <mergeCell ref="F14:F19"/>
    <mergeCell ref="F20:F25"/>
    <mergeCell ref="F26:F31"/>
    <mergeCell ref="F32:F37"/>
  </mergeCells>
  <hyperlinks>
    <hyperlink ref="B1" r:id="rId1" xr:uid="{9C4DCC34-7BB6-445C-AF50-5F59C451A68E}"/>
    <hyperlink ref="C1" r:id="rId2" xr:uid="{41D6977D-6759-4F41-B82C-EFCEFC719B04}"/>
    <hyperlink ref="D1" r:id="rId3" xr:uid="{2819E087-D927-4AFE-890F-6B718855D020}"/>
    <hyperlink ref="F1" r:id="rId4" xr:uid="{330F493D-73C4-42A9-A6CE-A6C00255AAF2}"/>
    <hyperlink ref="G1" r:id="rId5" xr:uid="{FA0FE9CA-6CBC-49F1-B453-6962386A3414}"/>
    <hyperlink ref="E1" r:id="rId6" xr:uid="{F2774039-7ADD-4D05-8E39-CF1D7FC8D0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4365-5CD9-4566-B885-313C7B7BBB60}">
  <dimension ref="A2:F9"/>
  <sheetViews>
    <sheetView workbookViewId="0">
      <selection activeCell="E8" sqref="E8"/>
    </sheetView>
  </sheetViews>
  <sheetFormatPr defaultColWidth="8.85546875" defaultRowHeight="15" x14ac:dyDescent="0.25"/>
  <cols>
    <col min="1" max="1" width="8.85546875" style="1"/>
    <col min="2" max="2" width="22.5703125" style="1" bestFit="1" customWidth="1"/>
    <col min="3" max="3" width="12" style="1" bestFit="1" customWidth="1"/>
    <col min="4" max="4" width="14.28515625" style="1" bestFit="1" customWidth="1"/>
    <col min="5" max="5" width="7.5703125" style="1" bestFit="1" customWidth="1"/>
    <col min="6" max="6" width="8.7109375" style="1" bestFit="1" customWidth="1"/>
    <col min="7" max="16384" width="8.85546875" style="1"/>
  </cols>
  <sheetData>
    <row r="2" spans="1:6" x14ac:dyDescent="0.25">
      <c r="B2" s="1" t="s">
        <v>53</v>
      </c>
      <c r="C2" s="1" t="s">
        <v>54</v>
      </c>
      <c r="D2" s="1" t="s">
        <v>55</v>
      </c>
      <c r="E2" s="1" t="s">
        <v>59</v>
      </c>
      <c r="F2" s="1" t="s">
        <v>56</v>
      </c>
    </row>
    <row r="3" spans="1:6" x14ac:dyDescent="0.25">
      <c r="A3" s="1" t="s">
        <v>52</v>
      </c>
      <c r="B3" s="4">
        <v>0.52669999999999995</v>
      </c>
      <c r="C3" s="1">
        <f>19*10^6*10^3</f>
        <v>19000000000</v>
      </c>
      <c r="D3" s="5">
        <f>C3*B3</f>
        <v>10007299999.999998</v>
      </c>
      <c r="E3" s="3">
        <f>D3/10^6/10^3</f>
        <v>10.007299999999997</v>
      </c>
      <c r="F3" s="3">
        <f>D3/0.777/10^9</f>
        <v>12.879407979407976</v>
      </c>
    </row>
    <row r="4" spans="1:6" x14ac:dyDescent="0.25">
      <c r="A4" s="1" t="s">
        <v>57</v>
      </c>
      <c r="B4" s="4">
        <v>0.66559999999999997</v>
      </c>
      <c r="C4" s="1">
        <f>5*10^6*10^3</f>
        <v>5000000000</v>
      </c>
      <c r="D4" s="5">
        <f>C4*B4</f>
        <v>3328000000</v>
      </c>
      <c r="E4" s="3">
        <f>D4/10^6/10^3</f>
        <v>3.3279999999999998</v>
      </c>
      <c r="F4" s="3">
        <f>D4/0.777/10^9</f>
        <v>4.2831402831402832</v>
      </c>
    </row>
    <row r="5" spans="1:6" x14ac:dyDescent="0.25">
      <c r="C5" s="6" t="s">
        <v>58</v>
      </c>
      <c r="D5" s="7">
        <f>SUM(D3:D4)</f>
        <v>13335299999.999998</v>
      </c>
      <c r="E5" s="8">
        <f>SUM(E3:E4)</f>
        <v>13.335299999999997</v>
      </c>
      <c r="F5" s="8">
        <f>SUM(F3:F4)</f>
        <v>17.16254826254826</v>
      </c>
    </row>
    <row r="8" spans="1:6" x14ac:dyDescent="0.25">
      <c r="B8" s="6" t="s">
        <v>60</v>
      </c>
      <c r="C8" s="6">
        <v>396.6</v>
      </c>
      <c r="D8" s="6" t="s">
        <v>61</v>
      </c>
    </row>
    <row r="9" spans="1:6" x14ac:dyDescent="0.25">
      <c r="B9" s="6" t="s">
        <v>62</v>
      </c>
      <c r="C9" s="8">
        <f>F5/C8*100</f>
        <v>4.3274201367998639</v>
      </c>
      <c r="D9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Total 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2022-12-06T11:31:11Z</dcterms:created>
  <dcterms:modified xsi:type="dcterms:W3CDTF">2022-12-31T03:33:05Z</dcterms:modified>
</cp:coreProperties>
</file>