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+xml" PartName="/xl/drawings/drawing2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Fossil vs. green chemicals\Scripts\"/>
    </mc:Choice>
  </mc:AlternateContent>
  <xr:revisionPtr revIDLastSave="0" documentId="13_ncr:1_{9EE6F6B8-7F2A-4F47-ACC2-47144062ECB7}" xr6:coauthVersionLast="36" xr6:coauthVersionMax="47" xr10:uidLastSave="{00000000-0000-0000-0000-000000000000}"/>
  <bookViews>
    <workbookView xWindow="-108" yWindow="-108" windowWidth="21708" windowHeight="9636" activeTab="4"/>
  </bookViews>
  <sheets>
    <sheet name="Ammonia" sheetId="1" r:id="rId1"/>
    <sheet name="Ammonia summary" sheetId="12" r:id="rId2"/>
    <sheet name="Ammonia high low" sheetId="5" r:id="rId3"/>
    <sheet name="Ammonia avoidance" sheetId="14" r:id="rId4"/>
    <sheet name="Methanol" sheetId="4" r:id="rId5"/>
    <sheet name="Methanol summary" sheetId="13" r:id="rId6"/>
    <sheet name="Methanol high low" sheetId="6" r:id="rId7"/>
    <sheet name="Methanol avoidance" sheetId="15" r:id="rId8"/>
    <sheet name="LCOH" sheetId="7" r:id="rId9"/>
    <sheet name="Ammonia MP" sheetId="17" r:id="rId10"/>
    <sheet name="Methanol MP" sheetId="16" r:id="rId11"/>
    <sheet name="DAC" sheetId="19" r:id="rId12"/>
  </sheet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<sst xmlns="http://schemas.openxmlformats.org/spreadsheetml/2006/main" count="573" uniqueCount="181">
  <si>
    <t>NG price</t>
  </si>
  <si>
    <t>Wind</t>
  </si>
  <si>
    <t>BAU price</t>
  </si>
  <si>
    <t>Process</t>
  </si>
  <si>
    <t>GWP</t>
  </si>
  <si>
    <t>BAU</t>
  </si>
  <si>
    <t>CO2 Wind</t>
  </si>
  <si>
    <t>DAC + wind</t>
  </si>
  <si>
    <t>Coal</t>
  </si>
  <si>
    <t>Biomass</t>
  </si>
  <si>
    <t>Solar</t>
  </si>
  <si>
    <t>Nuclear</t>
  </si>
  <si>
    <t>CO2 Biomass</t>
  </si>
  <si>
    <t>CO2 Solar</t>
  </si>
  <si>
    <t>CO2 Nuclear</t>
  </si>
  <si>
    <t>Wind low</t>
  </si>
  <si>
    <t>Solar low</t>
  </si>
  <si>
    <t>Nuclear low</t>
  </si>
  <si>
    <t>Wind high</t>
  </si>
  <si>
    <t>Solar high</t>
  </si>
  <si>
    <t>Nuclear high</t>
  </si>
  <si>
    <t>CO2 Wind low</t>
  </si>
  <si>
    <t>CO2 Solar low</t>
  </si>
  <si>
    <t>CO2 Nuclear low</t>
  </si>
  <si>
    <t>CO2 Wind high</t>
  </si>
  <si>
    <t>CO2 Solar high</t>
  </si>
  <si>
    <t>CO2 Nuclear high</t>
  </si>
  <si>
    <t>CO2 DAC + wind</t>
  </si>
  <si>
    <t>DAC + solar</t>
  </si>
  <si>
    <t>DAC + nuclear</t>
  </si>
  <si>
    <t>CO2 DAC + solar</t>
  </si>
  <si>
    <t>CO2 DAC + nuclear</t>
  </si>
  <si>
    <t>DAC + wind low</t>
  </si>
  <si>
    <t>DAC + wind high</t>
  </si>
  <si>
    <t>DAC + solar low</t>
  </si>
  <si>
    <t>DAC + solar high</t>
  </si>
  <si>
    <t>DAC + nuclear low</t>
  </si>
  <si>
    <t>DAC + nuclear high</t>
  </si>
  <si>
    <t>CO2 DAC + wind low</t>
  </si>
  <si>
    <t>CO2 DAC + wind high</t>
  </si>
  <si>
    <t>CO2 DAC + solar low</t>
  </si>
  <si>
    <t>CO2 DAC + solar high</t>
  </si>
  <si>
    <t>CO2 DAC + nuclear low</t>
  </si>
  <si>
    <t>CO2 DAC + nuclear high</t>
  </si>
  <si>
    <t>Time</t>
  </si>
  <si>
    <t>Jan '19</t>
  </si>
  <si>
    <t>Feb '19</t>
  </si>
  <si>
    <t>Mar '19</t>
  </si>
  <si>
    <t>Apr '19</t>
  </si>
  <si>
    <t>May '19</t>
  </si>
  <si>
    <t>Jun '19</t>
  </si>
  <si>
    <t>Jul '19</t>
  </si>
  <si>
    <t>Aug '19</t>
  </si>
  <si>
    <t>Sep '19</t>
  </si>
  <si>
    <t>Oct '19</t>
  </si>
  <si>
    <t>Nov '19</t>
  </si>
  <si>
    <t>Dec '19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</si>
  <si>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</si>
  <si>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</si>
  <si>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</si>
  <si>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</si>
  <si>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</si>
  <si>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</si>
  <si>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</si>
  <si>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</si>
  <si>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</si>
  <si>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</si>
  <si>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</si>
  <si>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</si>
  <si>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Jan '21</t>
  </si>
  <si>
    <t>Feb '21</t>
  </si>
  <si>
    <t>Mar '21</t>
  </si>
  <si>
    <t>Apr '21</t>
  </si>
  <si>
    <t>May '21</t>
  </si>
  <si>
    <t>Jun '21</t>
  </si>
  <si>
    <t>Jul '21</t>
  </si>
  <si>
    <t>Aug '21</t>
  </si>
  <si>
    <t>Sep '21</t>
  </si>
  <si>
    <t>Oct '21</t>
  </si>
  <si>
    <t>Nov '21</t>
  </si>
  <si>
    <t>Dec '21</t>
  </si>
  <si>
    <t>Jan '22</t>
  </si>
  <si>
    <t>Feb '22</t>
  </si>
  <si>
    <t>Mar '22</t>
  </si>
  <si>
    <t>Apr '22</t>
  </si>
  <si>
    <t>May '22</t>
  </si>
  <si>
    <t>Jun '22</t>
  </si>
  <si>
    <t>Jul '22</t>
  </si>
  <si>
    <t>Aug '22</t>
  </si>
  <si>
    <t>Sep '22</t>
  </si>
  <si>
    <t>Average</t>
  </si>
  <si>
    <t>Low</t>
  </si>
  <si>
    <t>High</t>
  </si>
  <si>
    <t>Wind - on shore</t>
  </si>
  <si>
    <t>Solar PV</t>
  </si>
  <si>
    <t>CF</t>
  </si>
  <si>
    <t xml:space="preserve">IRENA </t>
  </si>
  <si>
    <t>Parkinson 2019</t>
  </si>
  <si>
    <t>Biomass with CCS</t>
  </si>
  <si>
    <t>CEPCI 2019</t>
  </si>
  <si>
    <t>CEPCI 2020</t>
  </si>
  <si>
    <t>CEPCI 2021</t>
  </si>
  <si>
    <t>CEPCI 2022</t>
  </si>
  <si>
    <t>LCOE USD/kWh</t>
  </si>
  <si>
    <t>Hydrogen USD/kg</t>
  </si>
  <si>
    <t>DAC + biomass</t>
  </si>
  <si>
    <t>CO2 DAC + biomass</t>
  </si>
  <si>
    <t>Index</t>
  </si>
  <si>
    <t>Electricity</t>
  </si>
  <si>
    <t>CO2 SMR CCS</t>
  </si>
  <si>
    <t>SMR CCS</t>
  </si>
  <si>
    <t>H2 SMR CCS</t>
  </si>
  <si>
    <t>Market</t>
  </si>
  <si>
    <t>Natural gas</t>
  </si>
  <si>
    <t>SMR + CCS</t>
  </si>
  <si>
    <t>Avg 19</t>
  </si>
  <si>
    <t>Avg 20</t>
  </si>
  <si>
    <t>Methanex</t>
  </si>
  <si>
    <t>MMSA</t>
  </si>
  <si>
    <t>US Natural gas</t>
  </si>
  <si>
    <t>Model (US)</t>
  </si>
  <si>
    <t>Model (EUR)</t>
  </si>
  <si>
    <t>Electricity (US)</t>
  </si>
  <si>
    <t>ICIS</t>
  </si>
  <si>
    <t>Methanex (US)</t>
  </si>
  <si>
    <t>MMSA (US)</t>
  </si>
  <si>
    <t>DTN Fertilizer (US)</t>
  </si>
  <si>
    <t>Jan '15</t>
  </si>
  <si>
    <t>Feb '15</t>
  </si>
  <si>
    <t>Mar '15</t>
  </si>
  <si>
    <t>Apr '15</t>
  </si>
  <si>
    <t>May '15</t>
  </si>
  <si>
    <t>Jun '15</t>
  </si>
  <si>
    <t>July '15</t>
  </si>
  <si>
    <t>Aug '15</t>
  </si>
  <si>
    <t>Sep '15</t>
  </si>
  <si>
    <t>Oct '15</t>
  </si>
  <si>
    <t>Nov '15</t>
  </si>
  <si>
    <t>Dec '15</t>
  </si>
  <si>
    <t>Jan '16</t>
  </si>
  <si>
    <t>Feb '16</t>
  </si>
  <si>
    <t>Mar '16</t>
  </si>
  <si>
    <t>Apr '16</t>
  </si>
  <si>
    <t>May '16</t>
  </si>
  <si>
    <t>Jun '16</t>
  </si>
  <si>
    <t>July '16</t>
  </si>
  <si>
    <t>Aug '16</t>
  </si>
  <si>
    <t>Sep '16</t>
  </si>
  <si>
    <t>Oct '16</t>
  </si>
  <si>
    <t>Nov '16</t>
  </si>
  <si>
    <t>Dec '16</t>
  </si>
  <si>
    <t>Jan '17</t>
  </si>
  <si>
    <t>Feb '17</t>
  </si>
  <si>
    <t>Mar '17</t>
  </si>
  <si>
    <t>Apr '17</t>
  </si>
  <si>
    <t>May '17</t>
  </si>
  <si>
    <t>Jun '17</t>
  </si>
  <si>
    <t>Jul '17</t>
  </si>
  <si>
    <t>Aug '17</t>
  </si>
  <si>
    <t>Sep '17</t>
  </si>
  <si>
    <t>Oct '17</t>
  </si>
  <si>
    <t>Nov '17</t>
  </si>
  <si>
    <t>Dec '17</t>
  </si>
  <si>
    <t>Jan '18</t>
  </si>
  <si>
    <t>Feb '18</t>
  </si>
  <si>
    <t>Mar '18</t>
  </si>
  <si>
    <t>Apr '18</t>
  </si>
  <si>
    <t>May '18</t>
  </si>
  <si>
    <t>Jul '18</t>
  </si>
  <si>
    <t>Aug '18</t>
  </si>
  <si>
    <t>Sep '18</t>
  </si>
  <si>
    <t>Oct '18</t>
  </si>
  <si>
    <t>Nov '18</t>
  </si>
  <si>
    <t>Dec '18</t>
  </si>
  <si>
    <t>Jun '18</t>
  </si>
  <si>
    <t>Oct '22</t>
  </si>
  <si>
    <t>Nov '22</t>
  </si>
  <si>
    <t>Bloomberg</t>
  </si>
  <si>
    <t>CO2</t>
  </si>
  <si>
    <t>Grid</t>
  </si>
  <si>
    <t>LCOH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</si>
</sst>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.000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&quot;$&quot;#,##0\ ;\(&quot;$&quot;#,##0\)"/>
    <numFmt numFmtId="169" formatCode="#,##0."/>
    <numFmt numFmtId="170" formatCode="#."/>
    <numFmt numFmtId="171" formatCode="#,###;\(#,###\);\-\-\-\-"/>
    <numFmt numFmtId="172" formatCode="0.0%"/>
  </numFmts>
  <fonts count="5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u/>
      <sz val="1"/>
      <color indexed="8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"/>
      <color indexed="8"/>
      <name val="Courier"/>
      <family val="3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23"/>
      <name val="Arial"/>
      <family val="2"/>
    </font>
    <font>
      <b/>
      <sz val="8"/>
      <color indexed="39"/>
      <name val="Arial"/>
      <family val="2"/>
    </font>
    <font>
      <sz val="10"/>
      <color indexed="56"/>
      <name val="Times New Roman"/>
      <family val="1"/>
    </font>
    <font>
      <sz val="12"/>
      <color indexed="56"/>
      <name val="Times New Roman"/>
      <family val="1"/>
    </font>
    <font>
      <sz val="12"/>
      <color indexed="9"/>
      <name val="Times New Roman"/>
      <family val="1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sz val="11"/>
      <color indexed="56"/>
      <name val="Times New Roman"/>
      <family val="1"/>
    </font>
    <font>
      <b/>
      <sz val="10"/>
      <color indexed="8"/>
      <name val="Arial"/>
      <family val="2"/>
    </font>
    <font>
      <b/>
      <sz val="10"/>
      <color indexed="56"/>
      <name val="Times New Roman"/>
      <family val="1"/>
    </font>
    <font>
      <sz val="12"/>
      <color indexed="62"/>
      <name val="Times New Roman"/>
      <family val="1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b/>
      <sz val="10"/>
      <color indexed="9"/>
      <name val="Arial"/>
      <family val="2"/>
    </font>
    <font>
      <b/>
      <sz val="10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sz val="8"/>
      <color indexed="39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8"/>
      <color indexed="10"/>
      <name val="Arial"/>
      <family val="2"/>
    </font>
    <font>
      <b/>
      <sz val="8"/>
      <color indexed="63"/>
      <name val="Arial"/>
      <family val="2"/>
    </font>
    <font>
      <b/>
      <sz val="8"/>
      <color indexed="9"/>
      <name val="Arial"/>
      <family val="2"/>
    </font>
    <font>
      <b/>
      <sz val="18"/>
      <color theme="3"/>
      <name val="Calibri Light"/>
      <family val="2"/>
      <scheme val="major"/>
    </font>
    <font>
      <sz val="8"/>
      <color indexed="10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4"/>
        <bgColor indexed="65"/>
      </patternFill>
    </fill>
    <fill>
      <patternFill patternType="solid">
        <fgColor theme="4" tint="0.59996337778863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4"/>
        <bgColor indexed="65"/>
      </patternFill>
    </fill>
    <fill>
      <patternFill patternType="solid">
        <fgColor theme="5" tint="0.59996337778863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4"/>
        <bgColor indexed="65"/>
      </patternFill>
    </fill>
    <fill>
      <patternFill patternType="solid">
        <fgColor theme="6" tint="0.59996337778863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4"/>
        <bgColor indexed="65"/>
      </patternFill>
    </fill>
    <fill>
      <patternFill patternType="solid">
        <fgColor theme="7" tint="0.59996337778863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4"/>
        <bgColor indexed="65"/>
      </patternFill>
    </fill>
    <fill>
      <patternFill patternType="solid">
        <fgColor theme="8" tint="0.59996337778863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4"/>
        <bgColor indexed="65"/>
      </patternFill>
    </fill>
    <fill>
      <patternFill patternType="solid">
        <fgColor theme="9" tint="0.59996337778863"/>
        <bgColor indexed="65"/>
      </patternFill>
    </fill>
    <fill>
      <patternFill patternType="solid">
        <fgColor theme="9" tint="0.399975585192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4" tint="0.79995117038484"/>
        <bgColor indexed="65"/>
      </patternFill>
    </fill>
    <fill>
      <patternFill patternType="solid">
        <fgColor theme="4" tint="0.59996337778863"/>
        <bgColor indexed="65"/>
      </patternFill>
    </fill>
    <fill>
      <patternFill patternType="solid">
        <fgColor theme="5" tint="0.79995117038484"/>
        <bgColor indexed="65"/>
      </patternFill>
    </fill>
    <fill>
      <patternFill patternType="solid">
        <fgColor theme="5" tint="0.59996337778863"/>
        <bgColor indexed="65"/>
      </patternFill>
    </fill>
    <fill>
      <patternFill patternType="solid">
        <fgColor theme="6" tint="0.79995117038484"/>
        <bgColor indexed="65"/>
      </patternFill>
    </fill>
    <fill>
      <patternFill patternType="solid">
        <fgColor theme="6" tint="0.59996337778863"/>
        <bgColor indexed="65"/>
      </patternFill>
    </fill>
    <fill>
      <patternFill patternType="solid">
        <fgColor theme="7" tint="0.79995117038484"/>
        <bgColor indexed="65"/>
      </patternFill>
    </fill>
    <fill>
      <patternFill patternType="solid">
        <fgColor theme="7" tint="0.59996337778863"/>
        <bgColor indexed="65"/>
      </patternFill>
    </fill>
    <fill>
      <patternFill patternType="solid">
        <fgColor theme="8" tint="0.79995117038484"/>
        <bgColor indexed="65"/>
      </patternFill>
    </fill>
    <fill>
      <patternFill patternType="solid">
        <fgColor theme="8" tint="0.59996337778863"/>
        <bgColor indexed="65"/>
      </patternFill>
    </fill>
    <fill>
      <patternFill patternType="solid">
        <fgColor theme="9" tint="0.79995117038484"/>
        <bgColor indexed="65"/>
      </patternFill>
    </fill>
    <fill>
      <patternFill patternType="solid">
        <fgColor theme="9" tint="0.59996337778863"/>
        <bgColor indexed="65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9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56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ashed">
        <color theme="0" tint="-0.24994659260842"/>
      </bottom>
      <diagonal/>
    </border>
    <border>
      <left/>
      <right/>
      <top/>
      <bottom/>
      <diagonal/>
    </border>
    <border>
      <left/>
      <right/>
      <top/>
      <bottom style="thick">
        <color theme="4" tint="0.49995422223579"/>
      </bottom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339">
    <xf numFmtId="0" fontId="0" fillId="0" borderId="0"/>
    <xf numFmtId="0" fontId="2" fillId="0" borderId="0"/>
    <xf numFmtId="0" fontId="5" fillId="0" borderId="4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5" borderId="5" applyNumberFormat="false" applyAlignment="false" applyProtection="false"/>
    <xf numFmtId="0" fontId="9" fillId="6" borderId="6" applyNumberFormat="false" applyAlignment="false" applyProtection="false"/>
    <xf numFmtId="0" fontId="10" fillId="6" borderId="5" applyNumberFormat="false" applyAlignment="false" applyProtection="false"/>
    <xf numFmtId="0" fontId="11" fillId="0" borderId="7" applyNumberFormat="false" applyFill="false" applyAlignment="false" applyProtection="false"/>
    <xf numFmtId="0" fontId="12" fillId="7" borderId="8" applyNumberFormat="false" applyAlignment="false" applyProtection="false"/>
    <xf numFmtId="0" fontId="13" fillId="0" borderId="0" applyNumberFormat="false" applyFill="false" applyBorder="false" applyAlignment="false" applyProtection="false"/>
    <xf numFmtId="0" fontId="14" fillId="0" borderId="0" applyNumberFormat="false" applyFill="false" applyBorder="false" applyAlignment="false" applyProtection="false"/>
    <xf numFmtId="0" fontId="15" fillId="9" borderId="0" applyNumberFormat="false" applyBorder="false" applyAlignment="false" applyProtection="false"/>
    <xf numFmtId="0" fontId="2" fillId="10" borderId="0" applyNumberFormat="false" applyBorder="false" applyAlignment="false" applyProtection="false"/>
    <xf numFmtId="0" fontId="2" fillId="11" borderId="0" applyNumberFormat="false" applyBorder="false" applyAlignment="false" applyProtection="false"/>
    <xf numFmtId="0" fontId="15" fillId="13" borderId="0" applyNumberFormat="false" applyBorder="false" applyAlignment="false" applyProtection="false"/>
    <xf numFmtId="0" fontId="2" fillId="14" borderId="0" applyNumberFormat="false" applyBorder="false" applyAlignment="false" applyProtection="false"/>
    <xf numFmtId="0" fontId="2" fillId="15" borderId="0" applyNumberFormat="false" applyBorder="false" applyAlignment="false" applyProtection="false"/>
    <xf numFmtId="0" fontId="15" fillId="17" borderId="0" applyNumberFormat="false" applyBorder="false" applyAlignment="false" applyProtection="false"/>
    <xf numFmtId="0" fontId="2" fillId="18" borderId="0" applyNumberFormat="false" applyBorder="false" applyAlignment="false" applyProtection="false"/>
    <xf numFmtId="0" fontId="2" fillId="19" borderId="0" applyNumberFormat="false" applyBorder="false" applyAlignment="false" applyProtection="false"/>
    <xf numFmtId="0" fontId="15" fillId="21" borderId="0" applyNumberFormat="false" applyBorder="false" applyAlignment="false" applyProtection="false"/>
    <xf numFmtId="0" fontId="2" fillId="22" borderId="0" applyNumberFormat="false" applyBorder="false" applyAlignment="false" applyProtection="false"/>
    <xf numFmtId="0" fontId="2" fillId="23" borderId="0" applyNumberFormat="false" applyBorder="false" applyAlignment="false" applyProtection="false"/>
    <xf numFmtId="0" fontId="15" fillId="25" borderId="0" applyNumberFormat="false" applyBorder="false" applyAlignment="false" applyProtection="false"/>
    <xf numFmtId="0" fontId="2" fillId="26" borderId="0" applyNumberFormat="false" applyBorder="false" applyAlignment="false" applyProtection="false"/>
    <xf numFmtId="0" fontId="2" fillId="27" borderId="0" applyNumberFormat="false" applyBorder="false" applyAlignment="false" applyProtection="false"/>
    <xf numFmtId="0" fontId="15" fillId="29" borderId="0" applyNumberFormat="false" applyBorder="false" applyAlignment="false" applyProtection="false"/>
    <xf numFmtId="0" fontId="2" fillId="30" borderId="0" applyNumberFormat="false" applyBorder="false" applyAlignment="false" applyProtection="false"/>
    <xf numFmtId="0" fontId="2" fillId="31" borderId="0" applyNumberFormat="false" applyBorder="false" applyAlignment="false" applyProtection="false"/>
    <xf numFmtId="0" fontId="16" fillId="0" borderId="0"/>
    <xf numFmtId="3" fontId="16" fillId="0" borderId="0" applyFont="false" applyFill="false" applyBorder="false" applyAlignment="false" applyProtection="false"/>
    <xf numFmtId="166" fontId="16" fillId="0" borderId="0" applyFont="false" applyFill="false" applyBorder="false" applyAlignment="false" applyProtection="false"/>
    <xf numFmtId="166" fontId="16" fillId="0" borderId="0" applyFont="false" applyFill="false" applyBorder="false" applyAlignment="false" applyProtection="false"/>
    <xf numFmtId="168" fontId="16" fillId="0" borderId="0" applyFont="false" applyFill="false" applyBorder="false" applyAlignment="false" applyProtection="false"/>
    <xf numFmtId="0" fontId="16" fillId="0" borderId="0" applyFont="false" applyFill="false" applyBorder="false" applyAlignment="false" applyProtection="false"/>
    <xf numFmtId="169" fontId="17" fillId="0" borderId="0">
      <protection locked="false"/>
    </xf>
    <xf numFmtId="169" fontId="18" fillId="0" borderId="0">
      <protection locked="false"/>
    </xf>
    <xf numFmtId="169" fontId="19" fillId="0" borderId="0">
      <protection locked="false"/>
    </xf>
    <xf numFmtId="169" fontId="19" fillId="0" borderId="0">
      <protection locked="false"/>
    </xf>
    <xf numFmtId="169" fontId="18" fillId="0" borderId="0">
      <protection locked="false"/>
    </xf>
    <xf numFmtId="169" fontId="20" fillId="0" borderId="0">
      <protection locked="false"/>
    </xf>
    <xf numFmtId="169" fontId="18" fillId="0" borderId="0">
      <protection locked="false"/>
    </xf>
    <xf numFmtId="2" fontId="16" fillId="0" borderId="0" applyFont="false" applyFill="false" applyBorder="false" applyAlignment="false" applyProtection="false"/>
    <xf numFmtId="0" fontId="21" fillId="0" borderId="0" applyNumberFormat="false" applyFill="false" applyBorder="false" applyAlignment="false" applyProtection="false"/>
    <xf numFmtId="0" fontId="22" fillId="0" borderId="0" applyNumberFormat="false" applyFill="false" applyBorder="false" applyAlignment="false" applyProtection="false"/>
    <xf numFmtId="170" fontId="19" fillId="0" borderId="0">
      <protection locked="false"/>
    </xf>
    <xf numFmtId="170" fontId="19" fillId="0" borderId="0">
      <protection locked="false"/>
    </xf>
    <xf numFmtId="9" fontId="16" fillId="0" borderId="0" applyFont="false" applyFill="false" applyBorder="false" applyAlignment="false" applyProtection="false"/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0" fontId="48" fillId="0" borderId="0" applyNumberFormat="false" applyFill="false" applyBorder="false" applyAlignment="false" applyProtection="false"/>
    <xf numFmtId="0" fontId="49" fillId="0" borderId="0" applyNumberFormat="false" applyFill="false" applyBorder="false" applyProtection="false">
      <alignment horizontal="center"/>
    </xf>
    <xf numFmtId="0" fontId="48" fillId="0" borderId="0" applyNumberFormat="false" applyFill="false" applyBorder="false" applyProtection="false">
      <alignment horizontal="center"/>
    </xf>
    <xf numFmtId="0" fontId="48" fillId="0" borderId="0" applyNumberFormat="false" applyFill="false" applyBorder="false" applyAlignment="false" applyProtection="false"/>
    <xf numFmtId="0" fontId="24" fillId="0" borderId="0" applyNumberFormat="false" applyFill="false" applyBorder="false" applyAlignment="false" applyProtection="false"/>
    <xf numFmtId="0" fontId="25" fillId="33" borderId="0" applyNumberFormat="false" applyProtection="false">
      <alignment horizontal="left" vertical="center"/>
    </xf>
    <xf numFmtId="171" fontId="26" fillId="33" borderId="0" applyProtection="false">
      <alignment horizontal="right" vertical="center"/>
    </xf>
    <xf numFmtId="0" fontId="27" fillId="33" borderId="0" applyNumberFormat="false" applyProtection="false">
      <alignment horizontal="left" vertical="center"/>
    </xf>
    <xf numFmtId="0" fontId="28" fillId="33" borderId="0" applyNumberFormat="false" applyProtection="false">
      <alignment horizontal="center" vertical="center"/>
    </xf>
    <xf numFmtId="4" fontId="29" fillId="33" borderId="0" applyProtection="false">
      <alignment horizontal="center" vertical="center"/>
    </xf>
    <xf numFmtId="0" fontId="30" fillId="34" borderId="0" applyNumberFormat="false" applyProtection="false">
      <alignment horizontal="center" vertical="center"/>
    </xf>
    <xf numFmtId="4" fontId="31" fillId="34" borderId="0" applyProtection="false">
      <alignment horizontal="center" vertical="center"/>
    </xf>
    <xf numFmtId="0" fontId="23" fillId="33" borderId="0" applyNumberFormat="false" applyProtection="false">
      <alignment horizontal="center" vertical="center"/>
    </xf>
    <xf numFmtId="4" fontId="32" fillId="33" borderId="0" applyProtection="false">
      <alignment horizontal="center" vertical="center"/>
    </xf>
    <xf numFmtId="0" fontId="33" fillId="35" borderId="0" applyNumberFormat="false" applyProtection="false">
      <alignment horizontal="center" vertical="center"/>
    </xf>
    <xf numFmtId="4" fontId="34" fillId="35" borderId="0" applyProtection="false">
      <alignment horizontal="center" vertical="center"/>
    </xf>
    <xf numFmtId="0" fontId="35" fillId="33" borderId="0" applyNumberFormat="false" applyProtection="false">
      <alignment horizontal="left" vertical="center"/>
    </xf>
    <xf numFmtId="0" fontId="36" fillId="33" borderId="0" applyNumberFormat="false" applyProtection="false">
      <alignment horizontal="center" vertical="center" wrapText="true"/>
    </xf>
    <xf numFmtId="0" fontId="37" fillId="33" borderId="0" applyNumberFormat="false" applyProtection="false">
      <alignment horizontal="left" vertical="center"/>
    </xf>
    <xf numFmtId="171" fontId="26" fillId="33" borderId="11" applyProtection="false">
      <alignment horizontal="right" vertical="center"/>
    </xf>
    <xf numFmtId="0" fontId="38" fillId="33" borderId="0" applyNumberFormat="false" applyProtection="false">
      <alignment horizontal="left" vertical="center"/>
    </xf>
    <xf numFmtId="0" fontId="39" fillId="34" borderId="0" applyNumberFormat="false" applyProtection="false">
      <alignment horizontal="center" vertical="center" wrapText="true"/>
    </xf>
    <xf numFmtId="0" fontId="40" fillId="33" borderId="0" applyNumberFormat="false" applyProtection="false">
      <alignment horizontal="center" vertical="center" wrapText="true"/>
    </xf>
    <xf numFmtId="0" fontId="36" fillId="33" borderId="0" applyNumberFormat="false" applyProtection="false">
      <alignment horizontal="center" vertical="center" wrapText="true"/>
    </xf>
    <xf numFmtId="0" fontId="41" fillId="35" borderId="0" applyNumberFormat="false" applyProtection="false">
      <alignment horizontal="center" vertical="center" wrapText="true"/>
    </xf>
    <xf numFmtId="0" fontId="42" fillId="33" borderId="0" applyNumberFormat="false" applyProtection="false">
      <alignment horizontal="center" vertical="center" wrapText="true"/>
    </xf>
    <xf numFmtId="0" fontId="36" fillId="36" borderId="0" applyNumberFormat="false" applyProtection="false">
      <alignment horizontal="center" vertical="center" wrapText="true"/>
    </xf>
    <xf numFmtId="0" fontId="39" fillId="34" borderId="0" applyNumberFormat="false" applyProtection="false">
      <alignment horizontal="center" vertical="center" wrapText="true"/>
    </xf>
    <xf numFmtId="4" fontId="43" fillId="34" borderId="0" applyProtection="false">
      <alignment horizontal="center" vertical="top" wrapText="true"/>
    </xf>
    <xf numFmtId="0" fontId="40" fillId="33" borderId="0" applyNumberFormat="false" applyProtection="false">
      <alignment horizontal="center" vertical="center" wrapText="true"/>
    </xf>
    <xf numFmtId="4" fontId="44" fillId="33" borderId="0" applyProtection="false">
      <alignment horizontal="center" vertical="top" wrapText="true"/>
    </xf>
    <xf numFmtId="0" fontId="41" fillId="35" borderId="0" applyNumberFormat="false" applyProtection="false">
      <alignment horizontal="center" vertical="center" wrapText="true"/>
    </xf>
    <xf numFmtId="4" fontId="45" fillId="35" borderId="0" applyProtection="false">
      <alignment horizontal="center" vertical="top" wrapText="true"/>
    </xf>
    <xf numFmtId="0" fontId="36" fillId="36" borderId="0" applyNumberFormat="false" applyProtection="false">
      <alignment horizontal="center" vertical="center" wrapText="true"/>
    </xf>
    <xf numFmtId="4" fontId="46" fillId="36" borderId="0" applyProtection="false">
      <alignment horizontal="center" vertical="top" wrapText="true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17" fontId="23" fillId="33" borderId="0" applyProtection="false">
      <alignment horizontal="center" vertical="center"/>
    </xf>
    <xf numFmtId="0" fontId="16" fillId="0" borderId="12" applyNumberFormat="false" applyFont="false" applyFill="false" applyAlignment="false" applyProtection="false"/>
    <xf numFmtId="167" fontId="16" fillId="0" borderId="0" applyFont="false" applyFill="false" applyBorder="false" applyAlignment="false" applyProtection="false"/>
    <xf numFmtId="0" fontId="50" fillId="4" borderId="0" applyNumberFormat="false" applyBorder="false" applyAlignment="false" applyProtection="false"/>
    <xf numFmtId="0" fontId="15" fillId="12" borderId="0" applyNumberFormat="false" applyBorder="false" applyAlignment="false" applyProtection="false"/>
    <xf numFmtId="0" fontId="15" fillId="16" borderId="0" applyNumberFormat="false" applyBorder="false" applyAlignment="false" applyProtection="false"/>
    <xf numFmtId="0" fontId="15" fillId="20" borderId="0" applyNumberFormat="false" applyBorder="false" applyAlignment="false" applyProtection="false"/>
    <xf numFmtId="0" fontId="15" fillId="24" borderId="0" applyNumberFormat="false" applyBorder="false" applyAlignment="false" applyProtection="false"/>
    <xf numFmtId="0" fontId="15" fillId="28" borderId="0" applyNumberFormat="false" applyBorder="false" applyAlignment="false" applyProtection="false"/>
    <xf numFmtId="0" fontId="15" fillId="32" borderId="0" applyNumberFormat="false" applyBorder="false" applyAlignment="false" applyProtection="false"/>
    <xf numFmtId="0" fontId="49" fillId="0" borderId="0" applyNumberFormat="false" applyFill="false" applyBorder="false" applyAlignment="false" applyProtection="false"/>
    <xf numFmtId="0" fontId="48" fillId="0" borderId="0" applyNumberFormat="false" applyFill="false" applyBorder="false" applyAlignment="false" applyProtection="false"/>
    <xf numFmtId="0" fontId="49" fillId="0" borderId="0" applyNumberFormat="false" applyFill="false" applyBorder="false" applyProtection="false">
      <alignment horizontal="center"/>
    </xf>
    <xf numFmtId="0" fontId="48" fillId="0" borderId="0" applyNumberFormat="false" applyFill="false" applyBorder="false" applyProtection="false">
      <alignment horizontal="center"/>
    </xf>
    <xf numFmtId="0" fontId="48" fillId="38" borderId="0" applyNumberFormat="false" applyBorder="false" applyAlignment="false" applyProtection="false"/>
    <xf numFmtId="0" fontId="48" fillId="0" borderId="0" applyNumberFormat="false" applyFill="false" applyBorder="false" applyAlignment="false" applyProtection="false"/>
    <xf numFmtId="0" fontId="24" fillId="0" borderId="0" applyNumberFormat="false" applyFill="false" applyBorder="false" applyAlignment="false" applyProtection="false"/>
    <xf numFmtId="0" fontId="51" fillId="37" borderId="0" applyNumberFormat="false" applyBorder="false" applyAlignment="false" applyProtection="false"/>
    <xf numFmtId="0" fontId="52" fillId="0" borderId="0" applyNumberFormat="false" applyFill="false" applyBorder="false" applyAlignment="false" applyProtection="false"/>
    <xf numFmtId="0" fontId="53" fillId="35" borderId="0" applyNumberFormat="false" applyBorder="false" applyAlignment="false" applyProtection="false"/>
    <xf numFmtId="0" fontId="48" fillId="36" borderId="0" applyNumberFormat="false" applyBorder="false" applyAlignment="false" applyProtection="false"/>
    <xf numFmtId="0" fontId="48" fillId="39" borderId="0" applyNumberFormat="false" applyBorder="false" applyAlignment="false" applyProtection="false"/>
    <xf numFmtId="0" fontId="48" fillId="40" borderId="0" applyNumberFormat="false" applyBorder="false" applyAlignment="false" applyProtection="false"/>
    <xf numFmtId="0" fontId="48" fillId="41" borderId="0" applyNumberFormat="false" applyBorder="false" applyAlignment="false" applyProtection="false"/>
    <xf numFmtId="0" fontId="48" fillId="42" borderId="0" applyNumberFormat="false" applyBorder="false" applyAlignment="false" applyProtection="false"/>
    <xf numFmtId="0" fontId="48" fillId="38" borderId="0" applyNumberFormat="false" applyBorder="false" applyAlignment="false" applyProtection="false"/>
    <xf numFmtId="0" fontId="48" fillId="43" borderId="0" applyNumberFormat="false" applyBorder="false" applyAlignment="false" applyProtection="false"/>
    <xf numFmtId="172" fontId="16" fillId="0" borderId="0" applyFont="false" applyFill="false" applyBorder="false" applyAlignment="false" applyProtection="false"/>
    <xf numFmtId="0" fontId="54" fillId="0" borderId="0" applyNumberFormat="false" applyFill="false" applyBorder="false" applyAlignment="false" applyProtection="false"/>
    <xf numFmtId="0" fontId="3" fillId="0" borderId="2" applyNumberFormat="false" applyFill="false" applyAlignment="false" applyProtection="false"/>
    <xf numFmtId="0" fontId="4" fillId="0" borderId="3" applyNumberFormat="false" applyFill="false" applyAlignment="false" applyProtection="false"/>
    <xf numFmtId="0" fontId="2" fillId="8" borderId="9" applyNumberFormat="false" applyFont="false" applyAlignment="false" applyProtection="false"/>
    <xf numFmtId="0" fontId="1" fillId="0" borderId="10" applyNumberFormat="false" applyFill="false" applyAlignment="false" applyProtection="false"/>
    <xf numFmtId="172" fontId="16" fillId="0" borderId="0" applyFont="false" applyFill="false" applyBorder="false" applyAlignment="false" applyProtection="false"/>
    <xf numFmtId="0" fontId="2" fillId="8" borderId="9" applyNumberFormat="false" applyFont="false" applyAlignment="false" applyProtection="false"/>
    <xf numFmtId="0" fontId="2" fillId="10" borderId="0" applyNumberFormat="false" applyBorder="false" applyAlignment="false" applyProtection="false"/>
    <xf numFmtId="0" fontId="2" fillId="11" borderId="0" applyNumberFormat="false" applyBorder="false" applyAlignment="false" applyProtection="false"/>
    <xf numFmtId="0" fontId="2" fillId="14" borderId="0" applyNumberFormat="false" applyBorder="false" applyAlignment="false" applyProtection="false"/>
    <xf numFmtId="0" fontId="2" fillId="15" borderId="0" applyNumberFormat="false" applyBorder="false" applyAlignment="false" applyProtection="false"/>
    <xf numFmtId="0" fontId="2" fillId="18" borderId="0" applyNumberFormat="false" applyBorder="false" applyAlignment="false" applyProtection="false"/>
    <xf numFmtId="0" fontId="2" fillId="19" borderId="0" applyNumberFormat="false" applyBorder="false" applyAlignment="false" applyProtection="false"/>
    <xf numFmtId="0" fontId="2" fillId="22" borderId="0" applyNumberFormat="false" applyBorder="false" applyAlignment="false" applyProtection="false"/>
    <xf numFmtId="0" fontId="2" fillId="23" borderId="0" applyNumberFormat="false" applyBorder="false" applyAlignment="false" applyProtection="false"/>
    <xf numFmtId="0" fontId="2" fillId="26" borderId="0" applyNumberFormat="false" applyBorder="false" applyAlignment="false" applyProtection="false"/>
    <xf numFmtId="0" fontId="2" fillId="27" borderId="0" applyNumberFormat="false" applyBorder="false" applyAlignment="false" applyProtection="false"/>
    <xf numFmtId="0" fontId="2" fillId="30" borderId="0" applyNumberFormat="false" applyBorder="false" applyAlignment="false" applyProtection="false"/>
    <xf numFmtId="0" fontId="2" fillId="31" borderId="0" applyNumberFormat="false" applyBorder="false" applyAlignment="false" applyProtection="false"/>
    <xf numFmtId="4" fontId="47" fillId="0" borderId="0" applyFill="false" applyBorder="false" applyAlignment="false" applyProtection="false"/>
    <xf numFmtId="4" fontId="55" fillId="37" borderId="0" applyBorder="false" applyAlignment="false" applyProtection="false"/>
    <xf numFmtId="4" fontId="49" fillId="43" borderId="0" applyBorder="false" applyAlignment="false" applyProtection="false"/>
    <xf numFmtId="0" fontId="56" fillId="0" borderId="13" applyNumberFormat="false" applyFont="false" applyProtection="false">
      <alignment wrapText="true"/>
    </xf>
    <xf numFmtId="0" fontId="16" fillId="0" borderId="0"/>
    <xf numFmtId="0" fontId="2" fillId="0" borderId="14"/>
    <xf numFmtId="0" fontId="5" fillId="0" borderId="14" applyNumberFormat="false" applyFill="false" applyBorder="false" applyAlignment="false" applyProtection="false"/>
    <xf numFmtId="0" fontId="6" fillId="2" borderId="14" applyNumberFormat="false" applyBorder="false" applyAlignment="false" applyProtection="false"/>
    <xf numFmtId="0" fontId="7" fillId="3" borderId="14" applyNumberFormat="false" applyBorder="false" applyAlignment="false" applyProtection="false"/>
    <xf numFmtId="0" fontId="13" fillId="0" borderId="14" applyNumberFormat="false" applyFill="false" applyBorder="false" applyAlignment="false" applyProtection="false"/>
    <xf numFmtId="0" fontId="14" fillId="0" borderId="14" applyNumberFormat="false" applyFill="false" applyBorder="false" applyAlignment="false" applyProtection="false"/>
    <xf numFmtId="0" fontId="15" fillId="9" borderId="14" applyNumberFormat="false" applyBorder="false" applyAlignment="false" applyProtection="false"/>
    <xf numFmtId="0" fontId="2" fillId="44" borderId="14" applyNumberFormat="false" applyBorder="false" applyAlignment="false" applyProtection="false"/>
    <xf numFmtId="0" fontId="2" fillId="45" borderId="14" applyNumberFormat="false" applyBorder="false" applyAlignment="false" applyProtection="false"/>
    <xf numFmtId="0" fontId="15" fillId="13" borderId="14" applyNumberFormat="false" applyBorder="false" applyAlignment="false" applyProtection="false"/>
    <xf numFmtId="0" fontId="2" fillId="46" borderId="14" applyNumberFormat="false" applyBorder="false" applyAlignment="false" applyProtection="false"/>
    <xf numFmtId="0" fontId="2" fillId="47" borderId="14" applyNumberFormat="false" applyBorder="false" applyAlignment="false" applyProtection="false"/>
    <xf numFmtId="0" fontId="15" fillId="17" borderId="14" applyNumberFormat="false" applyBorder="false" applyAlignment="false" applyProtection="false"/>
    <xf numFmtId="0" fontId="2" fillId="48" borderId="14" applyNumberFormat="false" applyBorder="false" applyAlignment="false" applyProtection="false"/>
    <xf numFmtId="0" fontId="2" fillId="49" borderId="14" applyNumberFormat="false" applyBorder="false" applyAlignment="false" applyProtection="false"/>
    <xf numFmtId="0" fontId="15" fillId="21" borderId="14" applyNumberFormat="false" applyBorder="false" applyAlignment="false" applyProtection="false"/>
    <xf numFmtId="0" fontId="2" fillId="50" borderId="14" applyNumberFormat="false" applyBorder="false" applyAlignment="false" applyProtection="false"/>
    <xf numFmtId="0" fontId="2" fillId="51" borderId="14" applyNumberFormat="false" applyBorder="false" applyAlignment="false" applyProtection="false"/>
    <xf numFmtId="0" fontId="15" fillId="25" borderId="14" applyNumberFormat="false" applyBorder="false" applyAlignment="false" applyProtection="false"/>
    <xf numFmtId="0" fontId="2" fillId="52" borderId="14" applyNumberFormat="false" applyBorder="false" applyAlignment="false" applyProtection="false"/>
    <xf numFmtId="0" fontId="2" fillId="53" borderId="14" applyNumberFormat="false" applyBorder="false" applyAlignment="false" applyProtection="false"/>
    <xf numFmtId="0" fontId="15" fillId="29" borderId="14" applyNumberFormat="false" applyBorder="false" applyAlignment="false" applyProtection="false"/>
    <xf numFmtId="0" fontId="2" fillId="54" borderId="14" applyNumberFormat="false" applyBorder="false" applyAlignment="false" applyProtection="false"/>
    <xf numFmtId="0" fontId="2" fillId="55" borderId="14" applyNumberFormat="false" applyBorder="false" applyAlignment="false" applyProtection="false"/>
    <xf numFmtId="0" fontId="16" fillId="0" borderId="14"/>
    <xf numFmtId="3" fontId="16" fillId="0" borderId="14" applyFont="false" applyFill="false" applyBorder="false" applyAlignment="false" applyProtection="false"/>
    <xf numFmtId="166" fontId="16" fillId="0" borderId="14" applyFont="false" applyFill="false" applyBorder="false" applyAlignment="false" applyProtection="false"/>
    <xf numFmtId="166" fontId="16" fillId="0" borderId="14" applyFont="false" applyFill="false" applyBorder="false" applyAlignment="false" applyProtection="false"/>
    <xf numFmtId="168" fontId="16" fillId="0" borderId="14" applyFont="false" applyFill="false" applyBorder="false" applyAlignment="false" applyProtection="false"/>
    <xf numFmtId="0" fontId="16" fillId="0" borderId="14" applyFont="false" applyFill="false" applyBorder="false" applyAlignment="false" applyProtection="false"/>
    <xf numFmtId="169" fontId="17" fillId="0" borderId="14">
      <protection locked="false"/>
    </xf>
    <xf numFmtId="169" fontId="18" fillId="0" borderId="14">
      <protection locked="false"/>
    </xf>
    <xf numFmtId="169" fontId="19" fillId="0" borderId="14">
      <protection locked="false"/>
    </xf>
    <xf numFmtId="169" fontId="19" fillId="0" borderId="14">
      <protection locked="false"/>
    </xf>
    <xf numFmtId="169" fontId="18" fillId="0" borderId="14">
      <protection locked="false"/>
    </xf>
    <xf numFmtId="169" fontId="20" fillId="0" borderId="14">
      <protection locked="false"/>
    </xf>
    <xf numFmtId="169" fontId="18" fillId="0" borderId="14">
      <protection locked="false"/>
    </xf>
    <xf numFmtId="2" fontId="16" fillId="0" borderId="14" applyFont="false" applyFill="false" applyBorder="false" applyAlignment="false" applyProtection="false"/>
    <xf numFmtId="0" fontId="21" fillId="0" borderId="14" applyNumberFormat="false" applyFill="false" applyBorder="false" applyAlignment="false" applyProtection="false"/>
    <xf numFmtId="0" fontId="22" fillId="0" borderId="14" applyNumberFormat="false" applyFill="false" applyBorder="false" applyAlignment="false" applyProtection="false"/>
    <xf numFmtId="170" fontId="19" fillId="0" borderId="14">
      <protection locked="false"/>
    </xf>
    <xf numFmtId="170" fontId="19" fillId="0" borderId="14">
      <protection locked="false"/>
    </xf>
    <xf numFmtId="9" fontId="16" fillId="0" borderId="14" applyFont="false" applyFill="false" applyBorder="false" applyAlignment="false" applyProtection="false"/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0" fontId="48" fillId="0" borderId="14" applyNumberFormat="false" applyFill="false" applyBorder="false" applyAlignment="false" applyProtection="false"/>
    <xf numFmtId="0" fontId="49" fillId="0" borderId="14" applyNumberFormat="false" applyFill="false" applyBorder="false" applyProtection="false">
      <alignment horizontal="center"/>
    </xf>
    <xf numFmtId="0" fontId="48" fillId="0" borderId="14" applyNumberFormat="false" applyFill="false" applyBorder="false" applyProtection="false">
      <alignment horizontal="center"/>
    </xf>
    <xf numFmtId="0" fontId="48" fillId="0" borderId="14" applyNumberFormat="false" applyFill="false" applyBorder="false" applyAlignment="false" applyProtection="false"/>
    <xf numFmtId="0" fontId="24" fillId="0" borderId="14" applyNumberFormat="false" applyFill="false" applyBorder="false" applyAlignment="false" applyProtection="false"/>
    <xf numFmtId="0" fontId="25" fillId="33" borderId="14" applyNumberFormat="false" applyProtection="false">
      <alignment horizontal="left" vertical="center"/>
    </xf>
    <xf numFmtId="171" fontId="26" fillId="33" borderId="14" applyProtection="false">
      <alignment horizontal="right" vertical="center"/>
    </xf>
    <xf numFmtId="0" fontId="27" fillId="33" borderId="14" applyNumberFormat="false" applyProtection="false">
      <alignment horizontal="left" vertical="center"/>
    </xf>
    <xf numFmtId="0" fontId="28" fillId="33" borderId="14" applyNumberFormat="false" applyProtection="false">
      <alignment horizontal="center" vertical="center"/>
    </xf>
    <xf numFmtId="4" fontId="29" fillId="33" borderId="14" applyProtection="false">
      <alignment horizontal="center" vertical="center"/>
    </xf>
    <xf numFmtId="0" fontId="30" fillId="34" borderId="14" applyNumberFormat="false" applyProtection="false">
      <alignment horizontal="center" vertical="center"/>
    </xf>
    <xf numFmtId="4" fontId="31" fillId="34" borderId="14" applyProtection="false">
      <alignment horizontal="center" vertical="center"/>
    </xf>
    <xf numFmtId="0" fontId="23" fillId="33" borderId="14" applyNumberFormat="false" applyProtection="false">
      <alignment horizontal="center" vertical="center"/>
    </xf>
    <xf numFmtId="4" fontId="32" fillId="33" borderId="14" applyProtection="false">
      <alignment horizontal="center" vertical="center"/>
    </xf>
    <xf numFmtId="0" fontId="33" fillId="35" borderId="14" applyNumberFormat="false" applyProtection="false">
      <alignment horizontal="center" vertical="center"/>
    </xf>
    <xf numFmtId="4" fontId="34" fillId="35" borderId="14" applyProtection="false">
      <alignment horizontal="center" vertical="center"/>
    </xf>
    <xf numFmtId="0" fontId="35" fillId="33" borderId="14" applyNumberFormat="false" applyProtection="false">
      <alignment horizontal="left" vertical="center"/>
    </xf>
    <xf numFmtId="0" fontId="36" fillId="33" borderId="14" applyNumberFormat="false" applyProtection="false">
      <alignment horizontal="center" vertical="center" wrapText="true"/>
    </xf>
    <xf numFmtId="0" fontId="37" fillId="33" borderId="14" applyNumberFormat="false" applyProtection="false">
      <alignment horizontal="left" vertical="center"/>
    </xf>
    <xf numFmtId="0" fontId="38" fillId="33" borderId="14" applyNumberFormat="false" applyProtection="false">
      <alignment horizontal="left" vertical="center"/>
    </xf>
    <xf numFmtId="0" fontId="39" fillId="34" borderId="14" applyNumberFormat="false" applyProtection="false">
      <alignment horizontal="center" vertical="center" wrapText="true"/>
    </xf>
    <xf numFmtId="0" fontId="40" fillId="33" borderId="14" applyNumberFormat="false" applyProtection="false">
      <alignment horizontal="center" vertical="center" wrapText="true"/>
    </xf>
    <xf numFmtId="0" fontId="36" fillId="33" borderId="14" applyNumberFormat="false" applyProtection="false">
      <alignment horizontal="center" vertical="center" wrapText="true"/>
    </xf>
    <xf numFmtId="0" fontId="41" fillId="35" borderId="14" applyNumberFormat="false" applyProtection="false">
      <alignment horizontal="center" vertical="center" wrapText="true"/>
    </xf>
    <xf numFmtId="0" fontId="42" fillId="33" borderId="14" applyNumberFormat="false" applyProtection="false">
      <alignment horizontal="center" vertical="center" wrapText="true"/>
    </xf>
    <xf numFmtId="0" fontId="36" fillId="36" borderId="14" applyNumberFormat="false" applyProtection="false">
      <alignment horizontal="center" vertical="center" wrapText="true"/>
    </xf>
    <xf numFmtId="0" fontId="39" fillId="34" borderId="14" applyNumberFormat="false" applyProtection="false">
      <alignment horizontal="center" vertical="center" wrapText="true"/>
    </xf>
    <xf numFmtId="4" fontId="43" fillId="34" borderId="14" applyProtection="false">
      <alignment horizontal="center" vertical="top" wrapText="true"/>
    </xf>
    <xf numFmtId="0" fontId="40" fillId="33" borderId="14" applyNumberFormat="false" applyProtection="false">
      <alignment horizontal="center" vertical="center" wrapText="true"/>
    </xf>
    <xf numFmtId="4" fontId="44" fillId="33" borderId="14" applyProtection="false">
      <alignment horizontal="center" vertical="top" wrapText="true"/>
    </xf>
    <xf numFmtId="0" fontId="41" fillId="35" borderId="14" applyNumberFormat="false" applyProtection="false">
      <alignment horizontal="center" vertical="center" wrapText="true"/>
    </xf>
    <xf numFmtId="4" fontId="45" fillId="35" borderId="14" applyProtection="false">
      <alignment horizontal="center" vertical="top" wrapText="true"/>
    </xf>
    <xf numFmtId="0" fontId="36" fillId="36" borderId="14" applyNumberFormat="false" applyProtection="false">
      <alignment horizontal="center" vertical="center" wrapText="true"/>
    </xf>
    <xf numFmtId="4" fontId="46" fillId="36" borderId="14" applyProtection="false">
      <alignment horizontal="center" vertical="top" wrapText="true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17" fontId="23" fillId="33" borderId="14" applyProtection="false">
      <alignment horizontal="center" vertical="center"/>
    </xf>
    <xf numFmtId="0" fontId="2" fillId="0" borderId="14"/>
    <xf numFmtId="167" fontId="16" fillId="0" borderId="14" applyFont="false" applyFill="false" applyBorder="false" applyAlignment="false" applyProtection="false"/>
    <xf numFmtId="0" fontId="50" fillId="4" borderId="14" applyNumberFormat="false" applyBorder="false" applyAlignment="false" applyProtection="false"/>
    <xf numFmtId="0" fontId="15" fillId="12" borderId="14" applyNumberFormat="false" applyBorder="false" applyAlignment="false" applyProtection="false"/>
    <xf numFmtId="0" fontId="15" fillId="16" borderId="14" applyNumberFormat="false" applyBorder="false" applyAlignment="false" applyProtection="false"/>
    <xf numFmtId="0" fontId="15" fillId="20" borderId="14" applyNumberFormat="false" applyBorder="false" applyAlignment="false" applyProtection="false"/>
    <xf numFmtId="0" fontId="15" fillId="24" borderId="14" applyNumberFormat="false" applyBorder="false" applyAlignment="false" applyProtection="false"/>
    <xf numFmtId="0" fontId="15" fillId="28" borderId="14" applyNumberFormat="false" applyBorder="false" applyAlignment="false" applyProtection="false"/>
    <xf numFmtId="0" fontId="15" fillId="32" borderId="14" applyNumberFormat="false" applyBorder="false" applyAlignment="false" applyProtection="false"/>
    <xf numFmtId="0" fontId="49" fillId="0" borderId="14" applyNumberFormat="false" applyFill="false" applyBorder="false" applyAlignment="false" applyProtection="false"/>
    <xf numFmtId="0" fontId="48" fillId="0" borderId="14" applyNumberFormat="false" applyFill="false" applyBorder="false" applyAlignment="false" applyProtection="false"/>
    <xf numFmtId="0" fontId="49" fillId="0" borderId="14" applyNumberFormat="false" applyFill="false" applyBorder="false" applyProtection="false">
      <alignment horizontal="center"/>
    </xf>
    <xf numFmtId="0" fontId="48" fillId="0" borderId="14" applyNumberFormat="false" applyFill="false" applyBorder="false" applyProtection="false">
      <alignment horizontal="center"/>
    </xf>
    <xf numFmtId="0" fontId="48" fillId="38" borderId="14" applyNumberFormat="false" applyBorder="false" applyAlignment="false" applyProtection="false"/>
    <xf numFmtId="0" fontId="48" fillId="0" borderId="14" applyNumberFormat="false" applyFill="false" applyBorder="false" applyAlignment="false" applyProtection="false"/>
    <xf numFmtId="0" fontId="24" fillId="0" borderId="14" applyNumberFormat="false" applyFill="false" applyBorder="false" applyAlignment="false" applyProtection="false"/>
    <xf numFmtId="0" fontId="51" fillId="37" borderId="14" applyNumberFormat="false" applyBorder="false" applyAlignment="false" applyProtection="false"/>
    <xf numFmtId="0" fontId="52" fillId="0" borderId="14" applyNumberFormat="false" applyFill="false" applyBorder="false" applyAlignment="false" applyProtection="false"/>
    <xf numFmtId="0" fontId="53" fillId="35" borderId="14" applyNumberFormat="false" applyBorder="false" applyAlignment="false" applyProtection="false"/>
    <xf numFmtId="0" fontId="48" fillId="36" borderId="14" applyNumberFormat="false" applyBorder="false" applyAlignment="false" applyProtection="false"/>
    <xf numFmtId="0" fontId="48" fillId="39" borderId="14" applyNumberFormat="false" applyBorder="false" applyAlignment="false" applyProtection="false"/>
    <xf numFmtId="0" fontId="48" fillId="40" borderId="14" applyNumberFormat="false" applyBorder="false" applyAlignment="false" applyProtection="false"/>
    <xf numFmtId="0" fontId="48" fillId="41" borderId="14" applyNumberFormat="false" applyBorder="false" applyAlignment="false" applyProtection="false"/>
    <xf numFmtId="0" fontId="48" fillId="42" borderId="14" applyNumberFormat="false" applyBorder="false" applyAlignment="false" applyProtection="false"/>
    <xf numFmtId="0" fontId="48" fillId="38" borderId="14" applyNumberFormat="false" applyBorder="false" applyAlignment="false" applyProtection="false"/>
    <xf numFmtId="0" fontId="48" fillId="43" borderId="14" applyNumberFormat="false" applyBorder="false" applyAlignment="false" applyProtection="false"/>
    <xf numFmtId="172" fontId="16" fillId="0" borderId="14" applyFont="false" applyFill="false" applyBorder="false" applyAlignment="false" applyProtection="false"/>
    <xf numFmtId="0" fontId="54" fillId="0" borderId="14" applyNumberFormat="false" applyFill="false" applyBorder="false" applyAlignment="false" applyProtection="false"/>
    <xf numFmtId="0" fontId="4" fillId="0" borderId="15" applyNumberFormat="false" applyFill="false" applyAlignment="false" applyProtection="false"/>
    <xf numFmtId="172" fontId="16" fillId="0" borderId="14" applyFont="false" applyFill="false" applyBorder="false" applyAlignment="false" applyProtection="false"/>
    <xf numFmtId="0" fontId="2" fillId="44" borderId="14" applyNumberFormat="false" applyBorder="false" applyAlignment="false" applyProtection="false"/>
    <xf numFmtId="0" fontId="2" fillId="45" borderId="14" applyNumberFormat="false" applyBorder="false" applyAlignment="false" applyProtection="false"/>
    <xf numFmtId="0" fontId="2" fillId="46" borderId="14" applyNumberFormat="false" applyBorder="false" applyAlignment="false" applyProtection="false"/>
    <xf numFmtId="0" fontId="2" fillId="47" borderId="14" applyNumberFormat="false" applyBorder="false" applyAlignment="false" applyProtection="false"/>
    <xf numFmtId="0" fontId="2" fillId="48" borderId="14" applyNumberFormat="false" applyBorder="false" applyAlignment="false" applyProtection="false"/>
    <xf numFmtId="0" fontId="2" fillId="49" borderId="14" applyNumberFormat="false" applyBorder="false" applyAlignment="false" applyProtection="false"/>
    <xf numFmtId="0" fontId="2" fillId="50" borderId="14" applyNumberFormat="false" applyBorder="false" applyAlignment="false" applyProtection="false"/>
    <xf numFmtId="0" fontId="2" fillId="51" borderId="14" applyNumberFormat="false" applyBorder="false" applyAlignment="false" applyProtection="false"/>
    <xf numFmtId="0" fontId="2" fillId="52" borderId="14" applyNumberFormat="false" applyBorder="false" applyAlignment="false" applyProtection="false"/>
    <xf numFmtId="0" fontId="2" fillId="53" borderId="14" applyNumberFormat="false" applyBorder="false" applyAlignment="false" applyProtection="false"/>
    <xf numFmtId="0" fontId="2" fillId="54" borderId="14" applyNumberFormat="false" applyBorder="false" applyAlignment="false" applyProtection="false"/>
    <xf numFmtId="0" fontId="2" fillId="55" borderId="14" applyNumberFormat="false" applyBorder="false" applyAlignment="false" applyProtection="false"/>
    <xf numFmtId="4" fontId="47" fillId="0" borderId="14" applyFill="false" applyBorder="false" applyAlignment="false" applyProtection="false"/>
    <xf numFmtId="4" fontId="55" fillId="37" borderId="14" applyBorder="false" applyAlignment="false" applyProtection="false"/>
    <xf numFmtId="4" fontId="49" fillId="43" borderId="14" applyBorder="false" applyAlignment="false" applyProtection="false"/>
    <xf numFmtId="0" fontId="16" fillId="0" borderId="14"/>
  </cellStyleXfs>
  <cellXfs count="47">
    <xf numFmtId="0" fontId="0" fillId="0" borderId="0" xfId="0"/>
    <xf numFmtId="0" fontId="0" fillId="0" borderId="0" xfId="0" applyAlignment="true">
      <alignment horizontal="center"/>
    </xf>
    <xf numFmtId="2" fontId="0" fillId="0" borderId="0" xfId="0" applyNumberFormat="true" applyAlignment="true">
      <alignment horizontal="center"/>
    </xf>
    <xf numFmtId="164" fontId="0" fillId="0" borderId="0" xfId="0" applyNumberFormat="true" applyAlignment="true">
      <alignment horizontal="center"/>
    </xf>
    <xf numFmtId="0" fontId="1" fillId="0" borderId="1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165" fontId="0" fillId="0" borderId="1" xfId="0" applyNumberFormat="true" applyBorder="true" applyAlignment="true">
      <alignment horizontal="center"/>
    </xf>
    <xf numFmtId="164" fontId="0" fillId="0" borderId="1" xfId="0" applyNumberFormat="true" applyBorder="true" applyAlignment="true">
      <alignment horizontal="center"/>
    </xf>
    <xf numFmtId="4" fontId="0" fillId="0" borderId="0" xfId="0" applyNumberFormat="true" applyAlignment="true">
      <alignment horizontal="center" vertical="center"/>
    </xf>
    <xf numFmtId="3" fontId="0" fillId="0" borderId="0" xfId="0" applyNumberFormat="true" applyAlignment="true">
      <alignment horizontal="center" vertical="center"/>
    </xf>
    <xf numFmtId="0" fontId="0" fillId="0" borderId="0" xfId="0" applyAlignment="true">
      <alignment textRotation="45"/>
    </xf>
    <xf numFmtId="0" fontId="1" fillId="0" borderId="0" xfId="0" applyFont="true" applyAlignment="true">
      <alignment horizontal="center" vertical="center" textRotation="45"/>
    </xf>
    <xf numFmtId="0" fontId="1" fillId="0" borderId="0" xfId="0" applyFont="true" applyAlignment="true">
      <alignment vertical="center" textRotation="45"/>
    </xf>
    <xf numFmtId="2" fontId="2" fillId="0" borderId="0" xfId="1" applyNumberFormat="true" applyAlignment="true">
      <alignment horizontal="center"/>
    </xf>
    <xf numFmtId="2" fontId="0" fillId="0" borderId="0" xfId="0" applyNumberFormat="true"/>
    <xf numFmtId="1" fontId="0" fillId="0" borderId="1" xfId="0" applyNumberFormat="true" applyBorder="true" applyAlignment="true">
      <alignment horizontal="center" vertical="center"/>
    </xf>
    <xf numFmtId="2" fontId="0" fillId="0" borderId="1" xfId="0" applyNumberFormat="true" applyBorder="true" applyAlignment="true">
      <alignment horizontal="center"/>
    </xf>
    <xf numFmtId="0" fontId="0" fillId="0" borderId="1" xfId="0" applyBorder="true"/>
    <xf numFmtId="2" fontId="0" fillId="0" borderId="1" xfId="0" applyNumberFormat="true" applyBorder="true" applyAlignment="true">
      <alignment horizontal="center" vertical="center"/>
    </xf>
    <xf numFmtId="2" fontId="2" fillId="0" borderId="1" xfId="293" applyNumberFormat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2" fontId="0" fillId="0" borderId="17" xfId="0" applyNumberFormat="true" applyBorder="true" applyAlignment="true">
      <alignment horizontal="center"/>
    </xf>
    <xf numFmtId="0" fontId="0" fillId="0" borderId="16" xfId="0" applyBorder="true"/>
    <xf numFmtId="0" fontId="0" fillId="0" borderId="18" xfId="0" applyBorder="true"/>
    <xf numFmtId="4" fontId="0" fillId="0" borderId="1" xfId="0" applyNumberFormat="true" applyBorder="true" applyAlignment="true">
      <alignment horizontal="center" vertical="center"/>
    </xf>
    <xf numFmtId="165" fontId="0" fillId="0" borderId="0" xfId="0" applyNumberFormat="true" applyAlignment="true">
      <alignment horizontal="center"/>
    </xf>
    <xf numFmtId="165" fontId="0" fillId="0" borderId="0" xfId="0" applyNumberFormat="true"/>
    <xf numFmtId="0" fontId="1" fillId="0" borderId="1" xfId="0" applyFont="true" applyBorder="true" applyAlignment="true">
      <alignment horizontal="center"/>
    </xf>
    <xf numFmtId="0" fontId="1" fillId="56" borderId="1" xfId="0" applyFont="true" applyFill="true" applyBorder="true" applyAlignment="true">
      <alignment horizontal="center"/>
    </xf>
    <xf numFmtId="165" fontId="0" fillId="56" borderId="1" xfId="0" applyNumberFormat="true" applyFill="true" applyBorder="true" applyAlignment="true">
      <alignment horizontal="center"/>
    </xf>
    <xf numFmtId="164" fontId="0" fillId="56" borderId="1" xfId="0" applyNumberFormat="true" applyFill="true" applyBorder="true" applyAlignment="true">
      <alignment horizontal="center"/>
    </xf>
    <xf numFmtId="0" fontId="0" fillId="0" borderId="0" xfId="0" applyFill="true"/>
    <xf numFmtId="0" fontId="1" fillId="0" borderId="1" xfId="0" applyFont="true" applyBorder="true" applyAlignment="true">
      <alignment horizontal="center"/>
    </xf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</cellXfs>
  <cellStyles count="339">
    <cellStyle name="20% - Accent1" xfId="14" builtinId="30" customBuiltin="true"/>
    <cellStyle name="20% - Accent1 2" xfId="159" xr:uid="{96B9C616-76A3-4012-BB41-FC77FCBBAC2E}"/>
    <cellStyle name="20% - Accent1 2 2" xfId="323" xr:uid="{1C99EA26-5103-4F8B-8BAD-112C7D22DC4F}"/>
    <cellStyle name="20% - Accent1 3" xfId="183" xr:uid="{48FF43EC-3FB7-4029-9C67-BBA6C609184C}"/>
    <cellStyle name="20% - Accent2" xfId="17" builtinId="34" customBuiltin="true"/>
    <cellStyle name="20% - Accent2 2" xfId="161" xr:uid="{BBF950CF-D350-409D-A007-7BDD2A845AEB}"/>
    <cellStyle name="20% - Accent2 2 2" xfId="325" xr:uid="{D217E538-598E-4066-8438-74F36CDBC473}"/>
    <cellStyle name="20% - Accent2 3" xfId="186" xr:uid="{F964D163-407C-4737-97E7-1CB45BAA2D4D}"/>
    <cellStyle name="20% - Accent3" xfId="20" builtinId="38" customBuiltin="true"/>
    <cellStyle name="20% - Accent3 2" xfId="163" xr:uid="{E47652F0-3595-4AB9-8654-D088F35BB8AB}"/>
    <cellStyle name="20% - Accent3 2 2" xfId="327" xr:uid="{6A855CD6-64B3-4332-B669-C122CE804D05}"/>
    <cellStyle name="20% - Accent3 3" xfId="189" xr:uid="{14459A74-E11D-4E5A-82F6-79C2F4F0596B}"/>
    <cellStyle name="20% - Accent4" xfId="23" builtinId="42" customBuiltin="true"/>
    <cellStyle name="20% - Accent4 2" xfId="165" xr:uid="{A4003DCD-00CA-4416-BB3B-FEB9ABE6D6FB}"/>
    <cellStyle name="20% - Accent4 2 2" xfId="329" xr:uid="{531673C4-0284-4B98-B573-61B415C02345}"/>
    <cellStyle name="20% - Accent4 3" xfId="192" xr:uid="{876A0322-AD6A-44C1-B3B9-1CE95C1CD9C6}"/>
    <cellStyle name="20% - Accent5" xfId="26" builtinId="46" customBuiltin="true"/>
    <cellStyle name="20% - Accent5 2" xfId="167" xr:uid="{D29EE759-F611-47CC-8939-846443978E77}"/>
    <cellStyle name="20% - Accent5 2 2" xfId="331" xr:uid="{01BBA462-3F41-441E-B525-DF0AB3BBA24D}"/>
    <cellStyle name="20% - Accent5 3" xfId="195" xr:uid="{A4998303-37BE-4186-B714-B5D525988C62}"/>
    <cellStyle name="20% - Accent6" xfId="29" builtinId="50" customBuiltin="true"/>
    <cellStyle name="20% - Accent6 2" xfId="169" xr:uid="{6241FA67-F215-4881-80BE-E4A0D680591D}"/>
    <cellStyle name="20% - Accent6 2 2" xfId="333" xr:uid="{386D9AF3-360B-47E9-ADE2-5C0F3D8A4BB5}"/>
    <cellStyle name="20% - Accent6 3" xfId="198" xr:uid="{B9118A8C-3A8F-49EA-860D-3604AB9E15AB}"/>
    <cellStyle name="40% - Accent1" xfId="15" builtinId="31" customBuiltin="true"/>
    <cellStyle name="40% - Accent1 2" xfId="160" xr:uid="{46684796-2E60-445F-B756-0BAAB686E6A2}"/>
    <cellStyle name="40% - Accent1 2 2" xfId="324" xr:uid="{B8119177-416B-4959-BED7-23B25859B27E}"/>
    <cellStyle name="40% - Accent1 3" xfId="184" xr:uid="{9BF5EC85-E4FE-4ED5-BA93-CF9DF5DD8B47}"/>
    <cellStyle name="40% - Accent2" xfId="18" builtinId="35" customBuiltin="true"/>
    <cellStyle name="40% - Accent2 2" xfId="162" xr:uid="{6CA1C31A-0ACC-47F4-90F6-4E34DB8B6001}"/>
    <cellStyle name="40% - Accent2 2 2" xfId="326" xr:uid="{F714B1F0-EEF2-4ECC-B5A6-B86D6FE68CDF}"/>
    <cellStyle name="40% - Accent2 3" xfId="187" xr:uid="{2CAAB09E-7550-42F0-8492-3CBE78207C55}"/>
    <cellStyle name="40% - Accent3" xfId="21" builtinId="39" customBuiltin="true"/>
    <cellStyle name="40% - Accent3 2" xfId="164" xr:uid="{06669745-8255-4DB0-B4E0-DC2DC1C0B00D}"/>
    <cellStyle name="40% - Accent3 2 2" xfId="328" xr:uid="{F3CD443D-222C-474B-8271-D21983CBB21E}"/>
    <cellStyle name="40% - Accent3 3" xfId="190" xr:uid="{F7307DA6-2EFD-4F15-AFDF-1B59FD45F9B9}"/>
    <cellStyle name="40% - Accent4" xfId="24" builtinId="43" customBuiltin="true"/>
    <cellStyle name="40% - Accent4 2" xfId="166" xr:uid="{64B28A22-F272-400E-BFD0-B450DF717D4A}"/>
    <cellStyle name="40% - Accent4 2 2" xfId="330" xr:uid="{170196E6-A5F4-4C48-AF83-1FFD875BFFD2}"/>
    <cellStyle name="40% - Accent4 3" xfId="193" xr:uid="{2B127AC0-A131-439A-B175-CAF1D3B43636}"/>
    <cellStyle name="40% - Accent5" xfId="27" builtinId="47" customBuiltin="true"/>
    <cellStyle name="40% - Accent5 2" xfId="168" xr:uid="{2AC9E354-7A57-4947-A661-19C8069052D9}"/>
    <cellStyle name="40% - Accent5 2 2" xfId="332" xr:uid="{8C99BCD5-D6AF-41AF-BF0B-794C66576514}"/>
    <cellStyle name="40% - Accent5 3" xfId="196" xr:uid="{E8906E51-822A-4BD2-9791-456CED571063}"/>
    <cellStyle name="40% - Accent6" xfId="30" builtinId="51" customBuiltin="true"/>
    <cellStyle name="40% - Accent6 2" xfId="170" xr:uid="{667B3808-11B2-4E71-81E1-324B2A1A8F65}"/>
    <cellStyle name="40% - Accent6 2 2" xfId="334" xr:uid="{D25FBABA-73D6-4355-A584-2D9CDC63B4C8}"/>
    <cellStyle name="40% - Accent6 3" xfId="199" xr:uid="{EBB3F2AF-A179-4CE2-9958-738D65635EA1}"/>
    <cellStyle name="60% - Accent1 2" xfId="128" xr:uid="{A3A39774-F89A-4996-9348-057886FFC780}"/>
    <cellStyle name="60% - Accent1 2 2" xfId="296" xr:uid="{AC06F792-CCF1-4871-A600-32093FC67F16}"/>
    <cellStyle name="60% - Accent2 2" xfId="129" xr:uid="{409224F5-7178-4FB1-BF41-C2607D954652}"/>
    <cellStyle name="60% - Accent2 2 2" xfId="297" xr:uid="{AAA1ED95-1AFA-4AE8-894F-97F3206EDC40}"/>
    <cellStyle name="60% - Accent3 2" xfId="130" xr:uid="{D1AE3FD5-B19D-4B1D-9FAE-B0F064704C02}"/>
    <cellStyle name="60% - Accent3 2 2" xfId="298" xr:uid="{7FBA2B36-1344-4468-887A-8B99161175AB}"/>
    <cellStyle name="60% - Accent4 2" xfId="131" xr:uid="{F15DE09E-863F-4295-AA32-B774D9DB077A}"/>
    <cellStyle name="60% - Accent4 2 2" xfId="299" xr:uid="{A6363E8B-68FA-4419-95F9-777F663362A8}"/>
    <cellStyle name="60% - Accent5 2" xfId="132" xr:uid="{A0B1CD7D-C9DE-4FAC-89F3-C3E53EB7B2FF}"/>
    <cellStyle name="60% - Accent5 2 2" xfId="300" xr:uid="{6FEF659B-02D6-45D9-AC05-0300277D9803}"/>
    <cellStyle name="60% - Accent6 2" xfId="133" xr:uid="{76F391B4-579F-4D5D-9412-7765ECE64890}"/>
    <cellStyle name="60% - Accent6 2 2" xfId="301" xr:uid="{D37BF85F-36AC-4051-BBA0-66AC0F0A9D3F}"/>
    <cellStyle name="Accent1" xfId="13" builtinId="29" customBuiltin="true"/>
    <cellStyle name="Accent1 2" xfId="182" xr:uid="{77DF2C43-8175-4C8E-9A71-92F3E050B4B3}"/>
    <cellStyle name="Accent2" xfId="16" builtinId="33" customBuiltin="true"/>
    <cellStyle name="Accent2 2" xfId="185" xr:uid="{E6696054-9824-48EB-AD14-10ACFFC97732}"/>
    <cellStyle name="Accent3" xfId="19" builtinId="37" customBuiltin="true"/>
    <cellStyle name="Accent3 2" xfId="188" xr:uid="{A564ABCC-E722-47FC-95B3-E826EC50801E}"/>
    <cellStyle name="Accent4" xfId="22" builtinId="41" customBuiltin="true"/>
    <cellStyle name="Accent4 2" xfId="191" xr:uid="{9F1DEBC3-9A54-4F54-ACE5-9A4C79D3EE04}"/>
    <cellStyle name="Accent5" xfId="25" builtinId="45" customBuiltin="true"/>
    <cellStyle name="Accent5 2" xfId="194" xr:uid="{307DA0E4-3034-4226-A202-73308431FF42}"/>
    <cellStyle name="Accent6" xfId="28" builtinId="49" customBuiltin="true"/>
    <cellStyle name="Accent6 2" xfId="197" xr:uid="{4BC4B588-8910-40DC-AF24-2420E77F0EFB}"/>
    <cellStyle name="Bad" xfId="5" builtinId="27" customBuiltin="true"/>
    <cellStyle name="Bad 2" xfId="179" xr:uid="{E20325F5-1637-4D89-BF99-D0C4C450BCEB}"/>
    <cellStyle name="Body: normal cell" xfId="174" xr:uid="{326FA5DD-2B2C-42E5-A29D-2BC89E05C1C2}"/>
    <cellStyle name="Calculation" xfId="8" builtinId="22" customBuiltin="true"/>
    <cellStyle name="Check Cell" xfId="10" builtinId="23" customBuiltin="true"/>
    <cellStyle name="Comma 2" xfId="126" xr:uid="{D6A555BB-BF99-4469-9E26-8129A47E91E3}"/>
    <cellStyle name="Comma 2 2" xfId="294" xr:uid="{04989C13-5560-450B-B3F7-83944183B25D}"/>
    <cellStyle name="Comma0" xfId="32" xr:uid="{3C5B6E40-2547-4CCE-9C81-9D850D326E0C}"/>
    <cellStyle name="Comma0 2" xfId="201" xr:uid="{1A6992AF-39AA-4431-8624-65AF4071FB40}"/>
    <cellStyle name="Currency 2" xfId="34" xr:uid="{3731B3B7-AE5B-4F93-952C-B2D150B0E728}"/>
    <cellStyle name="Currency 2 2" xfId="203" xr:uid="{71F9080E-C94B-4D19-85B8-C2BCBE66B214}"/>
    <cellStyle name="Currency 3" xfId="33" xr:uid="{30924DD8-32FB-4A25-9E12-77362F226314}"/>
    <cellStyle name="Currency 3 2" xfId="202" xr:uid="{0B298AA6-88D7-4B3A-9766-B18BDBB0ABD4}"/>
    <cellStyle name="Currency0" xfId="35" xr:uid="{5F965FC3-F3C3-4281-AB4D-F76CAC8BE678}"/>
    <cellStyle name="Currency0 2" xfId="204" xr:uid="{AE9FF3E1-D28A-43B2-87B3-A0B910520203}"/>
    <cellStyle name="Date" xfId="36" xr:uid="{38594A09-71DC-4184-B2FD-2DADBFBE2F23}"/>
    <cellStyle name="Date 2" xfId="205" xr:uid="{9F484C6D-8D1B-4660-85F8-D2D55A7F4DC4}"/>
    <cellStyle name="Explanatory Text" xfId="12" builtinId="53" customBuiltin="true"/>
    <cellStyle name="Explanatory Text 2" xfId="181" xr:uid="{3DDFC0CA-B5D6-44B2-8493-9951CC3D370C}"/>
    <cellStyle name="F2" xfId="37" xr:uid="{24AF39E8-4C3B-4AD2-B45C-62564C99C561}"/>
    <cellStyle name="F2 2" xfId="206" xr:uid="{57454B0F-BA5B-436B-9BF9-B27B7406561A}"/>
    <cellStyle name="F3" xfId="38" xr:uid="{9B98B844-B297-43D1-9521-630FBDEA160C}"/>
    <cellStyle name="F3 2" xfId="207" xr:uid="{9D10FA17-A4A6-4898-AF38-2F8CF84E6C97}"/>
    <cellStyle name="F4" xfId="39" xr:uid="{67EC346E-A7FF-4625-BAE6-BA31B76EC70C}"/>
    <cellStyle name="F4 2" xfId="208" xr:uid="{F9791E8A-34D0-4DD8-913C-F5166B2B5893}"/>
    <cellStyle name="F5" xfId="40" xr:uid="{39A7ED11-BBAB-46EA-AB17-041644DFFF94}"/>
    <cellStyle name="F5 2" xfId="209" xr:uid="{4382BA6B-7FE8-4B5E-A2BB-B21D8604321F}"/>
    <cellStyle name="F6" xfId="41" xr:uid="{44FD227F-D1F4-486D-AF8F-3F54DBED8E1D}"/>
    <cellStyle name="F6 2" xfId="210" xr:uid="{C86A6D30-1DC2-4259-94BC-CDBFF019EE4D}"/>
    <cellStyle name="F7" xfId="42" xr:uid="{136FA18B-9E76-49B7-9602-AAA0D418C589}"/>
    <cellStyle name="F7 2" xfId="211" xr:uid="{6A24B5E0-2778-4D44-9139-9CA68FFD40FC}"/>
    <cellStyle name="F8" xfId="43" xr:uid="{15C6B4F8-0C60-4DE6-AEAA-78B08F0B4A52}"/>
    <cellStyle name="F8 2" xfId="212" xr:uid="{B81E7AB3-101D-45CA-B6B7-77DA8913449B}"/>
    <cellStyle name="Fixed" xfId="44" xr:uid="{C80F3D2F-D7FF-40F1-BA75-D4CB04BF0D84}"/>
    <cellStyle name="Fixed 2" xfId="213" xr:uid="{05AFF37B-6111-4F0E-BD28-3BA3C5C162B5}"/>
    <cellStyle name="Good" xfId="4" builtinId="26" customBuiltin="true"/>
    <cellStyle name="Good 2" xfId="178" xr:uid="{B658B128-3834-4888-8973-D57D47BC9030}"/>
    <cellStyle name="Heading 1 2" xfId="153" xr:uid="{97E004B9-E912-4B80-B017-13B6E14F37C3}"/>
    <cellStyle name="Heading 1 3" xfId="45" xr:uid="{378AABC1-923F-4FA7-BBDC-73C89AED1FF2}"/>
    <cellStyle name="Heading 1 3 2" xfId="214" xr:uid="{A2A47A79-DA6D-44B0-B1EC-8270D10561FE}"/>
    <cellStyle name="Heading 2 2" xfId="154" xr:uid="{16CF0549-FA90-47C1-A677-77CBC98221C4}"/>
    <cellStyle name="Heading 2 2 2" xfId="321" xr:uid="{AF19AFBB-5F24-44A9-A254-0E74FD39DFF8}"/>
    <cellStyle name="Heading 2 3" xfId="46" xr:uid="{D6C0C683-E990-4D9A-A8F1-383621D19B7A}"/>
    <cellStyle name="Heading 2 3 2" xfId="215" xr:uid="{16379A0F-FE8C-4452-9F0F-9D9E16B193D9}"/>
    <cellStyle name="Heading 3" xfId="2" builtinId="18" customBuiltin="true"/>
    <cellStyle name="Heading 4" xfId="3" builtinId="19" customBuiltin="true"/>
    <cellStyle name="Heading 4 2" xfId="177" xr:uid="{30E3B37D-C740-428D-9CB8-285A58BCAED9}"/>
    <cellStyle name="Heading1" xfId="47" xr:uid="{E7A56415-E8DA-47D3-8458-FFCC7A8E230E}"/>
    <cellStyle name="Heading1 2" xfId="216" xr:uid="{17EEE8D8-BD6D-448C-80FE-22D8DC5FA816}"/>
    <cellStyle name="Heading2" xfId="48" xr:uid="{E994BC02-E53D-4F36-854F-1ED3AA264A77}"/>
    <cellStyle name="Heading2 2" xfId="217" xr:uid="{922A6689-507D-4B3F-AD38-EF2D51F81DDA}"/>
    <cellStyle name="Input" xfId="6" builtinId="20" customBuiltin="true"/>
    <cellStyle name="Linked Cell" xfId="9" builtinId="24" customBuiltin="true"/>
    <cellStyle name="Neutral 2" xfId="127" xr:uid="{87699BE6-1779-48AB-8CFB-8B0E8B8C01E8}"/>
    <cellStyle name="Neutral 2 2" xfId="295" xr:uid="{A71B3417-6F5E-4127-B593-6C3FC4987998}"/>
    <cellStyle name="Normal" xfId="0" builtinId="0"/>
    <cellStyle name="Normal 2" xfId="1" xr:uid="{9550CF05-F664-4BA0-8C0E-8FE4DA3FCA5E}"/>
    <cellStyle name="Normal 2 2" xfId="175" xr:uid="{560A252F-D9B6-4FC2-BB84-E6745CF1847A}"/>
    <cellStyle name="Normal 2 2 2" xfId="338" xr:uid="{45A3CD1B-681F-4D98-ABE1-DE20D41E4BA2}"/>
    <cellStyle name="Normal 2 3" xfId="31" xr:uid="{65C38DBC-138E-4D2E-BE7D-1BF52EFCDF83}"/>
    <cellStyle name="Normal 2 4" xfId="200" xr:uid="{A9C67253-0DFD-4E19-BAEB-F5AEBD8CAED6}"/>
    <cellStyle name="Normal 3" xfId="176" xr:uid="{4BA50519-05C7-4E9B-B765-7F782C30FB0F}"/>
    <cellStyle name="Normal 4" xfId="293" xr:uid="{A6E33083-244D-41C5-9C85-B988E72EDF02}"/>
    <cellStyle name="Note 2" xfId="158" xr:uid="{C4030BAC-B3A9-4896-8B8C-14605D50B864}"/>
    <cellStyle name="Note 3" xfId="155" xr:uid="{018E5E66-F596-4B26-A5F4-D55583D6FC6F}"/>
    <cellStyle name="Output" xfId="7" builtinId="21" customBuiltin="true"/>
    <cellStyle name="Percent 2" xfId="157" xr:uid="{8ABCBE0C-EC62-4519-82B6-5834F5622B08}"/>
    <cellStyle name="Percent 2 2" xfId="322" xr:uid="{DB692DB4-4413-4B26-A6BA-601745EEAD02}"/>
    <cellStyle name="Percent 3" xfId="151" xr:uid="{E07C748B-7E22-4805-8790-E16EAE3EDD68}"/>
    <cellStyle name="Percent 3 2" xfId="319" xr:uid="{6E8A9E19-124E-411E-BED5-AACCFC15FBCA}"/>
    <cellStyle name="Percent 4" xfId="49" xr:uid="{DBCD90B5-FDF2-4C2D-9DF1-39A5D2B1139E}"/>
    <cellStyle name="Percent 4 2" xfId="218" xr:uid="{3BD8893E-C228-41BF-B163-CA6A4F2BE5E4}"/>
    <cellStyle name="Style 101" xfId="50" xr:uid="{A7CF0939-2C54-4A5B-B2A0-DCFD618D1BF3}"/>
    <cellStyle name="Style 101 2" xfId="219" xr:uid="{86CD9665-FB72-4227-B547-CAB9DB803BAC}"/>
    <cellStyle name="Style 103" xfId="51" xr:uid="{3FBF9C08-7CD9-41D6-9931-906A0332BA6B}"/>
    <cellStyle name="Style 103 2" xfId="220" xr:uid="{29A6514A-FE5E-4A88-9C6A-FB7B75FDC198}"/>
    <cellStyle name="Style 105" xfId="52" xr:uid="{66445124-483B-4CBC-ADD1-D63F90C6B19B}"/>
    <cellStyle name="Style 105 2" xfId="221" xr:uid="{4E618D58-A7B2-41EE-B0E8-D6AAEF8FB55E}"/>
    <cellStyle name="Style 107" xfId="53" xr:uid="{EAB79949-9021-4379-BF67-2FB3A4B2219A}"/>
    <cellStyle name="Style 107 2" xfId="222" xr:uid="{D9AF996A-DDB3-412C-B08F-A75B90E6C7A0}"/>
    <cellStyle name="Style 109" xfId="54" xr:uid="{102C2C28-A7A1-4E0F-AA63-6F6845BD5B7C}"/>
    <cellStyle name="Style 109 2" xfId="223" xr:uid="{1ACC66D0-8FBF-4081-BDAA-CED8FE2D21E7}"/>
    <cellStyle name="Style 111" xfId="55" xr:uid="{07A852FB-BC63-475E-9ADB-2CF896213B43}"/>
    <cellStyle name="Style 111 2" xfId="224" xr:uid="{0C40829E-7882-42EB-93C3-A1581BB07F71}"/>
    <cellStyle name="Style 113" xfId="56" xr:uid="{A245A834-9B71-4221-9998-581250549663}"/>
    <cellStyle name="Style 113 2" xfId="225" xr:uid="{43071040-005B-4D81-82C2-CC64A7300E0E}"/>
    <cellStyle name="Style 115" xfId="57" xr:uid="{4632F65A-9471-4DD4-B65C-72E8B15F648C}"/>
    <cellStyle name="Style 115 2" xfId="226" xr:uid="{31B6D3C9-F23F-49C5-B6C5-79495B1BE6E3}"/>
    <cellStyle name="Style 117" xfId="58" xr:uid="{53CADC11-ADAA-42D0-8C7F-5B09C5C68C8C}"/>
    <cellStyle name="Style 117 2" xfId="227" xr:uid="{9ED8765D-41A4-4E0F-B3FC-4FC346E1F2AB}"/>
    <cellStyle name="Style 119" xfId="59" xr:uid="{6CB7F75A-4321-4DD5-9374-AA3FC487E253}"/>
    <cellStyle name="Style 119 2" xfId="228" xr:uid="{3EEB9ECD-0B11-4405-88CE-55E9A7AE32F6}"/>
    <cellStyle name="Style 121" xfId="60" xr:uid="{1CB5A629-412A-48C5-9E0A-829F18B2CFF9}"/>
    <cellStyle name="Style 121 2" xfId="229" xr:uid="{B5D3E6A2-2FD4-4C7E-8EC9-A4E4D8053704}"/>
    <cellStyle name="Style 123" xfId="61" xr:uid="{6D8D3BED-6952-462F-989E-9FADB6FDE1C9}"/>
    <cellStyle name="Style 123 2" xfId="230" xr:uid="{A01CA6A9-7427-420E-847A-7E31B5894751}"/>
    <cellStyle name="Style 125" xfId="62" xr:uid="{C20C0986-4EB5-4366-81AE-552F6D49F409}"/>
    <cellStyle name="Style 125 2" xfId="231" xr:uid="{6ABCA318-0F50-4F57-8205-37F7B5A7D81E}"/>
    <cellStyle name="Style 127" xfId="63" xr:uid="{8865A6C1-0338-4817-B12A-6866FE24D975}"/>
    <cellStyle name="Style 127 2" xfId="232" xr:uid="{32616C53-1AA2-492B-A574-79C2441280EC}"/>
    <cellStyle name="Style 129" xfId="64" xr:uid="{89335C4B-0FB0-48ED-8EBE-59580E553361}"/>
    <cellStyle name="Style 129 2" xfId="233" xr:uid="{43C55AFF-F9AC-4412-9D0F-C32539C8193B}"/>
    <cellStyle name="Style 131" xfId="65" xr:uid="{417F83AC-49E4-4C1C-9EFA-9AE2DED86995}"/>
    <cellStyle name="Style 131 2" xfId="234" xr:uid="{CBBF92E4-2860-4DF1-955B-1B72221B3495}"/>
    <cellStyle name="Style 133" xfId="66" xr:uid="{B26D1A48-200C-49AC-BECC-F8B21CDCF1F6}"/>
    <cellStyle name="Style 133 2" xfId="235" xr:uid="{7B5FF4C4-078B-4DBB-86C6-D202A5B5A745}"/>
    <cellStyle name="Style 135" xfId="67" xr:uid="{2A5FEED8-42A0-4857-95B0-2BBF27C91C92}"/>
    <cellStyle name="Style 135 2" xfId="236" xr:uid="{CFADA110-6AEB-4576-85DD-CCA24CBF964D}"/>
    <cellStyle name="Style 137" xfId="68" xr:uid="{C3D7373E-5D3D-4AC7-A686-E158D0EFFA5D}"/>
    <cellStyle name="Style 137 2" xfId="237" xr:uid="{4976704F-0738-4B4A-B957-AEE0B3222F05}"/>
    <cellStyle name="Style 139" xfId="69" xr:uid="{088209E0-27FB-4901-B2F0-7EB65DBD5484}"/>
    <cellStyle name="Style 139 2" xfId="238" xr:uid="{254A369B-31A3-4A07-89AA-7D8CB365FCB9}"/>
    <cellStyle name="Style 141" xfId="70" xr:uid="{45ED0600-EFF5-42C1-A2A0-96E9CC40D45D}"/>
    <cellStyle name="Style 141 2" xfId="239" xr:uid="{5C797A56-2FAA-4EB4-8C4D-3C5A633B646A}"/>
    <cellStyle name="Style 143" xfId="71" xr:uid="{1660C671-2E36-456F-8562-E267720E677D}"/>
    <cellStyle name="Style 143 2" xfId="240" xr:uid="{9ADAFD77-209C-4876-BAD7-BA06A1A4EF8E}"/>
    <cellStyle name="Style 145" xfId="72" xr:uid="{CADE3A84-67D0-4EE1-BDD2-87465963E04D}"/>
    <cellStyle name="Style 145 2" xfId="241" xr:uid="{F273AA6F-3A25-4317-B741-D8B51A325AC6}"/>
    <cellStyle name="Style 147" xfId="73" xr:uid="{D38FC7DD-A495-4ECC-B245-93EC00AC3D14}"/>
    <cellStyle name="Style 147 2" xfId="242" xr:uid="{C73AADC0-290B-4CDA-9A46-A8F3DA31F2F4}"/>
    <cellStyle name="Style 149" xfId="74" xr:uid="{0F65AC0C-027A-457C-8F60-CF04E866D268}"/>
    <cellStyle name="Style 149 2" xfId="243" xr:uid="{1F5B4BDD-8E22-4DFC-9B8D-58736D959416}"/>
    <cellStyle name="Style 151" xfId="75" xr:uid="{B2904D71-1023-4DFC-9D69-10C90D95F582}"/>
    <cellStyle name="Style 151 2" xfId="244" xr:uid="{8A5B8CA2-9AB0-4C10-A1BA-F017AEA6475A}"/>
    <cellStyle name="Style 153" xfId="76" xr:uid="{85B2C0CC-6B5D-498E-AB82-024EC9641B3E}"/>
    <cellStyle name="Style 153 2" xfId="245" xr:uid="{6777C532-D4BD-422C-8099-CBF3AE547600}"/>
    <cellStyle name="Style 155" xfId="77" xr:uid="{D347CD8A-9710-43E9-9B27-E230ACFFEACA}"/>
    <cellStyle name="Style 155 2" xfId="246" xr:uid="{75FCDCAB-88F1-41FE-90B8-EBB8F5092638}"/>
    <cellStyle name="Style 157" xfId="78" xr:uid="{2C6DC387-02B8-4837-BC4B-AD140E40DBE9}"/>
    <cellStyle name="Style 157 2" xfId="247" xr:uid="{5AEB8776-2A6A-4C59-84A0-CABB420A2C11}"/>
    <cellStyle name="Style 159" xfId="79" xr:uid="{9E2F12E5-8247-49F2-8E9D-A0EF343F8DBA}"/>
    <cellStyle name="Style 159 2" xfId="248" xr:uid="{21B3D229-CB83-4D20-9CBA-FFC1652F7AC2}"/>
    <cellStyle name="Style 161" xfId="80" xr:uid="{B59AA590-5009-48FB-92DA-B352F337D869}"/>
    <cellStyle name="Style 161 2" xfId="249" xr:uid="{DA5664CA-FFC8-4419-9F00-4524C910151D}"/>
    <cellStyle name="Style 21" xfId="134" xr:uid="{CBDE28FF-494C-4D81-8258-EFAE3B17CF4D}"/>
    <cellStyle name="Style 21 2" xfId="302" xr:uid="{E01280EB-D4F2-4F6D-A523-B0B2A1E3A016}"/>
    <cellStyle name="Style 22" xfId="81" xr:uid="{E94E7DF3-DD25-4EF9-884B-DC57E07CE21A}"/>
    <cellStyle name="Style 22 2" xfId="135" xr:uid="{79A036C9-28C8-4792-B6FE-E0C42DF50E94}"/>
    <cellStyle name="Style 22 2 2" xfId="303" xr:uid="{CBB1DA1F-7F77-4D28-AB91-9E82CBB1D1FC}"/>
    <cellStyle name="Style 22 3" xfId="250" xr:uid="{B94B1A09-E179-448A-A195-31FD579FD46E}"/>
    <cellStyle name="Style 23" xfId="82" xr:uid="{2F637C57-95CF-4A72-B9E4-4B977DE054B4}"/>
    <cellStyle name="Style 23 2" xfId="136" xr:uid="{5EFBE684-E79B-42F8-8441-99D9D8F30126}"/>
    <cellStyle name="Style 23 2 2" xfId="304" xr:uid="{2883AEB6-F1C2-4E39-9D3A-A0A7F0DAD775}"/>
    <cellStyle name="Style 23 3" xfId="251" xr:uid="{82C2CE4B-C526-49A6-A86D-B1F5B6C226B7}"/>
    <cellStyle name="Style 24" xfId="83" xr:uid="{E5DB197B-0027-44CD-811E-AF0FD6125984}"/>
    <cellStyle name="Style 24 2" xfId="137" xr:uid="{91DB170C-DAA7-4AE4-B43B-388ECBDEEE43}"/>
    <cellStyle name="Style 24 2 2" xfId="305" xr:uid="{5CC5E9C0-39B0-4EF1-9051-EF8DC868D7BF}"/>
    <cellStyle name="Style 24 3" xfId="252" xr:uid="{C63FE3F5-3557-437F-AAD4-9CDB302667E2}"/>
    <cellStyle name="Style 25" xfId="138" xr:uid="{38DBA6B3-A4B8-4805-A673-CA30279AA995}"/>
    <cellStyle name="Style 25 2" xfId="306" xr:uid="{B24CF04E-A0BD-47C9-BE37-CF6BF3A97A49}"/>
    <cellStyle name="Style 26" xfId="84" xr:uid="{A8BA1A05-82D7-49C3-9406-624F6CB8711E}"/>
    <cellStyle name="Style 26 2" xfId="139" xr:uid="{77A4AA75-57FC-4F4A-8C0F-5F4AC8B01AA9}"/>
    <cellStyle name="Style 26 2 2" xfId="307" xr:uid="{6560EBEB-03C9-4CC0-8A3A-F1EB595D8078}"/>
    <cellStyle name="Style 26 3" xfId="253" xr:uid="{561DC44F-F12A-4AFC-B3BE-99A3ED584E8C}"/>
    <cellStyle name="Style 27" xfId="85" xr:uid="{23CE7F86-D0E0-4CB5-BE64-6202C0EF3E54}"/>
    <cellStyle name="Style 27 2" xfId="140" xr:uid="{5D1B6C96-A0D1-479A-A946-1A1559092422}"/>
    <cellStyle name="Style 27 2 2" xfId="308" xr:uid="{3518F9B7-E6E8-4778-918A-4F699ED99D8B}"/>
    <cellStyle name="Style 27 3" xfId="171" xr:uid="{3D11AE54-96E8-4C54-99DF-0F971452D474}"/>
    <cellStyle name="Style 27 3 2" xfId="335" xr:uid="{93C4B910-CC5C-4507-A644-633A402CEDE3}"/>
    <cellStyle name="Style 27 4" xfId="254" xr:uid="{202492F1-A468-4FCE-9DD3-0E12332574F3}"/>
    <cellStyle name="Style 28" xfId="141" xr:uid="{F64E4CA7-2C96-4804-931A-AA30D4FBE1E9}"/>
    <cellStyle name="Style 28 2" xfId="172" xr:uid="{C1F94E02-9A84-4EEF-8EAD-017744296B7C}"/>
    <cellStyle name="Style 28 2 2" xfId="336" xr:uid="{4076A5AE-E51E-45B0-89EB-98C54E4DBDB0}"/>
    <cellStyle name="Style 28 3" xfId="309" xr:uid="{3D0620C2-06BA-45B3-9B4A-907BFFA1F8DE}"/>
    <cellStyle name="Style 29" xfId="142" xr:uid="{6B55D6AD-304C-4DFB-9161-FB77B00CC673}"/>
    <cellStyle name="Style 29 2" xfId="310" xr:uid="{04ACE428-78E5-4020-A2CD-3C3F60B31B3C}"/>
    <cellStyle name="Style 30" xfId="143" xr:uid="{7C854DC4-0256-495B-926D-A7AA93A71403}"/>
    <cellStyle name="Style 30 2" xfId="311" xr:uid="{927AE499-59F2-44BB-B9B0-81BDB0BC88F5}"/>
    <cellStyle name="Style 31" xfId="144" xr:uid="{B1326771-C67B-4B76-B2E7-3ED7B9696BEE}"/>
    <cellStyle name="Style 31 2" xfId="312" xr:uid="{5592921E-36E8-4207-8644-E1B99A2D09D8}"/>
    <cellStyle name="Style 32" xfId="145" xr:uid="{9F8B9D60-2178-446A-AAC1-EE4D628EBF57}"/>
    <cellStyle name="Style 32 2" xfId="313" xr:uid="{9E6AB714-2510-4760-939E-72FE63F4FA48}"/>
    <cellStyle name="Style 33" xfId="146" xr:uid="{CEE83335-24AF-4BFB-ABA6-73B12E4AE064}"/>
    <cellStyle name="Style 33 2" xfId="314" xr:uid="{BB595E9D-2259-448E-86F9-097131C5794F}"/>
    <cellStyle name="Style 34" xfId="147" xr:uid="{3D3CF8B0-8330-4708-B62B-A7029B3D01B0}"/>
    <cellStyle name="Style 34 2" xfId="315" xr:uid="{1E9BA9B3-BA6D-405F-B89E-1068C69ACB9A}"/>
    <cellStyle name="Style 35" xfId="148" xr:uid="{F5F3FDBE-1D4D-4F3E-855F-5272E7062AC8}"/>
    <cellStyle name="Style 35 2" xfId="316" xr:uid="{219DDE6F-93A7-44D3-BEF6-FAEB3CCCD254}"/>
    <cellStyle name="Style 36" xfId="149" xr:uid="{BC633FC5-2AE6-48F1-8FB2-AC1AC1B6D281}"/>
    <cellStyle name="Style 36 2" xfId="317" xr:uid="{BF0009F6-AFC5-49DA-A123-9A6ACF4FF473}"/>
    <cellStyle name="Style 37" xfId="150" xr:uid="{E6089174-F6AC-4DDA-A866-980BDA5A5C0C}"/>
    <cellStyle name="Style 37 2" xfId="173" xr:uid="{0B6ECDC3-9DF0-462E-A694-DCBCB0E510F3}"/>
    <cellStyle name="Style 37 2 2" xfId="337" xr:uid="{EF4EBE0A-7288-4146-B619-2313387F4C15}"/>
    <cellStyle name="Style 37 3" xfId="318" xr:uid="{855370B4-7651-4E2E-9D1B-553EC167A044}"/>
    <cellStyle name="Style 40" xfId="86" xr:uid="{5128ADF3-E8F5-4A73-A469-BE9FCED8CB16}"/>
    <cellStyle name="Style 40 2" xfId="255" xr:uid="{14862CDC-4699-4913-856F-15C4AC85BBED}"/>
    <cellStyle name="Style 41" xfId="87" xr:uid="{7C95333E-4E87-433F-889E-CEBBCD2F04C1}"/>
    <cellStyle name="Style 41 2" xfId="256" xr:uid="{95C3D230-9714-4069-AB1D-773883949CF7}"/>
    <cellStyle name="Style 42" xfId="88" xr:uid="{86344C81-A873-4592-B0B5-3C6F6518C640}"/>
    <cellStyle name="Style 42 2" xfId="257" xr:uid="{D7723684-966B-4200-8B81-FD0D87F6F5C2}"/>
    <cellStyle name="Style 43" xfId="89" xr:uid="{0528C6A4-BBFB-4EEE-87F3-3A4B5719F745}"/>
    <cellStyle name="Style 43 2" xfId="258" xr:uid="{DC0D75A6-9BB1-4D08-9634-553013FD777C}"/>
    <cellStyle name="Style 44" xfId="90" xr:uid="{C3A1E7DC-9ECE-4D36-B303-0E91C6DA2D13}"/>
    <cellStyle name="Style 44 2" xfId="259" xr:uid="{8441B26E-A120-4829-8988-B27BE0362E89}"/>
    <cellStyle name="Style 45" xfId="91" xr:uid="{10E9D419-1671-4733-8DC5-BE3286B4D4F7}"/>
    <cellStyle name="Style 45 2" xfId="260" xr:uid="{3A39A753-B9E5-4162-9162-25295A21F464}"/>
    <cellStyle name="Style 46" xfId="92" xr:uid="{16DDF9C7-3B70-4078-9631-13DFA171D746}"/>
    <cellStyle name="Style 46 2" xfId="261" xr:uid="{31689597-E694-4F0A-BD04-9C9BB6212189}"/>
    <cellStyle name="Style 47" xfId="93" xr:uid="{D570D633-8298-4B27-9A88-98EF4E5F9383}"/>
    <cellStyle name="Style 47 2" xfId="262" xr:uid="{B6C77A9C-C500-40FD-B396-4519D5C79798}"/>
    <cellStyle name="Style 48" xfId="94" xr:uid="{31697CD4-434B-4445-9886-69650FCFDBB0}"/>
    <cellStyle name="Style 48 2" xfId="263" xr:uid="{498A5655-3980-4E62-9E48-FC3913D54225}"/>
    <cellStyle name="Style 49" xfId="95" xr:uid="{DF9F2A7B-9F04-4984-B451-32A63234BCCB}"/>
    <cellStyle name="Style 49 2" xfId="264" xr:uid="{2313B5A8-FC86-4086-B972-62C2D59391F6}"/>
    <cellStyle name="Style 50" xfId="96" xr:uid="{EF86D043-37B3-474F-902B-B43E7E7266D2}"/>
    <cellStyle name="Style 50 2" xfId="265" xr:uid="{C3FC6E2F-5C13-45F2-867D-3E50FC689A9C}"/>
    <cellStyle name="Style 54" xfId="97" xr:uid="{414F8735-BB64-479A-8051-4613828250BF}"/>
    <cellStyle name="Style 54 2" xfId="266" xr:uid="{6F44986D-93B0-43CB-8289-57B8D9E0F181}"/>
    <cellStyle name="Style 56" xfId="98" xr:uid="{31593967-5C21-4073-A1D9-4105560C8618}"/>
    <cellStyle name="Style 56 2" xfId="267" xr:uid="{F572271D-56FD-4A31-83FE-F2B5D1EAEB08}"/>
    <cellStyle name="Style 57" xfId="99" xr:uid="{C8DD86B5-445A-4794-9CB9-AAA16C4A884A}"/>
    <cellStyle name="Style 57 2" xfId="268" xr:uid="{CAEFE6AA-FC76-45BC-A459-6154003E036D}"/>
    <cellStyle name="Style 58" xfId="100" xr:uid="{723EC500-F5C5-49D8-957E-8942BD12FCB4}"/>
    <cellStyle name="Style 59" xfId="101" xr:uid="{CA44E3CA-6832-4B18-953F-2DBE8FDCECF8}"/>
    <cellStyle name="Style 59 2" xfId="269" xr:uid="{C228F633-1683-493B-B4E6-F263525680C0}"/>
    <cellStyle name="Style 60" xfId="102" xr:uid="{B06AB4F3-0957-489F-9930-ECE7A0A8B611}"/>
    <cellStyle name="Style 60 2" xfId="270" xr:uid="{F85F6AE5-51BD-42EA-A7F6-42BD6B0E0CE0}"/>
    <cellStyle name="Style 62" xfId="103" xr:uid="{2C38BB7E-12E2-48C9-801C-9A51EFD84682}"/>
    <cellStyle name="Style 62 2" xfId="271" xr:uid="{1D579790-D0D6-4F42-90C5-64D7ACE2703C}"/>
    <cellStyle name="Style 63" xfId="104" xr:uid="{D015BDA6-6703-4CD4-A47D-F551BDB89983}"/>
    <cellStyle name="Style 63 2" xfId="272" xr:uid="{BF6D09CF-7770-4746-9CCB-E3C6C0F9140E}"/>
    <cellStyle name="Style 64" xfId="105" xr:uid="{76C4A0F5-F4DA-4674-81C4-F5E35BC350A5}"/>
    <cellStyle name="Style 64 2" xfId="273" xr:uid="{1343A630-68EF-4E94-B8DA-E52303BF62FC}"/>
    <cellStyle name="Style 65" xfId="106" xr:uid="{867B0A6E-AAB2-406B-9B63-276EEB279062}"/>
    <cellStyle name="Style 65 2" xfId="274" xr:uid="{47096631-1F20-4077-BB05-1FC82561BA59}"/>
    <cellStyle name="Style 66" xfId="107" xr:uid="{1108D2AE-39D3-481B-B985-1F06366A3CEC}"/>
    <cellStyle name="Style 66 2" xfId="275" xr:uid="{3BACB747-4951-41B6-A115-B3877D6C1FBE}"/>
    <cellStyle name="Style 67" xfId="108" xr:uid="{882CB5F1-9016-4077-9EBF-725C276FC0AB}"/>
    <cellStyle name="Style 67 2" xfId="276" xr:uid="{90CB73DB-10C7-4E2F-BA93-DB9A0FB2B7F7}"/>
    <cellStyle name="Style 68" xfId="109" xr:uid="{3F9DFE89-6279-4E9C-9DE8-6603EF34D69D}"/>
    <cellStyle name="Style 68 2" xfId="277" xr:uid="{56D89FEF-CB07-4EF1-8F5C-B25B3A8ADF33}"/>
    <cellStyle name="Style 69" xfId="110" xr:uid="{42CEAACC-B98E-4975-B620-7A809FD61D07}"/>
    <cellStyle name="Style 69 2" xfId="278" xr:uid="{7D000F15-9C44-401A-A1C0-3FA736A9B15D}"/>
    <cellStyle name="Style 70" xfId="111" xr:uid="{2752EFFA-F0CB-4C0C-AA34-D60B4A4F44C8}"/>
    <cellStyle name="Style 70 2" xfId="279" xr:uid="{902A6931-B5AD-42FD-97BF-AF4139A033F6}"/>
    <cellStyle name="Style 71" xfId="112" xr:uid="{478DC354-6522-4354-B993-3BE549D16CD0}"/>
    <cellStyle name="Style 71 2" xfId="280" xr:uid="{F4302539-C787-4329-B9A4-D42EE574F66A}"/>
    <cellStyle name="Style 72" xfId="113" xr:uid="{2111B5B1-2043-4413-A0DB-D79B8445866F}"/>
    <cellStyle name="Style 72 2" xfId="281" xr:uid="{E90B31B4-53EF-4E8D-AA85-C24120264865}"/>
    <cellStyle name="Style 73" xfId="114" xr:uid="{396F673D-06B9-47CC-B8C0-5DFA4CD88EB2}"/>
    <cellStyle name="Style 73 2" xfId="282" xr:uid="{E8089BDB-E16D-4FB2-9C31-1826C0694A76}"/>
    <cellStyle name="Style 74" xfId="115" xr:uid="{B641B27A-E981-4E49-BD17-2CEC62E00621}"/>
    <cellStyle name="Style 74 2" xfId="283" xr:uid="{71062048-AC5E-48D5-BFA2-5D2B5079A5AA}"/>
    <cellStyle name="Style 83" xfId="116" xr:uid="{C19BE529-80DE-4CA6-A6AC-D6D75B053E28}"/>
    <cellStyle name="Style 83 2" xfId="284" xr:uid="{903C6FA1-EEB4-40C4-AFC1-BDD97BC6A0A4}"/>
    <cellStyle name="Style 85" xfId="117" xr:uid="{6B505F27-8E26-416A-B9CD-F9B7D60B8633}"/>
    <cellStyle name="Style 85 2" xfId="285" xr:uid="{F3270F66-67F4-4829-9A2C-4AF5C1E0C4CC}"/>
    <cellStyle name="Style 87" xfId="118" xr:uid="{53B2F172-4C5C-41E3-8D18-660B166AA25E}"/>
    <cellStyle name="Style 87 2" xfId="286" xr:uid="{5FC49221-7753-466D-BB85-000BFA5C07C9}"/>
    <cellStyle name="Style 89" xfId="119" xr:uid="{E01AB1DE-1860-48DB-96FB-15CBB4C97F9F}"/>
    <cellStyle name="Style 89 2" xfId="287" xr:uid="{69FA91F9-9E12-44A9-8C37-0EB8163E8E18}"/>
    <cellStyle name="Style 91" xfId="120" xr:uid="{644882FB-685B-4C11-94F7-C2E57832A9F9}"/>
    <cellStyle name="Style 91 2" xfId="288" xr:uid="{1980679A-EBDB-4835-BB70-7AE583083ABB}"/>
    <cellStyle name="Style 93" xfId="121" xr:uid="{D0F5ABE8-9405-4188-8702-620E4AE9805D}"/>
    <cellStyle name="Style 93 2" xfId="289" xr:uid="{58EB04E2-2C36-467C-A0D3-269D0C5405B1}"/>
    <cellStyle name="Style 95" xfId="122" xr:uid="{7C4930F8-7000-44DB-A0B4-EB0C76216039}"/>
    <cellStyle name="Style 95 2" xfId="290" xr:uid="{1625064D-01C6-48E1-AD48-DFE4F3BB1B78}"/>
    <cellStyle name="Style 97" xfId="123" xr:uid="{35E810BD-AE6D-48B5-921F-796F9BE66102}"/>
    <cellStyle name="Style 97 2" xfId="291" xr:uid="{4985C69C-8639-4FCF-806E-9799E068E299}"/>
    <cellStyle name="Style 99" xfId="124" xr:uid="{CFE8EAFA-0B73-40EA-BE8B-2770F9DBEEC4}"/>
    <cellStyle name="Style 99 2" xfId="292" xr:uid="{479E6699-8BA4-4A66-9EC8-784DD079A873}"/>
    <cellStyle name="Title 2" xfId="152" xr:uid="{D9CE4EE5-EADB-4397-B3F6-348D85C9FAF8}"/>
    <cellStyle name="Title 2 2" xfId="320" xr:uid="{A80936EB-514F-4A45-9C13-E7767E6C84D5}"/>
    <cellStyle name="Total 2" xfId="156" xr:uid="{B94BA229-F50C-4832-B45C-6C49155D1133}"/>
    <cellStyle name="Total 3" xfId="125" xr:uid="{5958BB86-C49B-4567-B73E-B00826613358}"/>
    <cellStyle name="Warning Text" xfId="11" builtinId="11" customBuiltin="true"/>
    <cellStyle name="Warning Text 2" xfId="180" xr:uid="{80481376-D931-4560-B9FB-56B17AE1C405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auto="true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theme/theme1.xml" Type="http://schemas.openxmlformats.org/officeDocument/2006/relationships/theme" Id="rId13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12.xml" Type="http://schemas.openxmlformats.org/officeDocument/2006/relationships/worksheet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styles.xml" Type="http://schemas.openxmlformats.org/officeDocument/2006/relationships/styles" Id="rId14"/></Relationships>
</file>

<file path=xl/charts/_rels/chart1.xml.rels><?xml version="1.0" encoding="UTF-8"?><Relationships xmlns="http://schemas.openxmlformats.org/package/2006/relationships"><Relationship Target="colors1.xml" Type="http://schemas.microsoft.com/office/2011/relationships/chartColorStyle" Id="rId2"/><Relationship Target="style1.xml" Type="http://schemas.microsoft.com/office/2011/relationships/chartStyle" Id="rId1"/></Relationships>
</file>

<file path=xl/charts/_rels/chart2.xml.rels><?xml version="1.0" encoding="UTF-8"?><Relationships xmlns="http://schemas.openxmlformats.org/package/2006/relationships"><Relationship Target="colors2.xml" Type="http://schemas.microsoft.com/office/2011/relationships/chartColorStyle" Id="rId2"/><Relationship Target="style2.xml" Type="http://schemas.microsoft.com/office/2011/relationships/chartStyle" Id="rId1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'Ammonia MP'!$C$1</c:f>
              <c:strCache>
                <c:ptCount val="1"/>
                <c:pt idx="0">
                  <c:v>ICIS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'Ammonia MP'!$B$2:$B$46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'Ammonia MP'!$C$2:$C$46</c:f>
              <c:numCache>
                <c:formatCode>0.00</c:formatCode>
                <c:ptCount val="45"/>
                <c:pt idx="33">
                  <c:v>945.6521739130435</c:v>
                </c:pt>
                <c:pt idx="34">
                  <c:v>1108.695652173913</c:v>
                </c:pt>
                <c:pt idx="35">
                  <c:v>1521.7391304347825</c:v>
                </c:pt>
                <c:pt idx="36">
                  <c:v>1054.3478260869565</c:v>
                </c:pt>
                <c:pt idx="37">
                  <c:v>1271.7391304347825</c:v>
                </c:pt>
                <c:pt idx="38">
                  <c:v>1260.8695652173913</c:v>
                </c:pt>
                <c:pt idx="39">
                  <c:v>1152.1739130434783</c:v>
                </c:pt>
                <c:pt idx="40">
                  <c:v>1010.8695652173913</c:v>
                </c:pt>
                <c:pt idx="41">
                  <c:v>1554.3478260869565</c:v>
                </c:pt>
                <c:pt idx="42">
                  <c:v>2000</c:v>
                </c:pt>
                <c:pt idx="43">
                  <c:v>3282.608695652174</c:v>
                </c:pt>
                <c:pt idx="44">
                  <c:v>2032.608695652174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C-4CDE-A33C-89B9DA601FA1}"/>
            </c:ext>
          </c:extLst>
        </c:ser>
        <c:ser>
          <c:idx val="1"/>
          <c:order val="1"/>
          <c:tx>
            <c:strRef>
              <c:f>'Ammonia MP'!$E$1</c:f>
              <c:strCache>
                <c:ptCount val="1"/>
                <c:pt idx="0">
                  <c:v>Model (EUR)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'Ammonia MP'!$B$2:$B$46</c:f>
              <c:strCache>
                <c:ptCount val="45"/>
                <c:pt idx="0">
                  <c:v>Jan '19</c:v>
                </c:pt>
                <c:pt idx="1">
                  <c:v>Feb '19</c:v>
                </c:pt>
                <c:pt idx="2">
                  <c:v>Mar '19</c:v>
                </c:pt>
                <c:pt idx="3">
                  <c:v>Apr '19</c:v>
                </c:pt>
                <c:pt idx="4">
                  <c:v>May '19</c:v>
                </c:pt>
                <c:pt idx="5">
                  <c:v>Jun '19</c:v>
                </c:pt>
                <c:pt idx="6">
                  <c:v>Jul '19</c:v>
                </c:pt>
                <c:pt idx="7">
                  <c:v>Aug '19</c:v>
                </c:pt>
                <c:pt idx="8">
                  <c:v>Sep '19</c:v>
                </c:pt>
                <c:pt idx="9">
                  <c:v>Oct '19</c:v>
                </c:pt>
                <c:pt idx="10">
                  <c:v>Nov '19</c:v>
                </c:pt>
                <c:pt idx="11">
                  <c:v>Dec '19</c:v>
                </c:pt>
                <c:pt idx="12">
                  <c:v>Jan '20</c:v>
                </c:pt>
                <c:pt idx="13">
                  <c:v>Feb '20</c:v>
                </c:pt>
                <c:pt idx="14">
                  <c:v>Mar '20</c:v>
                </c:pt>
                <c:pt idx="15">
                  <c:v>Apr '20</c:v>
                </c:pt>
                <c:pt idx="16">
                  <c:v>May '20</c:v>
                </c:pt>
                <c:pt idx="17">
                  <c:v>Jun '20</c:v>
                </c:pt>
                <c:pt idx="18">
                  <c:v>Jul '20</c:v>
                </c:pt>
                <c:pt idx="19">
                  <c:v>Aug '20</c:v>
                </c:pt>
                <c:pt idx="20">
                  <c:v>Sep '20</c:v>
                </c:pt>
                <c:pt idx="21">
                  <c:v>Oct '20</c:v>
                </c:pt>
                <c:pt idx="22">
                  <c:v>Nov '20</c:v>
                </c:pt>
                <c:pt idx="23">
                  <c:v>Dec '20</c:v>
                </c:pt>
                <c:pt idx="24">
                  <c:v>Jan '21</c:v>
                </c:pt>
                <c:pt idx="25">
                  <c:v>Feb '21</c:v>
                </c:pt>
                <c:pt idx="26">
                  <c:v>Mar '21</c:v>
                </c:pt>
                <c:pt idx="27">
                  <c:v>Apr '21</c:v>
                </c:pt>
                <c:pt idx="28">
                  <c:v>May '21</c:v>
                </c:pt>
                <c:pt idx="29">
                  <c:v>Jun '21</c:v>
                </c:pt>
                <c:pt idx="30">
                  <c:v>Jul '21</c:v>
                </c:pt>
                <c:pt idx="31">
                  <c:v>Aug '21</c:v>
                </c:pt>
                <c:pt idx="32">
                  <c:v>Sep '21</c:v>
                </c:pt>
                <c:pt idx="33">
                  <c:v>Oct '21</c:v>
                </c:pt>
                <c:pt idx="34">
                  <c:v>Nov '21</c:v>
                </c:pt>
                <c:pt idx="35">
                  <c:v>Dec '21</c:v>
                </c:pt>
                <c:pt idx="36">
                  <c:v>Jan '22</c:v>
                </c:pt>
                <c:pt idx="37">
                  <c:v>Feb '22</c:v>
                </c:pt>
                <c:pt idx="38">
                  <c:v>Mar '22</c:v>
                </c:pt>
                <c:pt idx="39">
                  <c:v>Apr '22</c:v>
                </c:pt>
                <c:pt idx="40">
                  <c:v>May '22</c:v>
                </c:pt>
                <c:pt idx="41">
                  <c:v>Jun '22</c:v>
                </c:pt>
                <c:pt idx="42">
                  <c:v>Jul '22</c:v>
                </c:pt>
                <c:pt idx="43">
                  <c:v>Aug '22</c:v>
                </c:pt>
                <c:pt idx="44">
                  <c:v>Sep '22</c:v>
                </c:pt>
              </c:strCache>
            </c:strRef>
          </c:cat>
          <c:val>
            <c:numRef>
              <c:f>'Ammonia MP'!$E$2:$E$46</c:f>
              <c:numCache>
                <c:formatCode>0.00</c:formatCode>
                <c:ptCount val="45"/>
                <c:pt idx="0">
                  <c:v>470.06471342283669</c:v>
                </c:pt>
                <c:pt idx="1">
                  <c:v>433.53111084267863</c:v>
                </c:pt>
                <c:pt idx="2">
                  <c:v>402.58537634098184</c:v>
                </c:pt>
                <c:pt idx="3">
                  <c:v>402.41538568466922</c:v>
                </c:pt>
                <c:pt idx="4">
                  <c:v>389.56957790199488</c:v>
                </c:pt>
                <c:pt idx="5">
                  <c:v>366.93276892694593</c:v>
                </c:pt>
                <c:pt idx="6">
                  <c:v>374.38298210622401</c:v>
                </c:pt>
                <c:pt idx="7">
                  <c:v>373.09179749991341</c:v>
                </c:pt>
                <c:pt idx="8">
                  <c:v>384.58313592705053</c:v>
                </c:pt>
                <c:pt idx="9">
                  <c:v>405.69156427921394</c:v>
                </c:pt>
                <c:pt idx="10">
                  <c:v>411.59803739519049</c:v>
                </c:pt>
                <c:pt idx="11">
                  <c:v>390.67796190705644</c:v>
                </c:pt>
                <c:pt idx="12">
                  <c:v>365.50573995355796</c:v>
                </c:pt>
                <c:pt idx="13">
                  <c:v>336.33505496513783</c:v>
                </c:pt>
                <c:pt idx="14">
                  <c:v>332.43401166858547</c:v>
                </c:pt>
                <c:pt idx="15">
                  <c:v>313.19648344731979</c:v>
                </c:pt>
                <c:pt idx="16">
                  <c:v>301.00210070044625</c:v>
                </c:pt>
                <c:pt idx="17">
                  <c:v>313.0754549115544</c:v>
                </c:pt>
                <c:pt idx="18">
                  <c:v>317.84409988937716</c:v>
                </c:pt>
                <c:pt idx="19">
                  <c:v>347.29967956727228</c:v>
                </c:pt>
                <c:pt idx="20">
                  <c:v>381.17480694055359</c:v>
                </c:pt>
                <c:pt idx="21">
                  <c:v>394.20561921604428</c:v>
                </c:pt>
                <c:pt idx="22">
                  <c:v>397.55616448519112</c:v>
                </c:pt>
                <c:pt idx="23">
                  <c:v>426.00487070633528</c:v>
                </c:pt>
                <c:pt idx="24">
                  <c:v>514.21616880274019</c:v>
                </c:pt>
                <c:pt idx="25">
                  <c:v>484.27603301005473</c:v>
                </c:pt>
                <c:pt idx="26">
                  <c:v>482.13883833340185</c:v>
                </c:pt>
                <c:pt idx="27">
                  <c:v>512.20577026045123</c:v>
                </c:pt>
                <c:pt idx="28">
                  <c:v>553.31852047475718</c:v>
                </c:pt>
                <c:pt idx="29">
                  <c:v>605.48815960160255</c:v>
                </c:pt>
                <c:pt idx="30">
                  <c:v>664.19769157651308</c:v>
                </c:pt>
                <c:pt idx="31">
                  <c:v>734.34140173193737</c:v>
                </c:pt>
                <c:pt idx="32">
                  <c:v>951.32336540346387</c:v>
                </c:pt>
                <c:pt idx="33">
                  <c:v>1155.0212927348693</c:v>
                </c:pt>
                <c:pt idx="34">
                  <c:v>1108.6347640285735</c:v>
                </c:pt>
                <c:pt idx="35">
                  <c:v>1395.4544161270351</c:v>
                </c:pt>
                <c:pt idx="36">
                  <c:v>1161.2883707235815</c:v>
                </c:pt>
                <c:pt idx="37">
                  <c:v>1100.4830029064969</c:v>
                </c:pt>
                <c:pt idx="38">
                  <c:v>1572.3064645957954</c:v>
                </c:pt>
                <c:pt idx="39">
                  <c:v>1252.2667077671622</c:v>
                </c:pt>
                <c:pt idx="40">
                  <c:v>1191.7222975688703</c:v>
                </c:pt>
                <c:pt idx="41">
                  <c:v>1333.0828562528118</c:v>
                </c:pt>
                <c:pt idx="42">
                  <c:v>1842.1057984548429</c:v>
                </c:pt>
                <c:pt idx="43">
                  <c:v>2426.5781664323977</c:v>
                </c:pt>
                <c:pt idx="44">
                  <c:v>2066.9897389161329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0C-4CDE-A33C-89B9DA601FA1}"/>
            </c:ext>
          </c:extLst>
        </c:ser>
        <c:ser>
          <c:idx val="2"/>
          <c:order val="2"/>
          <c:tx>
            <c:strRef>
              <c:f>'Ammonia MP'!$D$1</c:f>
              <c:strCache>
                <c:ptCount val="1"/>
                <c:pt idx="0">
                  <c:v>Bloomberg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'Ammonia MP'!$D$2:$D$48</c:f>
              <c:numCache>
                <c:formatCode>0.00</c:formatCode>
                <c:ptCount val="47"/>
                <c:pt idx="6">
                  <c:v>508.47457627118644</c:v>
                </c:pt>
                <c:pt idx="7">
                  <c:v>525.42372881355936</c:v>
                </c:pt>
                <c:pt idx="8">
                  <c:v>525.42372881355936</c:v>
                </c:pt>
                <c:pt idx="9">
                  <c:v>559.32203389830511</c:v>
                </c:pt>
                <c:pt idx="10">
                  <c:v>559.32203389830511</c:v>
                </c:pt>
                <c:pt idx="11">
                  <c:v>559.32203389830511</c:v>
                </c:pt>
                <c:pt idx="12">
                  <c:v>559.32203389830511</c:v>
                </c:pt>
                <c:pt idx="13">
                  <c:v>542.37288135593224</c:v>
                </c:pt>
                <c:pt idx="14">
                  <c:v>559.32203389830511</c:v>
                </c:pt>
                <c:pt idx="15">
                  <c:v>559.32203389830511</c:v>
                </c:pt>
                <c:pt idx="16">
                  <c:v>559.32203389830511</c:v>
                </c:pt>
                <c:pt idx="17">
                  <c:v>491.52542372881356</c:v>
                </c:pt>
                <c:pt idx="18">
                  <c:v>457.62711864406782</c:v>
                </c:pt>
                <c:pt idx="19">
                  <c:v>457.62711864406782</c:v>
                </c:pt>
                <c:pt idx="20">
                  <c:v>474.57627118644069</c:v>
                </c:pt>
                <c:pt idx="21">
                  <c:v>474.57627118644069</c:v>
                </c:pt>
                <c:pt idx="22">
                  <c:v>508.47457627118644</c:v>
                </c:pt>
                <c:pt idx="23">
                  <c:v>508.47457627118644</c:v>
                </c:pt>
                <c:pt idx="24">
                  <c:v>677.96610169491521</c:v>
                </c:pt>
                <c:pt idx="25">
                  <c:v>830.50847457627117</c:v>
                </c:pt>
                <c:pt idx="26">
                  <c:v>1000</c:v>
                </c:pt>
                <c:pt idx="27">
                  <c:v>1067.7966101694915</c:v>
                </c:pt>
                <c:pt idx="28">
                  <c:v>1067.7966101694915</c:v>
                </c:pt>
                <c:pt idx="29">
                  <c:v>1220.3389830508474</c:v>
                </c:pt>
                <c:pt idx="30">
                  <c:v>1338.9830508474577</c:v>
                </c:pt>
                <c:pt idx="31">
                  <c:v>1372.8813559322034</c:v>
                </c:pt>
                <c:pt idx="32">
                  <c:v>1559.3220338983051</c:v>
                </c:pt>
                <c:pt idx="33">
                  <c:v>1711.8644067796611</c:v>
                </c:pt>
                <c:pt idx="34">
                  <c:v>1813.5593220338983</c:v>
                </c:pt>
                <c:pt idx="35">
                  <c:v>2491.5254237288136</c:v>
                </c:pt>
                <c:pt idx="36">
                  <c:v>2508.4745762711864</c:v>
                </c:pt>
                <c:pt idx="37">
                  <c:v>2593.2203389830506</c:v>
                </c:pt>
                <c:pt idx="38">
                  <c:v>3271.1864406779659</c:v>
                </c:pt>
                <c:pt idx="39">
                  <c:v>2932.2033898305085</c:v>
                </c:pt>
                <c:pt idx="40">
                  <c:v>2372.8813559322034</c:v>
                </c:pt>
                <c:pt idx="41">
                  <c:v>2254.2372881355932</c:v>
                </c:pt>
                <c:pt idx="42">
                  <c:v>2576.2711864406779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B-4E26-ABAB-E34DC4FD2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523071"/>
        <c:axId val="1529529727"/>
      </c:lineChart>
      <c:catAx>
        <c:axId val="15295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9529727"/>
        <c:crosses val="autoZero"/>
        <c:auto val="1"/>
        <c:lblAlgn val="ctr"/>
        <c:lblOffset val="100"/>
        <c:noMultiLvlLbl val="0"/>
      </c:catAx>
      <c:valAx>
        <c:axId val="152952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952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'Methanol MP'!$C$1</c:f>
              <c:strCache>
                <c:ptCount val="1"/>
                <c:pt idx="0">
                  <c:v>Methanex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'Methanol MP'!$B$2:$B$94</c:f>
              <c:strCache>
                <c:ptCount val="93"/>
                <c:pt idx="0">
                  <c:v>Jan '15</c:v>
                </c:pt>
                <c:pt idx="1">
                  <c:v>Feb '15</c:v>
                </c:pt>
                <c:pt idx="2">
                  <c:v>Mar '15</c:v>
                </c:pt>
                <c:pt idx="3">
                  <c:v>Apr '15</c:v>
                </c:pt>
                <c:pt idx="4">
                  <c:v>May '15</c:v>
                </c:pt>
                <c:pt idx="5">
                  <c:v>Jun '15</c:v>
                </c:pt>
                <c:pt idx="6">
                  <c:v>July '15</c:v>
                </c:pt>
                <c:pt idx="7">
                  <c:v>Aug '15</c:v>
                </c:pt>
                <c:pt idx="8">
                  <c:v>Sep '15</c:v>
                </c:pt>
                <c:pt idx="9">
                  <c:v>Oct '15</c:v>
                </c:pt>
                <c:pt idx="10">
                  <c:v>Nov '15</c:v>
                </c:pt>
                <c:pt idx="11">
                  <c:v>Dec '15</c:v>
                </c:pt>
                <c:pt idx="12">
                  <c:v>Jan '16</c:v>
                </c:pt>
                <c:pt idx="13">
                  <c:v>Feb '16</c:v>
                </c:pt>
                <c:pt idx="14">
                  <c:v>Mar '16</c:v>
                </c:pt>
                <c:pt idx="15">
                  <c:v>Apr '16</c:v>
                </c:pt>
                <c:pt idx="16">
                  <c:v>May '16</c:v>
                </c:pt>
                <c:pt idx="17">
                  <c:v>Jun '16</c:v>
                </c:pt>
                <c:pt idx="18">
                  <c:v>July '16</c:v>
                </c:pt>
                <c:pt idx="19">
                  <c:v>Aug '16</c:v>
                </c:pt>
                <c:pt idx="20">
                  <c:v>Sep '16</c:v>
                </c:pt>
                <c:pt idx="21">
                  <c:v>Oct '16</c:v>
                </c:pt>
                <c:pt idx="22">
                  <c:v>Nov '16</c:v>
                </c:pt>
                <c:pt idx="23">
                  <c:v>Dec '16</c:v>
                </c:pt>
                <c:pt idx="24">
                  <c:v>Jan '17</c:v>
                </c:pt>
                <c:pt idx="25">
                  <c:v>Feb '17</c:v>
                </c:pt>
                <c:pt idx="26">
                  <c:v>Mar '17</c:v>
                </c:pt>
                <c:pt idx="27">
                  <c:v>Apr '17</c:v>
                </c:pt>
                <c:pt idx="28">
                  <c:v>May '17</c:v>
                </c:pt>
                <c:pt idx="29">
                  <c:v>Jun '17</c:v>
                </c:pt>
                <c:pt idx="30">
                  <c:v>Jul '17</c:v>
                </c:pt>
                <c:pt idx="31">
                  <c:v>Aug '17</c:v>
                </c:pt>
                <c:pt idx="32">
                  <c:v>Sep '17</c:v>
                </c:pt>
                <c:pt idx="33">
                  <c:v>Oct '17</c:v>
                </c:pt>
                <c:pt idx="34">
                  <c:v>Nov '17</c:v>
                </c:pt>
                <c:pt idx="35">
                  <c:v>Dec '17</c:v>
                </c:pt>
                <c:pt idx="36">
                  <c:v>Jan '18</c:v>
                </c:pt>
                <c:pt idx="37">
                  <c:v>Feb '18</c:v>
                </c:pt>
                <c:pt idx="38">
                  <c:v>Mar '18</c:v>
                </c:pt>
                <c:pt idx="39">
                  <c:v>Apr '18</c:v>
                </c:pt>
                <c:pt idx="40">
                  <c:v>May '18</c:v>
                </c:pt>
                <c:pt idx="41">
                  <c:v>Jun '18</c:v>
                </c:pt>
                <c:pt idx="42">
                  <c:v>Jul '18</c:v>
                </c:pt>
                <c:pt idx="43">
                  <c:v>Aug '18</c:v>
                </c:pt>
                <c:pt idx="44">
                  <c:v>Sep '18</c:v>
                </c:pt>
                <c:pt idx="45">
                  <c:v>Oct '18</c:v>
                </c:pt>
                <c:pt idx="46">
                  <c:v>Nov '18</c:v>
                </c:pt>
                <c:pt idx="47">
                  <c:v>Dec '18</c:v>
                </c:pt>
                <c:pt idx="48">
                  <c:v>Jan '19</c:v>
                </c:pt>
                <c:pt idx="49">
                  <c:v>Feb '19</c:v>
                </c:pt>
                <c:pt idx="50">
                  <c:v>Mar '19</c:v>
                </c:pt>
                <c:pt idx="51">
                  <c:v>Apr '19</c:v>
                </c:pt>
                <c:pt idx="52">
                  <c:v>May '19</c:v>
                </c:pt>
                <c:pt idx="53">
                  <c:v>Jun '19</c:v>
                </c:pt>
                <c:pt idx="54">
                  <c:v>Jul '19</c:v>
                </c:pt>
                <c:pt idx="55">
                  <c:v>Aug '19</c:v>
                </c:pt>
                <c:pt idx="56">
                  <c:v>Sep '19</c:v>
                </c:pt>
                <c:pt idx="57">
                  <c:v>Oct '19</c:v>
                </c:pt>
                <c:pt idx="58">
                  <c:v>Nov '19</c:v>
                </c:pt>
                <c:pt idx="59">
                  <c:v>Dec '19</c:v>
                </c:pt>
                <c:pt idx="60">
                  <c:v>Jan '20</c:v>
                </c:pt>
                <c:pt idx="61">
                  <c:v>Feb '20</c:v>
                </c:pt>
                <c:pt idx="62">
                  <c:v>Mar '20</c:v>
                </c:pt>
                <c:pt idx="63">
                  <c:v>Apr '20</c:v>
                </c:pt>
                <c:pt idx="64">
                  <c:v>May '20</c:v>
                </c:pt>
                <c:pt idx="65">
                  <c:v>Jun '20</c:v>
                </c:pt>
                <c:pt idx="66">
                  <c:v>Jul '20</c:v>
                </c:pt>
                <c:pt idx="67">
                  <c:v>Aug '20</c:v>
                </c:pt>
                <c:pt idx="68">
                  <c:v>Sep '20</c:v>
                </c:pt>
                <c:pt idx="69">
                  <c:v>Oct '20</c:v>
                </c:pt>
                <c:pt idx="70">
                  <c:v>Nov '20</c:v>
                </c:pt>
                <c:pt idx="71">
                  <c:v>Dec '20</c:v>
                </c:pt>
                <c:pt idx="72">
                  <c:v>Jan '21</c:v>
                </c:pt>
                <c:pt idx="73">
                  <c:v>Feb '21</c:v>
                </c:pt>
                <c:pt idx="74">
                  <c:v>Mar '21</c:v>
                </c:pt>
                <c:pt idx="75">
                  <c:v>Apr '21</c:v>
                </c:pt>
                <c:pt idx="76">
                  <c:v>May '21</c:v>
                </c:pt>
                <c:pt idx="77">
                  <c:v>Jun '21</c:v>
                </c:pt>
                <c:pt idx="78">
                  <c:v>Jul '21</c:v>
                </c:pt>
                <c:pt idx="79">
                  <c:v>Aug '21</c:v>
                </c:pt>
                <c:pt idx="80">
                  <c:v>Sep '21</c:v>
                </c:pt>
                <c:pt idx="81">
                  <c:v>Oct '21</c:v>
                </c:pt>
                <c:pt idx="82">
                  <c:v>Nov '21</c:v>
                </c:pt>
                <c:pt idx="83">
                  <c:v>Dec '21</c:v>
                </c:pt>
                <c:pt idx="84">
                  <c:v>Jan '22</c:v>
                </c:pt>
                <c:pt idx="85">
                  <c:v>Feb '22</c:v>
                </c:pt>
                <c:pt idx="86">
                  <c:v>Mar '22</c:v>
                </c:pt>
                <c:pt idx="87">
                  <c:v>Apr '22</c:v>
                </c:pt>
                <c:pt idx="88">
                  <c:v>May '22</c:v>
                </c:pt>
                <c:pt idx="89">
                  <c:v>Jun '22</c:v>
                </c:pt>
                <c:pt idx="90">
                  <c:v>Jul '22</c:v>
                </c:pt>
                <c:pt idx="91">
                  <c:v>Aug '22</c:v>
                </c:pt>
                <c:pt idx="92">
                  <c:v>Sep '22</c:v>
                </c:pt>
              </c:strCache>
            </c:strRef>
          </c:cat>
          <c:val>
            <c:numRef>
              <c:f>'Methanol MP'!$C$2:$C$94</c:f>
              <c:numCache>
                <c:formatCode>0.00</c:formatCode>
                <c:ptCount val="93"/>
                <c:pt idx="0">
                  <c:v>411.34799999999996</c:v>
                </c:pt>
                <c:pt idx="1">
                  <c:v>393.91799999999995</c:v>
                </c:pt>
                <c:pt idx="2">
                  <c:v>393.91799999999995</c:v>
                </c:pt>
                <c:pt idx="3">
                  <c:v>424.13</c:v>
                </c:pt>
                <c:pt idx="4">
                  <c:v>424.13</c:v>
                </c:pt>
                <c:pt idx="5">
                  <c:v>424.13</c:v>
                </c:pt>
                <c:pt idx="6">
                  <c:v>424.13</c:v>
                </c:pt>
                <c:pt idx="7">
                  <c:v>424.13</c:v>
                </c:pt>
                <c:pt idx="8">
                  <c:v>424.13</c:v>
                </c:pt>
                <c:pt idx="9">
                  <c:v>342.78999999999996</c:v>
                </c:pt>
                <c:pt idx="10">
                  <c:v>342.78999999999996</c:v>
                </c:pt>
                <c:pt idx="11">
                  <c:v>342.78999999999996</c:v>
                </c:pt>
                <c:pt idx="12">
                  <c:v>304.37</c:v>
                </c:pt>
                <c:pt idx="13">
                  <c:v>304.37</c:v>
                </c:pt>
                <c:pt idx="14">
                  <c:v>304.37</c:v>
                </c:pt>
                <c:pt idx="15">
                  <c:v>249.03</c:v>
                </c:pt>
                <c:pt idx="16">
                  <c:v>249.03</c:v>
                </c:pt>
                <c:pt idx="17">
                  <c:v>249.03</c:v>
                </c:pt>
                <c:pt idx="18">
                  <c:v>265.63200000000001</c:v>
                </c:pt>
                <c:pt idx="19">
                  <c:v>265.63200000000001</c:v>
                </c:pt>
                <c:pt idx="20">
                  <c:v>265.63200000000001</c:v>
                </c:pt>
                <c:pt idx="21">
                  <c:v>276.7</c:v>
                </c:pt>
                <c:pt idx="22">
                  <c:v>276.7</c:v>
                </c:pt>
                <c:pt idx="23">
                  <c:v>276.7</c:v>
                </c:pt>
                <c:pt idx="24">
                  <c:v>418.24800000000005</c:v>
                </c:pt>
                <c:pt idx="25">
                  <c:v>418.24800000000005</c:v>
                </c:pt>
                <c:pt idx="26">
                  <c:v>418.24800000000005</c:v>
                </c:pt>
                <c:pt idx="27">
                  <c:v>508.68</c:v>
                </c:pt>
                <c:pt idx="28">
                  <c:v>508.68</c:v>
                </c:pt>
                <c:pt idx="29">
                  <c:v>508.68</c:v>
                </c:pt>
                <c:pt idx="30">
                  <c:v>361.72800000000001</c:v>
                </c:pt>
                <c:pt idx="31">
                  <c:v>361.72800000000001</c:v>
                </c:pt>
                <c:pt idx="32">
                  <c:v>361.72800000000001</c:v>
                </c:pt>
                <c:pt idx="33">
                  <c:v>373.03200000000004</c:v>
                </c:pt>
                <c:pt idx="34">
                  <c:v>373.03200000000004</c:v>
                </c:pt>
                <c:pt idx="35">
                  <c:v>373.03200000000004</c:v>
                </c:pt>
                <c:pt idx="36">
                  <c:v>448.81800000000004</c:v>
                </c:pt>
                <c:pt idx="37">
                  <c:v>448.81800000000004</c:v>
                </c:pt>
                <c:pt idx="38">
                  <c:v>448.81800000000004</c:v>
                </c:pt>
                <c:pt idx="39">
                  <c:v>448.81800000000004</c:v>
                </c:pt>
                <c:pt idx="40">
                  <c:v>448.81800000000004</c:v>
                </c:pt>
                <c:pt idx="41">
                  <c:v>448.81800000000004</c:v>
                </c:pt>
                <c:pt idx="42">
                  <c:v>494.8809</c:v>
                </c:pt>
                <c:pt idx="43">
                  <c:v>494.8809</c:v>
                </c:pt>
                <c:pt idx="44">
                  <c:v>494.8809</c:v>
                </c:pt>
                <c:pt idx="45">
                  <c:v>505.51080000000002</c:v>
                </c:pt>
                <c:pt idx="46">
                  <c:v>505.51080000000002</c:v>
                </c:pt>
                <c:pt idx="47">
                  <c:v>505.51080000000002</c:v>
                </c:pt>
                <c:pt idx="48">
                  <c:v>403.16399999999999</c:v>
                </c:pt>
                <c:pt idx="49">
                  <c:v>403.16399999999999</c:v>
                </c:pt>
                <c:pt idx="50">
                  <c:v>403.16399999999999</c:v>
                </c:pt>
                <c:pt idx="51">
                  <c:v>403.16399999999999</c:v>
                </c:pt>
                <c:pt idx="52">
                  <c:v>403.16399999999999</c:v>
                </c:pt>
                <c:pt idx="53">
                  <c:v>403.16399999999999</c:v>
                </c:pt>
                <c:pt idx="54">
                  <c:v>352.76849999999996</c:v>
                </c:pt>
                <c:pt idx="55">
                  <c:v>352.76849999999996</c:v>
                </c:pt>
                <c:pt idx="56">
                  <c:v>352.76849999999996</c:v>
                </c:pt>
                <c:pt idx="57">
                  <c:v>313.57199999999995</c:v>
                </c:pt>
                <c:pt idx="58">
                  <c:v>313.57199999999995</c:v>
                </c:pt>
                <c:pt idx="59">
                  <c:v>313.57199999999995</c:v>
                </c:pt>
                <c:pt idx="60">
                  <c:v>314.04999999999995</c:v>
                </c:pt>
                <c:pt idx="61">
                  <c:v>314.04999999999995</c:v>
                </c:pt>
                <c:pt idx="62">
                  <c:v>314.04999999999995</c:v>
                </c:pt>
                <c:pt idx="63">
                  <c:v>296.91999999999996</c:v>
                </c:pt>
                <c:pt idx="64">
                  <c:v>296.91999999999996</c:v>
                </c:pt>
                <c:pt idx="65">
                  <c:v>296.91999999999996</c:v>
                </c:pt>
                <c:pt idx="66">
                  <c:v>268.37</c:v>
                </c:pt>
                <c:pt idx="67">
                  <c:v>268.37</c:v>
                </c:pt>
                <c:pt idx="68">
                  <c:v>268.37</c:v>
                </c:pt>
                <c:pt idx="69">
                  <c:v>314.04999999999995</c:v>
                </c:pt>
                <c:pt idx="70">
                  <c:v>314.04999999999995</c:v>
                </c:pt>
                <c:pt idx="71">
                  <c:v>314.04999999999995</c:v>
                </c:pt>
                <c:pt idx="72">
                  <c:v>461.37</c:v>
                </c:pt>
                <c:pt idx="73">
                  <c:v>461.37</c:v>
                </c:pt>
                <c:pt idx="74">
                  <c:v>461.37</c:v>
                </c:pt>
                <c:pt idx="75">
                  <c:v>485.03000000000003</c:v>
                </c:pt>
                <c:pt idx="76">
                  <c:v>485.03000000000003</c:v>
                </c:pt>
                <c:pt idx="77">
                  <c:v>485.03000000000003</c:v>
                </c:pt>
                <c:pt idx="78">
                  <c:v>485.03000000000003</c:v>
                </c:pt>
                <c:pt idx="79">
                  <c:v>485.03000000000003</c:v>
                </c:pt>
                <c:pt idx="80">
                  <c:v>485.03000000000003</c:v>
                </c:pt>
                <c:pt idx="81">
                  <c:v>579.67000000000007</c:v>
                </c:pt>
                <c:pt idx="82">
                  <c:v>579.67000000000007</c:v>
                </c:pt>
                <c:pt idx="83">
                  <c:v>579.67000000000007</c:v>
                </c:pt>
                <c:pt idx="84">
                  <c:v>571.71050000000002</c:v>
                </c:pt>
                <c:pt idx="85">
                  <c:v>572.77100000000007</c:v>
                </c:pt>
                <c:pt idx="86">
                  <c:v>555.803</c:v>
                </c:pt>
                <c:pt idx="87">
                  <c:v>616.39799999999991</c:v>
                </c:pt>
                <c:pt idx="88">
                  <c:v>602.88900000000001</c:v>
                </c:pt>
                <c:pt idx="89">
                  <c:v>602.31899999999996</c:v>
                </c:pt>
                <c:pt idx="90">
                  <c:v>565.98900000000003</c:v>
                </c:pt>
                <c:pt idx="91">
                  <c:v>561.60450000000003</c:v>
                </c:pt>
                <c:pt idx="92">
                  <c:v>550.17149999999992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7F-4885-84CE-E716691BB8E5}"/>
            </c:ext>
          </c:extLst>
        </c:ser>
        <c:ser>
          <c:idx val="1"/>
          <c:order val="1"/>
          <c:tx>
            <c:strRef>
              <c:f>'Methanol MP'!$D$1</c:f>
              <c:strCache>
                <c:ptCount val="1"/>
                <c:pt idx="0">
                  <c:v>MMSA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'Methanol MP'!$B$2:$B$94</c:f>
              <c:strCache>
                <c:ptCount val="93"/>
                <c:pt idx="0">
                  <c:v>Jan '15</c:v>
                </c:pt>
                <c:pt idx="1">
                  <c:v>Feb '15</c:v>
                </c:pt>
                <c:pt idx="2">
                  <c:v>Mar '15</c:v>
                </c:pt>
                <c:pt idx="3">
                  <c:v>Apr '15</c:v>
                </c:pt>
                <c:pt idx="4">
                  <c:v>May '15</c:v>
                </c:pt>
                <c:pt idx="5">
                  <c:v>Jun '15</c:v>
                </c:pt>
                <c:pt idx="6">
                  <c:v>July '15</c:v>
                </c:pt>
                <c:pt idx="7">
                  <c:v>Aug '15</c:v>
                </c:pt>
                <c:pt idx="8">
                  <c:v>Sep '15</c:v>
                </c:pt>
                <c:pt idx="9">
                  <c:v>Oct '15</c:v>
                </c:pt>
                <c:pt idx="10">
                  <c:v>Nov '15</c:v>
                </c:pt>
                <c:pt idx="11">
                  <c:v>Dec '15</c:v>
                </c:pt>
                <c:pt idx="12">
                  <c:v>Jan '16</c:v>
                </c:pt>
                <c:pt idx="13">
                  <c:v>Feb '16</c:v>
                </c:pt>
                <c:pt idx="14">
                  <c:v>Mar '16</c:v>
                </c:pt>
                <c:pt idx="15">
                  <c:v>Apr '16</c:v>
                </c:pt>
                <c:pt idx="16">
                  <c:v>May '16</c:v>
                </c:pt>
                <c:pt idx="17">
                  <c:v>Jun '16</c:v>
                </c:pt>
                <c:pt idx="18">
                  <c:v>July '16</c:v>
                </c:pt>
                <c:pt idx="19">
                  <c:v>Aug '16</c:v>
                </c:pt>
                <c:pt idx="20">
                  <c:v>Sep '16</c:v>
                </c:pt>
                <c:pt idx="21">
                  <c:v>Oct '16</c:v>
                </c:pt>
                <c:pt idx="22">
                  <c:v>Nov '16</c:v>
                </c:pt>
                <c:pt idx="23">
                  <c:v>Dec '16</c:v>
                </c:pt>
                <c:pt idx="24">
                  <c:v>Jan '17</c:v>
                </c:pt>
                <c:pt idx="25">
                  <c:v>Feb '17</c:v>
                </c:pt>
                <c:pt idx="26">
                  <c:v>Mar '17</c:v>
                </c:pt>
                <c:pt idx="27">
                  <c:v>Apr '17</c:v>
                </c:pt>
                <c:pt idx="28">
                  <c:v>May '17</c:v>
                </c:pt>
                <c:pt idx="29">
                  <c:v>Jun '17</c:v>
                </c:pt>
                <c:pt idx="30">
                  <c:v>Jul '17</c:v>
                </c:pt>
                <c:pt idx="31">
                  <c:v>Aug '17</c:v>
                </c:pt>
                <c:pt idx="32">
                  <c:v>Sep '17</c:v>
                </c:pt>
                <c:pt idx="33">
                  <c:v>Oct '17</c:v>
                </c:pt>
                <c:pt idx="34">
                  <c:v>Nov '17</c:v>
                </c:pt>
                <c:pt idx="35">
                  <c:v>Dec '17</c:v>
                </c:pt>
                <c:pt idx="36">
                  <c:v>Jan '18</c:v>
                </c:pt>
                <c:pt idx="37">
                  <c:v>Feb '18</c:v>
                </c:pt>
                <c:pt idx="38">
                  <c:v>Mar '18</c:v>
                </c:pt>
                <c:pt idx="39">
                  <c:v>Apr '18</c:v>
                </c:pt>
                <c:pt idx="40">
                  <c:v>May '18</c:v>
                </c:pt>
                <c:pt idx="41">
                  <c:v>Jun '18</c:v>
                </c:pt>
                <c:pt idx="42">
                  <c:v>Jul '18</c:v>
                </c:pt>
                <c:pt idx="43">
                  <c:v>Aug '18</c:v>
                </c:pt>
                <c:pt idx="44">
                  <c:v>Sep '18</c:v>
                </c:pt>
                <c:pt idx="45">
                  <c:v>Oct '18</c:v>
                </c:pt>
                <c:pt idx="46">
                  <c:v>Nov '18</c:v>
                </c:pt>
                <c:pt idx="47">
                  <c:v>Dec '18</c:v>
                </c:pt>
                <c:pt idx="48">
                  <c:v>Jan '19</c:v>
                </c:pt>
                <c:pt idx="49">
                  <c:v>Feb '19</c:v>
                </c:pt>
                <c:pt idx="50">
                  <c:v>Mar '19</c:v>
                </c:pt>
                <c:pt idx="51">
                  <c:v>Apr '19</c:v>
                </c:pt>
                <c:pt idx="52">
                  <c:v>May '19</c:v>
                </c:pt>
                <c:pt idx="53">
                  <c:v>Jun '19</c:v>
                </c:pt>
                <c:pt idx="54">
                  <c:v>Jul '19</c:v>
                </c:pt>
                <c:pt idx="55">
                  <c:v>Aug '19</c:v>
                </c:pt>
                <c:pt idx="56">
                  <c:v>Sep '19</c:v>
                </c:pt>
                <c:pt idx="57">
                  <c:v>Oct '19</c:v>
                </c:pt>
                <c:pt idx="58">
                  <c:v>Nov '19</c:v>
                </c:pt>
                <c:pt idx="59">
                  <c:v>Dec '19</c:v>
                </c:pt>
                <c:pt idx="60">
                  <c:v>Jan '20</c:v>
                </c:pt>
                <c:pt idx="61">
                  <c:v>Feb '20</c:v>
                </c:pt>
                <c:pt idx="62">
                  <c:v>Mar '20</c:v>
                </c:pt>
                <c:pt idx="63">
                  <c:v>Apr '20</c:v>
                </c:pt>
                <c:pt idx="64">
                  <c:v>May '20</c:v>
                </c:pt>
                <c:pt idx="65">
                  <c:v>Jun '20</c:v>
                </c:pt>
                <c:pt idx="66">
                  <c:v>Jul '20</c:v>
                </c:pt>
                <c:pt idx="67">
                  <c:v>Aug '20</c:v>
                </c:pt>
                <c:pt idx="68">
                  <c:v>Sep '20</c:v>
                </c:pt>
                <c:pt idx="69">
                  <c:v>Oct '20</c:v>
                </c:pt>
                <c:pt idx="70">
                  <c:v>Nov '20</c:v>
                </c:pt>
                <c:pt idx="71">
                  <c:v>Dec '20</c:v>
                </c:pt>
                <c:pt idx="72">
                  <c:v>Jan '21</c:v>
                </c:pt>
                <c:pt idx="73">
                  <c:v>Feb '21</c:v>
                </c:pt>
                <c:pt idx="74">
                  <c:v>Mar '21</c:v>
                </c:pt>
                <c:pt idx="75">
                  <c:v>Apr '21</c:v>
                </c:pt>
                <c:pt idx="76">
                  <c:v>May '21</c:v>
                </c:pt>
                <c:pt idx="77">
                  <c:v>Jun '21</c:v>
                </c:pt>
                <c:pt idx="78">
                  <c:v>Jul '21</c:v>
                </c:pt>
                <c:pt idx="79">
                  <c:v>Aug '21</c:v>
                </c:pt>
                <c:pt idx="80">
                  <c:v>Sep '21</c:v>
                </c:pt>
                <c:pt idx="81">
                  <c:v>Oct '21</c:v>
                </c:pt>
                <c:pt idx="82">
                  <c:v>Nov '21</c:v>
                </c:pt>
                <c:pt idx="83">
                  <c:v>Dec '21</c:v>
                </c:pt>
                <c:pt idx="84">
                  <c:v>Jan '22</c:v>
                </c:pt>
                <c:pt idx="85">
                  <c:v>Feb '22</c:v>
                </c:pt>
                <c:pt idx="86">
                  <c:v>Mar '22</c:v>
                </c:pt>
                <c:pt idx="87">
                  <c:v>Apr '22</c:v>
                </c:pt>
                <c:pt idx="88">
                  <c:v>May '22</c:v>
                </c:pt>
                <c:pt idx="89">
                  <c:v>Jun '22</c:v>
                </c:pt>
                <c:pt idx="90">
                  <c:v>Jul '22</c:v>
                </c:pt>
                <c:pt idx="91">
                  <c:v>Aug '22</c:v>
                </c:pt>
                <c:pt idx="92">
                  <c:v>Sep '22</c:v>
                </c:pt>
              </c:strCache>
            </c:strRef>
          </c:cat>
          <c:val>
            <c:numRef>
              <c:f>'Methanol MP'!$D$2:$D$94</c:f>
              <c:numCache>
                <c:formatCode>General</c:formatCode>
                <c:ptCount val="93"/>
                <c:pt idx="57" formatCode="0.00">
                  <c:v>306.70298077055349</c:v>
                </c:pt>
                <c:pt idx="58" formatCode="0.00">
                  <c:v>307.50931560377626</c:v>
                </c:pt>
                <c:pt idx="59" formatCode="0.00">
                  <c:v>308.85552070420795</c:v>
                </c:pt>
                <c:pt idx="60" formatCode="0.00">
                  <c:v>301.11799822664562</c:v>
                </c:pt>
                <c:pt idx="61" formatCode="0.00">
                  <c:v>295.49938382392202</c:v>
                </c:pt>
                <c:pt idx="62" formatCode="0.00">
                  <c:v>299.75556195702529</c:v>
                </c:pt>
                <c:pt idx="63" formatCode="0.00">
                  <c:v>277.62243708732609</c:v>
                </c:pt>
                <c:pt idx="64" formatCode="0.00">
                  <c:v>277.88735451249187</c:v>
                </c:pt>
                <c:pt idx="65" formatCode="0.00">
                  <c:v>287.16200617562328</c:v>
                </c:pt>
                <c:pt idx="66" formatCode="0.00">
                  <c:v>257.69634889749204</c:v>
                </c:pt>
                <c:pt idx="67" formatCode="0.00">
                  <c:v>266.19046649210907</c:v>
                </c:pt>
                <c:pt idx="68" formatCode="0.00">
                  <c:v>265.77940339363283</c:v>
                </c:pt>
                <c:pt idx="69" formatCode="0.00">
                  <c:v>309.2739774113038</c:v>
                </c:pt>
                <c:pt idx="70" formatCode="0.00">
                  <c:v>311.01157296654748</c:v>
                </c:pt>
                <c:pt idx="71" formatCode="0.00">
                  <c:v>319.56536299064675</c:v>
                </c:pt>
                <c:pt idx="72" formatCode="0.00">
                  <c:v>481.06747680100364</c:v>
                </c:pt>
                <c:pt idx="73" formatCode="0.00">
                  <c:v>477.57384683716288</c:v>
                </c:pt>
                <c:pt idx="74" formatCode="0.00">
                  <c:v>470.87266772510088</c:v>
                </c:pt>
                <c:pt idx="75" formatCode="0.00">
                  <c:v>499.17080585913067</c:v>
                </c:pt>
                <c:pt idx="76" formatCode="0.00">
                  <c:v>502.77885778022039</c:v>
                </c:pt>
                <c:pt idx="77" formatCode="0.00">
                  <c:v>505.38464623533594</c:v>
                </c:pt>
                <c:pt idx="78" formatCode="0.00">
                  <c:v>479.15994057644423</c:v>
                </c:pt>
                <c:pt idx="79" formatCode="0.00">
                  <c:v>476.34698821660021</c:v>
                </c:pt>
                <c:pt idx="80" formatCode="0.00">
                  <c:v>478.0075562940039</c:v>
                </c:pt>
                <c:pt idx="81" formatCode="0.00">
                  <c:v>571.14257525689652</c:v>
                </c:pt>
                <c:pt idx="82" formatCode="0.00">
                  <c:v>553.75539798554973</c:v>
                </c:pt>
                <c:pt idx="83" formatCode="0.00">
                  <c:v>548.1987824005929</c:v>
                </c:pt>
                <c:pt idx="84" formatCode="0.00">
                  <c:v>560.57775942232342</c:v>
                </c:pt>
                <c:pt idx="85" formatCode="0.00">
                  <c:v>561.67806783083381</c:v>
                </c:pt>
                <c:pt idx="86" formatCode="0.00">
                  <c:v>546.31123213745491</c:v>
                </c:pt>
                <c:pt idx="87" formatCode="0.00">
                  <c:v>593.28381317142498</c:v>
                </c:pt>
                <c:pt idx="88" formatCode="0.00">
                  <c:v>580.94128612430006</c:v>
                </c:pt>
                <c:pt idx="89" formatCode="0.00">
                  <c:v>583.2060910484638</c:v>
                </c:pt>
                <c:pt idx="90" formatCode="0.00">
                  <c:v>533.79842732499765</c:v>
                </c:pt>
                <c:pt idx="91" formatCode="0.00">
                  <c:v>528.59238968608929</c:v>
                </c:pt>
                <c:pt idx="92" formatCode="0.00">
                  <c:v>523.62380583532217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7F-4885-84CE-E716691BB8E5}"/>
            </c:ext>
          </c:extLst>
        </c:ser>
        <c:ser>
          <c:idx val="2"/>
          <c:order val="2"/>
          <c:tx>
            <c:strRef>
              <c:f>'Methanol MP'!$E$1</c:f>
              <c:strCache>
                <c:ptCount val="1"/>
                <c:pt idx="0">
                  <c:v>Model (EUR)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'Methanol MP'!$B$2:$B$94</c:f>
              <c:strCache>
                <c:ptCount val="93"/>
                <c:pt idx="0">
                  <c:v>Jan '15</c:v>
                </c:pt>
                <c:pt idx="1">
                  <c:v>Feb '15</c:v>
                </c:pt>
                <c:pt idx="2">
                  <c:v>Mar '15</c:v>
                </c:pt>
                <c:pt idx="3">
                  <c:v>Apr '15</c:v>
                </c:pt>
                <c:pt idx="4">
                  <c:v>May '15</c:v>
                </c:pt>
                <c:pt idx="5">
                  <c:v>Jun '15</c:v>
                </c:pt>
                <c:pt idx="6">
                  <c:v>July '15</c:v>
                </c:pt>
                <c:pt idx="7">
                  <c:v>Aug '15</c:v>
                </c:pt>
                <c:pt idx="8">
                  <c:v>Sep '15</c:v>
                </c:pt>
                <c:pt idx="9">
                  <c:v>Oct '15</c:v>
                </c:pt>
                <c:pt idx="10">
                  <c:v>Nov '15</c:v>
                </c:pt>
                <c:pt idx="11">
                  <c:v>Dec '15</c:v>
                </c:pt>
                <c:pt idx="12">
                  <c:v>Jan '16</c:v>
                </c:pt>
                <c:pt idx="13">
                  <c:v>Feb '16</c:v>
                </c:pt>
                <c:pt idx="14">
                  <c:v>Mar '16</c:v>
                </c:pt>
                <c:pt idx="15">
                  <c:v>Apr '16</c:v>
                </c:pt>
                <c:pt idx="16">
                  <c:v>May '16</c:v>
                </c:pt>
                <c:pt idx="17">
                  <c:v>Jun '16</c:v>
                </c:pt>
                <c:pt idx="18">
                  <c:v>July '16</c:v>
                </c:pt>
                <c:pt idx="19">
                  <c:v>Aug '16</c:v>
                </c:pt>
                <c:pt idx="20">
                  <c:v>Sep '16</c:v>
                </c:pt>
                <c:pt idx="21">
                  <c:v>Oct '16</c:v>
                </c:pt>
                <c:pt idx="22">
                  <c:v>Nov '16</c:v>
                </c:pt>
                <c:pt idx="23">
                  <c:v>Dec '16</c:v>
                </c:pt>
                <c:pt idx="24">
                  <c:v>Jan '17</c:v>
                </c:pt>
                <c:pt idx="25">
                  <c:v>Feb '17</c:v>
                </c:pt>
                <c:pt idx="26">
                  <c:v>Mar '17</c:v>
                </c:pt>
                <c:pt idx="27">
                  <c:v>Apr '17</c:v>
                </c:pt>
                <c:pt idx="28">
                  <c:v>May '17</c:v>
                </c:pt>
                <c:pt idx="29">
                  <c:v>Jun '17</c:v>
                </c:pt>
                <c:pt idx="30">
                  <c:v>Jul '17</c:v>
                </c:pt>
                <c:pt idx="31">
                  <c:v>Aug '17</c:v>
                </c:pt>
                <c:pt idx="32">
                  <c:v>Sep '17</c:v>
                </c:pt>
                <c:pt idx="33">
                  <c:v>Oct '17</c:v>
                </c:pt>
                <c:pt idx="34">
                  <c:v>Nov '17</c:v>
                </c:pt>
                <c:pt idx="35">
                  <c:v>Dec '17</c:v>
                </c:pt>
                <c:pt idx="36">
                  <c:v>Jan '18</c:v>
                </c:pt>
                <c:pt idx="37">
                  <c:v>Feb '18</c:v>
                </c:pt>
                <c:pt idx="38">
                  <c:v>Mar '18</c:v>
                </c:pt>
                <c:pt idx="39">
                  <c:v>Apr '18</c:v>
                </c:pt>
                <c:pt idx="40">
                  <c:v>May '18</c:v>
                </c:pt>
                <c:pt idx="41">
                  <c:v>Jun '18</c:v>
                </c:pt>
                <c:pt idx="42">
                  <c:v>Jul '18</c:v>
                </c:pt>
                <c:pt idx="43">
                  <c:v>Aug '18</c:v>
                </c:pt>
                <c:pt idx="44">
                  <c:v>Sep '18</c:v>
                </c:pt>
                <c:pt idx="45">
                  <c:v>Oct '18</c:v>
                </c:pt>
                <c:pt idx="46">
                  <c:v>Nov '18</c:v>
                </c:pt>
                <c:pt idx="47">
                  <c:v>Dec '18</c:v>
                </c:pt>
                <c:pt idx="48">
                  <c:v>Jan '19</c:v>
                </c:pt>
                <c:pt idx="49">
                  <c:v>Feb '19</c:v>
                </c:pt>
                <c:pt idx="50">
                  <c:v>Mar '19</c:v>
                </c:pt>
                <c:pt idx="51">
                  <c:v>Apr '19</c:v>
                </c:pt>
                <c:pt idx="52">
                  <c:v>May '19</c:v>
                </c:pt>
                <c:pt idx="53">
                  <c:v>Jun '19</c:v>
                </c:pt>
                <c:pt idx="54">
                  <c:v>Jul '19</c:v>
                </c:pt>
                <c:pt idx="55">
                  <c:v>Aug '19</c:v>
                </c:pt>
                <c:pt idx="56">
                  <c:v>Sep '19</c:v>
                </c:pt>
                <c:pt idx="57">
                  <c:v>Oct '19</c:v>
                </c:pt>
                <c:pt idx="58">
                  <c:v>Nov '19</c:v>
                </c:pt>
                <c:pt idx="59">
                  <c:v>Dec '19</c:v>
                </c:pt>
                <c:pt idx="60">
                  <c:v>Jan '20</c:v>
                </c:pt>
                <c:pt idx="61">
                  <c:v>Feb '20</c:v>
                </c:pt>
                <c:pt idx="62">
                  <c:v>Mar '20</c:v>
                </c:pt>
                <c:pt idx="63">
                  <c:v>Apr '20</c:v>
                </c:pt>
                <c:pt idx="64">
                  <c:v>May '20</c:v>
                </c:pt>
                <c:pt idx="65">
                  <c:v>Jun '20</c:v>
                </c:pt>
                <c:pt idx="66">
                  <c:v>Jul '20</c:v>
                </c:pt>
                <c:pt idx="67">
                  <c:v>Aug '20</c:v>
                </c:pt>
                <c:pt idx="68">
                  <c:v>Sep '20</c:v>
                </c:pt>
                <c:pt idx="69">
                  <c:v>Oct '20</c:v>
                </c:pt>
                <c:pt idx="70">
                  <c:v>Nov '20</c:v>
                </c:pt>
                <c:pt idx="71">
                  <c:v>Dec '20</c:v>
                </c:pt>
                <c:pt idx="72">
                  <c:v>Jan '21</c:v>
                </c:pt>
                <c:pt idx="73">
                  <c:v>Feb '21</c:v>
                </c:pt>
                <c:pt idx="74">
                  <c:v>Mar '21</c:v>
                </c:pt>
                <c:pt idx="75">
                  <c:v>Apr '21</c:v>
                </c:pt>
                <c:pt idx="76">
                  <c:v>May '21</c:v>
                </c:pt>
                <c:pt idx="77">
                  <c:v>Jun '21</c:v>
                </c:pt>
                <c:pt idx="78">
                  <c:v>Jul '21</c:v>
                </c:pt>
                <c:pt idx="79">
                  <c:v>Aug '21</c:v>
                </c:pt>
                <c:pt idx="80">
                  <c:v>Sep '21</c:v>
                </c:pt>
                <c:pt idx="81">
                  <c:v>Oct '21</c:v>
                </c:pt>
                <c:pt idx="82">
                  <c:v>Nov '21</c:v>
                </c:pt>
                <c:pt idx="83">
                  <c:v>Dec '21</c:v>
                </c:pt>
                <c:pt idx="84">
                  <c:v>Jan '22</c:v>
                </c:pt>
                <c:pt idx="85">
                  <c:v>Feb '22</c:v>
                </c:pt>
                <c:pt idx="86">
                  <c:v>Mar '22</c:v>
                </c:pt>
                <c:pt idx="87">
                  <c:v>Apr '22</c:v>
                </c:pt>
                <c:pt idx="88">
                  <c:v>May '22</c:v>
                </c:pt>
                <c:pt idx="89">
                  <c:v>Jun '22</c:v>
                </c:pt>
                <c:pt idx="90">
                  <c:v>Jul '22</c:v>
                </c:pt>
                <c:pt idx="91">
                  <c:v>Aug '22</c:v>
                </c:pt>
                <c:pt idx="92">
                  <c:v>Sep '22</c:v>
                </c:pt>
              </c:strCache>
            </c:strRef>
          </c:cat>
          <c:val>
            <c:numRef>
              <c:f>'Methanol MP'!$E$2:$E$94</c:f>
              <c:numCache>
                <c:formatCode>0.00</c:formatCode>
                <c:ptCount val="93"/>
                <c:pt idx="0">
                  <c:v>357.29323948465549</c:v>
                </c:pt>
                <c:pt idx="1">
                  <c:v>329.04279666357843</c:v>
                </c:pt>
                <c:pt idx="2">
                  <c:v>328.64393666357842</c:v>
                </c:pt>
                <c:pt idx="3">
                  <c:v>303.70696135958303</c:v>
                </c:pt>
                <c:pt idx="4">
                  <c:v>298.99686807064273</c:v>
                </c:pt>
                <c:pt idx="5">
                  <c:v>299.93469384250142</c:v>
                </c:pt>
                <c:pt idx="6">
                  <c:v>289.78116994904462</c:v>
                </c:pt>
                <c:pt idx="7">
                  <c:v>290.11589572090332</c:v>
                </c:pt>
                <c:pt idx="8">
                  <c:v>283.12734645859877</c:v>
                </c:pt>
                <c:pt idx="9">
                  <c:v>275.50338565257675</c:v>
                </c:pt>
                <c:pt idx="10">
                  <c:v>269.43712081991896</c:v>
                </c:pt>
                <c:pt idx="11">
                  <c:v>265.00872041690792</c:v>
                </c:pt>
                <c:pt idx="12">
                  <c:v>240.89680132852797</c:v>
                </c:pt>
                <c:pt idx="13">
                  <c:v>227.23420146170693</c:v>
                </c:pt>
                <c:pt idx="14">
                  <c:v>208.71301676222805</c:v>
                </c:pt>
                <c:pt idx="15">
                  <c:v>204.9096692451464</c:v>
                </c:pt>
                <c:pt idx="16">
                  <c:v>202.1583532717822</c:v>
                </c:pt>
                <c:pt idx="17">
                  <c:v>205.16792924514641</c:v>
                </c:pt>
                <c:pt idx="18">
                  <c:v>216.22745891046199</c:v>
                </c:pt>
                <c:pt idx="19">
                  <c:v>215.05924736674453</c:v>
                </c:pt>
                <c:pt idx="20">
                  <c:v>207.71229233258128</c:v>
                </c:pt>
                <c:pt idx="21">
                  <c:v>210.5393354200161</c:v>
                </c:pt>
                <c:pt idx="22">
                  <c:v>228.72579434763625</c:v>
                </c:pt>
                <c:pt idx="23">
                  <c:v>245.90215461746837</c:v>
                </c:pt>
                <c:pt idx="24">
                  <c:v>249.7688134185785</c:v>
                </c:pt>
                <c:pt idx="25">
                  <c:v>272.48307717885643</c:v>
                </c:pt>
                <c:pt idx="26">
                  <c:v>245.31500455928494</c:v>
                </c:pt>
                <c:pt idx="27">
                  <c:v>241.59058992813263</c:v>
                </c:pt>
                <c:pt idx="28">
                  <c:v>244.94303167335553</c:v>
                </c:pt>
                <c:pt idx="29">
                  <c:v>246.65020898893172</c:v>
                </c:pt>
                <c:pt idx="30">
                  <c:v>241.03189127034457</c:v>
                </c:pt>
                <c:pt idx="31">
                  <c:v>242.91716147185008</c:v>
                </c:pt>
                <c:pt idx="32">
                  <c:v>249.88893784822525</c:v>
                </c:pt>
                <c:pt idx="33">
                  <c:v>266.09121234619869</c:v>
                </c:pt>
                <c:pt idx="34">
                  <c:v>265.23355503062248</c:v>
                </c:pt>
                <c:pt idx="35">
                  <c:v>280.28883087080777</c:v>
                </c:pt>
                <c:pt idx="36">
                  <c:v>314.82641854420331</c:v>
                </c:pt>
                <c:pt idx="37">
                  <c:v>295.46064941507768</c:v>
                </c:pt>
                <c:pt idx="38">
                  <c:v>299.92925558994739</c:v>
                </c:pt>
                <c:pt idx="39">
                  <c:v>322.30978069243724</c:v>
                </c:pt>
                <c:pt idx="40">
                  <c:v>304.32830176481713</c:v>
                </c:pt>
                <c:pt idx="41">
                  <c:v>304.97432176481715</c:v>
                </c:pt>
                <c:pt idx="42">
                  <c:v>300.83427558994742</c:v>
                </c:pt>
                <c:pt idx="43">
                  <c:v>305.99774176481714</c:v>
                </c:pt>
                <c:pt idx="44">
                  <c:v>301.21685558994739</c:v>
                </c:pt>
                <c:pt idx="45">
                  <c:v>352.49384351351421</c:v>
                </c:pt>
                <c:pt idx="46">
                  <c:v>337.57349344518769</c:v>
                </c:pt>
                <c:pt idx="47">
                  <c:v>328.46977975323631</c:v>
                </c:pt>
                <c:pt idx="48">
                  <c:v>309.37649845256874</c:v>
                </c:pt>
                <c:pt idx="49">
                  <c:v>271.21327616768167</c:v>
                </c:pt>
                <c:pt idx="50">
                  <c:v>246.07008663554501</c:v>
                </c:pt>
                <c:pt idx="51">
                  <c:v>238.94735160138174</c:v>
                </c:pt>
                <c:pt idx="52">
                  <c:v>222.07192421747897</c:v>
                </c:pt>
                <c:pt idx="53">
                  <c:v>199.77353777277719</c:v>
                </c:pt>
                <c:pt idx="54">
                  <c:v>201.18323643056527</c:v>
                </c:pt>
                <c:pt idx="55">
                  <c:v>202.72169374614143</c:v>
                </c:pt>
                <c:pt idx="56">
                  <c:v>218.12279670039737</c:v>
                </c:pt>
                <c:pt idx="57">
                  <c:v>243.0346120043927</c:v>
                </c:pt>
                <c:pt idx="58">
                  <c:v>245.96278797775696</c:v>
                </c:pt>
                <c:pt idx="59">
                  <c:v>229.815765023501</c:v>
                </c:pt>
                <c:pt idx="60">
                  <c:v>199.40429230500035</c:v>
                </c:pt>
                <c:pt idx="61">
                  <c:v>177.40930451808666</c:v>
                </c:pt>
                <c:pt idx="62">
                  <c:v>171.90543968542889</c:v>
                </c:pt>
                <c:pt idx="63">
                  <c:v>153.9774865296674</c:v>
                </c:pt>
                <c:pt idx="64">
                  <c:v>138.24733068948214</c:v>
                </c:pt>
                <c:pt idx="65">
                  <c:v>143.85084975028121</c:v>
                </c:pt>
                <c:pt idx="66">
                  <c:v>145.595274179928</c:v>
                </c:pt>
                <c:pt idx="67">
                  <c:v>176.90956008843986</c:v>
                </c:pt>
                <c:pt idx="68">
                  <c:v>209.39378465473979</c:v>
                </c:pt>
                <c:pt idx="69">
                  <c:v>236.12747593209937</c:v>
                </c:pt>
                <c:pt idx="70">
                  <c:v>235.0253715024526</c:v>
                </c:pt>
                <c:pt idx="71">
                  <c:v>265.16626586724703</c:v>
                </c:pt>
                <c:pt idx="72">
                  <c:v>324.05649427753929</c:v>
                </c:pt>
                <c:pt idx="73">
                  <c:v>291.3367039393807</c:v>
                </c:pt>
                <c:pt idx="74">
                  <c:v>290.34732528159259</c:v>
                </c:pt>
                <c:pt idx="75">
                  <c:v>320.61623964638704</c:v>
                </c:pt>
                <c:pt idx="76">
                  <c:v>371.99312756995391</c:v>
                </c:pt>
                <c:pt idx="77">
                  <c:v>414.12767871413462</c:v>
                </c:pt>
                <c:pt idx="78">
                  <c:v>479.20120650452259</c:v>
                </c:pt>
                <c:pt idx="79">
                  <c:v>564.59312919589479</c:v>
                </c:pt>
                <c:pt idx="80">
                  <c:v>784.37353766954857</c:v>
                </c:pt>
                <c:pt idx="81">
                  <c:v>1024.9777570175509</c:v>
                </c:pt>
                <c:pt idx="82">
                  <c:v>927.52015714378138</c:v>
                </c:pt>
                <c:pt idx="83">
                  <c:v>1234.8557513962423</c:v>
                </c:pt>
                <c:pt idx="84">
                  <c:v>962.26814598119142</c:v>
                </c:pt>
                <c:pt idx="85">
                  <c:v>929.29403873046761</c:v>
                </c:pt>
                <c:pt idx="86">
                  <c:v>1381.1467337993734</c:v>
                </c:pt>
                <c:pt idx="87">
                  <c:v>1077.1986030373582</c:v>
                </c:pt>
                <c:pt idx="88">
                  <c:v>989.55831860076296</c:v>
                </c:pt>
                <c:pt idx="89">
                  <c:v>1120.779115523751</c:v>
                </c:pt>
                <c:pt idx="90">
                  <c:v>1646.9410138202186</c:v>
                </c:pt>
                <c:pt idx="91">
                  <c:v>2204.7746233940466</c:v>
                </c:pt>
                <c:pt idx="92">
                  <c:v>1877.1901861873291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7F-4885-84CE-E716691BB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0761632"/>
        <c:axId val="1340761216"/>
      </c:lineChart>
      <c:catAx>
        <c:axId val="134076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0761216"/>
        <c:crosses val="autoZero"/>
        <c:auto val="1"/>
        <c:lblAlgn val="ctr"/>
        <c:lblOffset val="100"/>
        <c:noMultiLvlLbl val="0"/>
      </c:catAx>
      <c:valAx>
        <c:axId val="134076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4076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?><Relationships xmlns="http://schemas.openxmlformats.org/package/2006/relationships"><Relationship Target="../charts/chart1.xml" Type="http://schemas.openxmlformats.org/officeDocument/2006/relationships/chart" Id="rId1"/></Relationships>
</file>

<file path=xl/drawings/_rels/drawing2.xml.rels><?xml version="1.0" encoding="UTF-8"?><Relationships xmlns="http://schemas.openxmlformats.org/package/2006/relationships"><Relationship Target="../charts/chart2.xml" Type="http://schemas.openxmlformats.org/officeDocument/2006/relationships/chart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11</xdr:col>
      <xdr:colOff>419100</xdr:colOff>
      <xdr:row>2</xdr:row>
      <xdr:rowOff>91440</xdr:rowOff>
    </xdr:from>
    <xdr:to>
      <xdr:col>17</xdr:col>
      <xdr:colOff>257175</xdr:colOff>
      <xdr:row>17</xdr:row>
      <xdr:rowOff>91440</xdr:rowOff>
    </xdr:to>
    <xdr:graphicFrame macro="">
      <xdr:nvGraphicFramePr>
        <xdr:cNvPr id="2" name="Chart 1">
          <a:extLst>
            <a:ext xmlns:a16="http://schemas.microsoft.com/office/drawing/2014/main" uri="{FF2B5EF4-FFF2-40B4-BE49-F238E27FC236}">
              <a16:creationId xmlns:a16="http://schemas.microsoft.com/office/drawing/2014/main" id="{1E3BFF31-71D8-3BB0-E1E3-6134C8EA7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15</xdr:col>
      <xdr:colOff>365760</xdr:colOff>
      <xdr:row>2</xdr:row>
      <xdr:rowOff>76200</xdr:rowOff>
    </xdr:from>
    <xdr:to>
      <xdr:col>25</xdr:col>
      <xdr:colOff>266700</xdr:colOff>
      <xdr:row>26</xdr:row>
      <xdr:rowOff>60960</xdr:rowOff>
    </xdr:to>
    <xdr:graphicFrame macro="">
      <xdr:nvGraphicFramePr>
        <xdr:cNvPr id="6" name="Chart 5">
          <a:extLst>
            <a:ext xmlns:a16="http://schemas.microsoft.com/office/drawing/2014/main" uri="{FF2B5EF4-FFF2-40B4-BE49-F238E27FC236}">
              <a16:creationId xmlns:a16="http://schemas.microsoft.com/office/drawing/2014/main" id="{F9F5F169-BB1B-BE91-BDDA-166D2420F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_rels/sheet6.xml.rels><?xml version="1.0" encoding="UTF-8"?><Relationships xmlns="http://schemas.openxmlformats.org/package/2006/relationships"><Relationship Target="../printerSettings/printerSettings4.bin" Type="http://schemas.openxmlformats.org/officeDocument/2006/relationships/printerSettings" Id="rId1"/></Relationships>
</file>

<file path=xl/worksheets/_rels/sheet9.xml.rels><?xml version="1.0" encoding="UTF-8"?><Relationships xmlns="http://schemas.openxmlformats.org/package/2006/relationships"><Relationship Target="../printerSettings/printerSettings5.bin" Type="http://schemas.openxmlformats.org/officeDocument/2006/relationships/printerSettings" Id="rId1"/></Relationships>
</file>

<file path=xl/worksheets/_rels/sheet10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11.xml.rels><?xml version="1.0" encoding="UTF-8"?><Relationships xmlns="http://schemas.openxmlformats.org/package/2006/relationships"><Relationship Target="../drawings/drawing2.xml" Type="http://schemas.openxmlformats.org/officeDocument/2006/relationships/drawing" Id="rId2"/><Relationship Target="../printerSettings/printerSettings6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D809-A168-4C06-9AE0-44BB9A26A7AF}">
  <sheetPr codeName="Sheet1"/>
  <dimension ref="A1:X48"/>
  <sheetViews>
    <sheetView topLeftCell="C1" zoomScale="115" zoomScaleNormal="115" workbookViewId="0">
      <pane ySplit="1" topLeftCell="A2" activePane="bottomLeft" state="frozen"/>
      <selection pane="bottomLeft" activeCell="M8" sqref="M8"/>
    </sheetView>
  </sheetViews>
  <sheetFormatPr defaultRowHeight="14.4" x14ac:dyDescent="0.3"/>
  <cols>
    <col min="3" max="3" width="8.5546875" bestFit="true" customWidth="true"/>
    <col min="4" max="4" width="8.5546875" customWidth="true"/>
    <col min="5" max="5" width="7.7109375" bestFit="true" customWidth="true"/>
    <col min="6" max="6" width="11.7109375" bestFit="true" customWidth="true"/>
    <col min="7" max="7" width="11.7109375" customWidth="true"/>
    <col min="10" max="10" width="12.33203125" bestFit="true" customWidth="true"/>
    <col min="11" max="13" width="12.33203125" customWidth="true"/>
    <col min="14" max="14" width="11.7109375" customWidth="true"/>
    <col min="16" max="16" width="11.6640625" bestFit="true" customWidth="true"/>
    <col min="17" max="18" width="11.6640625" customWidth="true"/>
    <col min="19" max="19" width="9.109375" customWidth="true"/>
    <col min="20" max="20" width="11.7109375" bestFit="true" customWidth="true"/>
    <col min="21" max="21" width="11.7109375" customWidth="true"/>
    <col min="22" max="22" width="12.33203125" customWidth="true"/>
    <col min="23" max="27" width="11.6640625" customWidth="true"/>
    <col min="28" max="28" width="10.6640625" customWidth="true"/>
    <col min="29" max="31" width="11.6640625" customWidth="true"/>
    <col min="32" max="32" width="10.6640625" customWidth="true"/>
    <col min="33" max="35" width="11.6640625" customWidth="true"/>
    <col min="36" max="36" width="10.6640625" customWidth="true"/>
    <col min="37" max="57" width="11.6640625" customWidth="true"/>
    <col min="58" max="58" width="10.6640625" customWidth="true"/>
    <col min="59" max="95" width="11.6640625" customWidth="true"/>
    <col min="96" max="107" width="10.6640625" customWidth="true"/>
    <col min="108" max="185" width="11.6640625" customWidth="true"/>
    <col min="15" max="15" width="11.6640625" customWidth="true"/>
    <col min="8" max="8" width="11.7109375" customWidth="true"/>
    <col min="9" max="9" width="11.7109375" customWidth="true"/>
  </cols>
  <sheetData>
    <row r="1" x14ac:dyDescent="0.3">
      <c r="A1" t="s">
        <v>107</v>
      </c>
      <c r="B1" t="s">
        <v>44</v>
      </c>
      <c r="C1" s="1" t="s">
        <v>0</v>
      </c>
      <c r="D1" s="1" t="s">
        <v>112</v>
      </c>
      <c r="E1" s="1" t="s">
        <v>5</v>
      </c>
      <c r="F1" s="1" t="s">
        <v>9</v>
      </c>
      <c r="G1" s="1" t="s">
        <v>1</v>
      </c>
      <c r="H1" s="1" t="s">
        <v>10</v>
      </c>
      <c r="I1" s="1" t="s">
        <v>11</v>
      </c>
      <c r="J1" s="1" t="s">
        <v>12</v>
      </c>
      <c r="K1" s="1" t="s">
        <v>6</v>
      </c>
      <c r="L1" s="1" t="s">
        <v>13</v>
      </c>
      <c r="M1" s="1" t="s">
        <v>14</v>
      </c>
      <c r="N1" s="1" t="s">
        <v>179</v>
      </c>
      <c r="P1" s="1" t="s">
        <v>3</v>
      </c>
      <c r="Q1" s="1" t="s">
        <v>4</v>
      </c>
      <c r="S1" s="1" t="s">
        <v>108</v>
      </c>
      <c r="T1" s="1" t="s">
        <v>111</v>
      </c>
      <c r="U1" s="1" t="s">
        <v>110</v>
      </c>
      <c r="V1" s="1" t="s">
        <v>109</v>
      </c>
      <c r="W1" s="1" t="s">
        <v>180</v>
      </c>
    </row>
    <row r="2" x14ac:dyDescent="0.3">
      <c r="A2">
        <v>1</v>
      </c>
      <c r="B2" s="1" t="s">
        <v>45</v>
      </c>
      <c r="C2" s="2">
        <v>326.17727272727274</v>
      </c>
      <c r="D2" s="2"/>
      <c r="E2" s="2">
        <v>470.06471342283669</v>
      </c>
      <c r="F2" s="0">
        <v>627.87300086725259</v>
      </c>
      <c r="G2" s="0">
        <v>1440.524473159039</v>
      </c>
      <c r="H2" s="0">
        <v>1851.9250959873561</v>
      </c>
      <c r="I2" s="0">
        <v>1446.3570686169637</v>
      </c>
      <c r="J2">
        <f t="shared" ref="J2:J46" si="0">(E2-F2)/($Q$3-$Q$2)</f>
        <v>47.389876109434205</v>
      </c>
      <c r="K2">
        <f t="shared" ref="K2:K46" si="1">(E2-G2)/($Q$4-$Q$2)</f>
        <v>647.83695576515504</v>
      </c>
      <c r="L2">
        <f t="shared" ref="L2:L46" si="2">(E2-H2)/($Q$5-$Q$2)</f>
        <v>1316.0575072043043</v>
      </c>
      <c r="M2">
        <f t="shared" ref="M2:M46" si="3">(E2-I2)/($Q$6-$Q$2)</f>
        <v>473.0098620126584</v>
      </c>
      <c r="N2" s="0">
        <v>1076.8365401374824</v>
      </c>
      <c r="P2" s="1" t="s">
        <v>5</v>
      </c>
      <c r="Q2" s="25">
        <v>2.19</v>
      </c>
      <c r="S2" s="8">
        <v>49.41</v>
      </c>
      <c r="T2" s="0">
        <v>2321.4697637274257</v>
      </c>
      <c r="U2" s="0">
        <v>636.94255706474655</v>
      </c>
      <c r="V2">
        <f t="shared" ref="V2:V48" si="4">(E2-U2)/($Q$8-$Q$2)</f>
        <v>101.81686616345935</v>
      </c>
      <c r="W2">
        <v>4817.8696846106404</v>
      </c>
    </row>
    <row r="3" x14ac:dyDescent="0.3">
      <c r="A3">
        <f>A2+1</f>
        <v>2</v>
      </c>
      <c r="B3" s="1" t="s">
        <v>46</v>
      </c>
      <c r="C3" s="2">
        <v>268.5377272727273</v>
      </c>
      <c r="D3" s="2"/>
      <c r="E3" s="2">
        <v>433.53111084267863</v>
      </c>
      <c r="F3" s="0">
        <v>624.77170078013478</v>
      </c>
      <c r="G3" s="0">
        <v>1437.4231730719212</v>
      </c>
      <c r="H3" s="0">
        <v>1848.8237959002383</v>
      </c>
      <c r="I3" s="0">
        <v>1443.2557685298459</v>
      </c>
      <c r="J3">
        <f t="shared" si="0"/>
        <v>57.429606587824665</v>
      </c>
      <c r="K3">
        <f t="shared" si="1"/>
        <v>670.15491470576944</v>
      </c>
      <c r="L3">
        <f t="shared" si="2"/>
        <v>1347.897795292914</v>
      </c>
      <c r="M3">
        <f t="shared" si="3"/>
        <v>489.20768298796867</v>
      </c>
      <c r="N3" s="0">
        <v>1009.7705224906445</v>
      </c>
      <c r="O3" s="14"/>
      <c r="P3" s="1" t="s">
        <v>9</v>
      </c>
      <c r="Q3" s="25">
        <v>-1.1399999999999999</v>
      </c>
      <c r="S3" s="8">
        <v>42.81</v>
      </c>
      <c r="T3" s="0">
        <v>2093.3209883354166</v>
      </c>
      <c r="U3" s="0">
        <v>593.63885483011927</v>
      </c>
      <c r="V3">
        <f t="shared" si="4"/>
        <v>97.68623794230669</v>
      </c>
      <c r="W3">
        <v>4454.8696846106413</v>
      </c>
    </row>
    <row r="4" x14ac:dyDescent="0.3">
      <c r="A4">
        <f t="shared" ref="A4:A48" si="5">A3+1</f>
        <v>3</v>
      </c>
      <c r="B4" s="1" t="s">
        <v>47</v>
      </c>
      <c r="C4" s="2">
        <v>231.45181818181817</v>
      </c>
      <c r="D4" s="2"/>
      <c r="E4" s="2">
        <v>402.58537634098184</v>
      </c>
      <c r="F4" s="0">
        <v>619.03899455849296</v>
      </c>
      <c r="G4" s="0">
        <v>1431.6904668502793</v>
      </c>
      <c r="H4" s="0">
        <v>1843.0910896785965</v>
      </c>
      <c r="I4" s="0">
        <v>1437.5230623082041</v>
      </c>
      <c r="J4">
        <f t="shared" si="0"/>
        <v>65.001086551805145</v>
      </c>
      <c r="K4">
        <f t="shared" si="1"/>
        <v>686.98604172850298</v>
      </c>
      <c r="L4">
        <f t="shared" si="2"/>
        <v>1371.9102031786806</v>
      </c>
      <c r="M4">
        <f t="shared" si="3"/>
        <v>501.42329746473945</v>
      </c>
      <c r="N4" s="0">
        <v>885.80000502224675</v>
      </c>
      <c r="P4" s="1" t="s">
        <v>1</v>
      </c>
      <c r="Q4" s="25">
        <v>0.69199999999999995</v>
      </c>
      <c r="S4" s="8">
        <v>30.61</v>
      </c>
      <c r="T4" s="0">
        <v>1946.5275902149765</v>
      </c>
      <c r="U4" s="0">
        <v>562.03948676163031</v>
      </c>
      <c r="V4">
        <f t="shared" si="4"/>
        <v>97.287437718516472</v>
      </c>
      <c r="W4">
        <v>3783.8696846106413</v>
      </c>
      <c r="X4" s="14"/>
    </row>
    <row r="5" x14ac:dyDescent="0.3">
      <c r="A5">
        <f t="shared" si="5"/>
        <v>4</v>
      </c>
      <c r="B5" s="1" t="s">
        <v>48</v>
      </c>
      <c r="C5" s="2">
        <v>219.83454545454546</v>
      </c>
      <c r="D5" s="2"/>
      <c r="E5" s="2">
        <v>402.41538568466922</v>
      </c>
      <c r="F5" s="0">
        <v>622.02752009698816</v>
      </c>
      <c r="G5" s="0">
        <v>1434.6789923887748</v>
      </c>
      <c r="H5" s="0">
        <v>1846.0796152170917</v>
      </c>
      <c r="I5" s="0">
        <v>1440.5115878466995</v>
      </c>
      <c r="J5">
        <f t="shared" si="0"/>
        <v>65.949589913609287</v>
      </c>
      <c r="K5">
        <f t="shared" si="1"/>
        <v>689.09453051008381</v>
      </c>
      <c r="L5">
        <f t="shared" si="2"/>
        <v>1374.9183138404023</v>
      </c>
      <c r="M5">
        <f t="shared" si="3"/>
        <v>502.95358631881311</v>
      </c>
      <c r="N5" s="0">
        <v>950.42725839101786</v>
      </c>
      <c r="P5" s="1" t="s">
        <v>10</v>
      </c>
      <c r="Q5" s="25">
        <v>1.1399999999999999</v>
      </c>
      <c r="S5" s="8">
        <v>36.97</v>
      </c>
      <c r="T5" s="0">
        <v>1900.5441161049591</v>
      </c>
      <c r="U5" s="0">
        <v>556.92520256496857</v>
      </c>
      <c r="V5">
        <f t="shared" si="4"/>
        <v>94.270785161866613</v>
      </c>
      <c r="W5">
        <v>4133.6696846106406</v>
      </c>
      <c r="X5" s="14"/>
    </row>
    <row r="6" x14ac:dyDescent="0.3">
      <c r="A6">
        <f t="shared" si="5"/>
        <v>5</v>
      </c>
      <c r="B6" s="1" t="s">
        <v>49</v>
      </c>
      <c r="C6" s="2">
        <v>193.9190909090909</v>
      </c>
      <c r="D6" s="2"/>
      <c r="E6" s="2">
        <v>389.56957790199488</v>
      </c>
      <c r="F6" s="0">
        <v>622.43162889621874</v>
      </c>
      <c r="G6" s="0">
        <v>1435.0831011880052</v>
      </c>
      <c r="H6" s="0">
        <v>1846.4837240163222</v>
      </c>
      <c r="I6" s="0">
        <v>1440.91569664593</v>
      </c>
      <c r="J6">
        <f t="shared" si="0"/>
        <v>69.928543842109264</v>
      </c>
      <c r="K6">
        <f t="shared" si="1"/>
        <v>697.93960165955286</v>
      </c>
      <c r="L6">
        <f t="shared" si="2"/>
        <v>1387.5372820136449</v>
      </c>
      <c r="M6">
        <f t="shared" si="3"/>
        <v>509.37311954648021</v>
      </c>
      <c r="N6" s="0">
        <v>959.1661637207576</v>
      </c>
      <c r="P6" s="1" t="s">
        <v>11</v>
      </c>
      <c r="Q6" s="25">
        <v>0.126</v>
      </c>
      <c r="S6" s="8">
        <v>37.83</v>
      </c>
      <c r="T6" s="0">
        <v>1797.965596936459</v>
      </c>
      <c r="U6" s="0">
        <v>539.25381272423351</v>
      </c>
      <c r="V6">
        <f t="shared" si="4"/>
        <v>91.326561819547692</v>
      </c>
      <c r="W6">
        <v>4180.9696846106417</v>
      </c>
    </row>
    <row r="7" x14ac:dyDescent="0.3">
      <c r="A7">
        <f t="shared" si="5"/>
        <v>6</v>
      </c>
      <c r="B7" s="1" t="s">
        <v>50</v>
      </c>
      <c r="C7" s="2">
        <v>160.40772727272727</v>
      </c>
      <c r="D7" s="2"/>
      <c r="E7" s="2">
        <v>366.93276892694593</v>
      </c>
      <c r="F7" s="0">
        <v>619.92709412889485</v>
      </c>
      <c r="G7" s="0">
        <v>1432.5785664206812</v>
      </c>
      <c r="H7" s="0">
        <v>1843.9791892489984</v>
      </c>
      <c r="I7" s="0">
        <v>1438.411161878606</v>
      </c>
      <c r="J7">
        <f t="shared" si="0"/>
        <v>75.974271832417088</v>
      </c>
      <c r="K7">
        <f t="shared" si="1"/>
        <v>711.37903704521716</v>
      </c>
      <c r="L7">
        <f t="shared" si="2"/>
        <v>1406.7108764971927</v>
      </c>
      <c r="M7">
        <f t="shared" si="3"/>
        <v>519.12712836805235</v>
      </c>
      <c r="N7" s="0">
        <v>905.00527371202338</v>
      </c>
      <c r="P7" s="1" t="s">
        <v>8</v>
      </c>
      <c r="Q7" s="26"/>
      <c r="S7" s="8">
        <v>32.5</v>
      </c>
      <c r="T7" s="0">
        <v>1665.3209600806395</v>
      </c>
      <c r="U7" s="0">
        <v>513.37578833626458</v>
      </c>
      <c r="V7">
        <f t="shared" si="4"/>
        <v>89.349005130761853</v>
      </c>
      <c r="W7">
        <v>3887.8196846106425</v>
      </c>
    </row>
    <row r="8" x14ac:dyDescent="0.3">
      <c r="A8">
        <f t="shared" si="5"/>
        <v>7</v>
      </c>
      <c r="B8" s="1" t="s">
        <v>51</v>
      </c>
      <c r="C8" s="2">
        <v>161.74818181818182</v>
      </c>
      <c r="D8" s="2"/>
      <c r="E8" s="2">
        <v>374.38298210622401</v>
      </c>
      <c r="F8" s="0">
        <v>623.31502952709468</v>
      </c>
      <c r="G8" s="0">
        <v>1435.9665018188809</v>
      </c>
      <c r="H8" s="0">
        <v>1847.3671246471981</v>
      </c>
      <c r="I8" s="0">
        <v>1441.7990972768057</v>
      </c>
      <c r="J8">
        <f t="shared" si="0"/>
        <v>74.754368594856061</v>
      </c>
      <c r="K8">
        <f t="shared" si="1"/>
        <v>708.66723612326894</v>
      </c>
      <c r="L8">
        <f t="shared" si="2"/>
        <v>1402.8420405152133</v>
      </c>
      <c r="M8">
        <f t="shared" si="3"/>
        <v>517.15897052838261</v>
      </c>
      <c r="N8" s="0">
        <v>978.26981723228118</v>
      </c>
      <c r="P8" s="1" t="s">
        <v>110</v>
      </c>
      <c r="Q8" s="25">
        <v>0.55100000000000005</v>
      </c>
      <c r="S8" s="8">
        <v>39.71</v>
      </c>
      <c r="T8" s="0">
        <v>1670.6267455548723</v>
      </c>
      <c r="U8" s="0">
        <v>517.69866331929029</v>
      </c>
      <c r="V8">
        <f t="shared" si="4"/>
        <v>87.440928134878774</v>
      </c>
      <c r="W8">
        <v>4284.3696846106423</v>
      </c>
    </row>
    <row r="9" x14ac:dyDescent="0.3">
      <c r="A9">
        <f t="shared" si="5"/>
        <v>8</v>
      </c>
      <c r="B9" s="1" t="s">
        <v>52</v>
      </c>
      <c r="C9" s="2">
        <v>164.42909090909092</v>
      </c>
      <c r="D9" s="2"/>
      <c r="E9" s="2">
        <v>373.09179749991341</v>
      </c>
      <c r="F9" s="0">
        <v>621.95703600409911</v>
      </c>
      <c r="G9" s="0">
        <v>1434.6085082958855</v>
      </c>
      <c r="H9" s="0">
        <v>1846.0091311242024</v>
      </c>
      <c r="I9" s="0">
        <v>1440.4411037538102</v>
      </c>
      <c r="J9">
        <f t="shared" si="0"/>
        <v>74.734305857112815</v>
      </c>
      <c r="K9">
        <f t="shared" si="1"/>
        <v>708.62263738048875</v>
      </c>
      <c r="L9">
        <f t="shared" si="2"/>
        <v>1402.7784129755134</v>
      </c>
      <c r="M9">
        <f t="shared" si="3"/>
        <v>517.12660186719813</v>
      </c>
      <c r="N9" s="0">
        <v>948.9030307172261</v>
      </c>
      <c r="S9" s="8">
        <v>36.82</v>
      </c>
      <c r="T9" s="0">
        <v>1681.238316503338</v>
      </c>
      <c r="U9" s="0">
        <v>518.21054896594637</v>
      </c>
      <c r="V9">
        <f t="shared" si="4"/>
        <v>88.541032011002429</v>
      </c>
      <c r="W9">
        <v>4125.4196846106406</v>
      </c>
    </row>
    <row r="10" x14ac:dyDescent="0.3">
      <c r="A10">
        <f t="shared" si="5"/>
        <v>9</v>
      </c>
      <c r="B10" s="1" t="s">
        <v>53</v>
      </c>
      <c r="C10" s="2">
        <v>188.11045454545456</v>
      </c>
      <c r="D10" s="2"/>
      <c r="E10" s="2">
        <v>384.58313592705053</v>
      </c>
      <c r="F10" s="0">
        <v>621.4636473538759</v>
      </c>
      <c r="G10" s="0">
        <v>1434.1151196456624</v>
      </c>
      <c r="H10" s="0">
        <v>1845.5157424739793</v>
      </c>
      <c r="I10" s="0">
        <v>1439.9477151035871</v>
      </c>
      <c r="J10">
        <f t="shared" si="0"/>
        <v>71.135288716764379</v>
      </c>
      <c r="K10">
        <f t="shared" si="1"/>
        <v>700.62215201509468</v>
      </c>
      <c r="L10">
        <f t="shared" si="2"/>
        <v>1391.3643871875513</v>
      </c>
      <c r="M10">
        <f t="shared" si="3"/>
        <v>511.32004805064759</v>
      </c>
      <c r="N10" s="0">
        <v>938.23343700068381</v>
      </c>
      <c r="S10" s="8">
        <v>35.770000000000003</v>
      </c>
      <c r="T10" s="0">
        <v>1774.9738598814502</v>
      </c>
      <c r="U10" s="0">
        <v>534.23442631431226</v>
      </c>
      <c r="V10">
        <f t="shared" si="4"/>
        <v>91.306461493143217</v>
      </c>
      <c r="W10">
        <v>4067.6696846106415</v>
      </c>
    </row>
    <row r="11" x14ac:dyDescent="0.3">
      <c r="A11">
        <f t="shared" si="5"/>
        <v>10</v>
      </c>
      <c r="B11" s="1" t="s">
        <v>54</v>
      </c>
      <c r="C11" s="2">
        <v>226.08999999999997</v>
      </c>
      <c r="D11" s="2"/>
      <c r="E11" s="2">
        <v>405.69156427921394</v>
      </c>
      <c r="F11" s="0">
        <v>622.01812221793625</v>
      </c>
      <c r="G11" s="0">
        <v>1434.6695945097226</v>
      </c>
      <c r="H11" s="0">
        <v>1846.0702173380398</v>
      </c>
      <c r="I11" s="0">
        <v>1440.5021899676476</v>
      </c>
      <c r="J11">
        <f t="shared" si="0"/>
        <v>64.962930311928616</v>
      </c>
      <c r="K11">
        <f t="shared" si="1"/>
        <v>686.90122178271611</v>
      </c>
      <c r="L11">
        <f t="shared" si="2"/>
        <v>1371.7891933893579</v>
      </c>
      <c r="M11">
        <f t="shared" si="3"/>
        <v>501.36173725214809</v>
      </c>
      <c r="N11" s="0">
        <v>950.22402803451268</v>
      </c>
      <c r="S11" s="8">
        <v>36.950000000000003</v>
      </c>
      <c r="T11" s="0">
        <v>1925.3044483180452</v>
      </c>
      <c r="U11" s="0">
        <v>561.2788560817703</v>
      </c>
      <c r="V11">
        <f t="shared" si="4"/>
        <v>94.928182917972165</v>
      </c>
      <c r="W11">
        <v>4132.5696846106421</v>
      </c>
    </row>
    <row r="12" x14ac:dyDescent="0.3">
      <c r="A12">
        <f t="shared" si="5"/>
        <v>11</v>
      </c>
      <c r="B12" s="1" t="s">
        <v>55</v>
      </c>
      <c r="C12" s="2">
        <v>230.11136363636368</v>
      </c>
      <c r="D12" s="2"/>
      <c r="E12" s="2">
        <v>411.59803739519049</v>
      </c>
      <c r="F12" s="0">
        <v>623.92119272594039</v>
      </c>
      <c r="G12" s="0">
        <v>1436.5726650177269</v>
      </c>
      <c r="H12" s="0">
        <v>1847.9732878460438</v>
      </c>
      <c r="I12" s="0">
        <v>1442.4052604756516</v>
      </c>
      <c r="J12">
        <f t="shared" si="0"/>
        <v>63.760707306531501</v>
      </c>
      <c r="K12">
        <f t="shared" si="1"/>
        <v>684.22872337953038</v>
      </c>
      <c r="L12">
        <f t="shared" si="2"/>
        <v>1367.9764290008127</v>
      </c>
      <c r="M12">
        <f t="shared" si="3"/>
        <v>499.42210420564982</v>
      </c>
      <c r="N12" s="0">
        <v>991.37817522689056</v>
      </c>
      <c r="S12" s="9">
        <v>41</v>
      </c>
      <c r="T12" s="0">
        <v>1941.2218047407439</v>
      </c>
      <c r="U12" s="0">
        <v>565.98674534425197</v>
      </c>
      <c r="V12">
        <f t="shared" si="4"/>
        <v>94.196893196498777</v>
      </c>
      <c r="W12">
        <v>4355.3196846106421</v>
      </c>
    </row>
    <row r="13" x14ac:dyDescent="0.3">
      <c r="A13">
        <f t="shared" si="5"/>
        <v>12</v>
      </c>
      <c r="B13" s="1" t="s">
        <v>56</v>
      </c>
      <c r="C13" s="2">
        <v>206.43</v>
      </c>
      <c r="D13" s="2"/>
      <c r="E13" s="2">
        <v>390.67796190705644</v>
      </c>
      <c r="F13" s="0">
        <v>619.67805033402021</v>
      </c>
      <c r="G13" s="0">
        <v>1432.3295226258065</v>
      </c>
      <c r="H13" s="0">
        <v>1843.7301454541237</v>
      </c>
      <c r="I13" s="0">
        <v>1438.1621180837312</v>
      </c>
      <c r="J13">
        <f t="shared" si="0"/>
        <v>68.768795323412547</v>
      </c>
      <c r="K13">
        <f t="shared" si="1"/>
        <v>695.36152250917894</v>
      </c>
      <c r="L13">
        <f t="shared" si="2"/>
        <v>1383.8592224257782</v>
      </c>
      <c r="M13">
        <f t="shared" si="3"/>
        <v>507.50201365148973</v>
      </c>
      <c r="N13" s="0">
        <v>899.6196692646256</v>
      </c>
      <c r="S13" s="8">
        <v>31.97</v>
      </c>
      <c r="T13" s="0">
        <v>1847.4862613626315</v>
      </c>
      <c r="U13" s="0">
        <v>545.22633695374259</v>
      </c>
      <c r="V13">
        <f t="shared" si="4"/>
        <v>94.294310583701133</v>
      </c>
      <c r="W13">
        <v>3858.6696846106415</v>
      </c>
    </row>
    <row r="14" x14ac:dyDescent="0.3">
      <c r="A14">
        <f t="shared" si="5"/>
        <v>13</v>
      </c>
      <c r="B14" s="1" t="s">
        <v>57</v>
      </c>
      <c r="C14" s="2">
        <v>162.19499999999999</v>
      </c>
      <c r="D14" s="2">
        <v>494.38202247191009</v>
      </c>
      <c r="E14" s="2">
        <v>365.50573995355796</v>
      </c>
      <c r="F14" s="0">
        <v>609.84534041599113</v>
      </c>
      <c r="G14" s="0">
        <v>1210.4482882408811</v>
      </c>
      <c r="H14" s="0">
        <v>1811.540421959113</v>
      </c>
      <c r="I14" s="0">
        <v>1256.6332812778035</v>
      </c>
      <c r="J14">
        <f t="shared" si="0"/>
        <v>73.375255394124068</v>
      </c>
      <c r="K14">
        <f t="shared" si="1"/>
        <v>564.04709498486193</v>
      </c>
      <c r="L14">
        <f t="shared" si="2"/>
        <v>1377.1758876243382</v>
      </c>
      <c r="M14">
        <f t="shared" si="3"/>
        <v>431.74783978887859</v>
      </c>
      <c r="N14" s="0">
        <v>926.39907175132385</v>
      </c>
      <c r="S14" s="8">
        <v>34.979999999999997</v>
      </c>
      <c r="T14" s="0">
        <v>1653.2291401020234</v>
      </c>
      <c r="U14" s="0">
        <v>508.60364333187101</v>
      </c>
      <c r="V14">
        <f t="shared" si="4"/>
        <v>87.308055752478992</v>
      </c>
      <c r="W14">
        <v>4024.2196846106417</v>
      </c>
    </row>
    <row r="15" x14ac:dyDescent="0.3">
      <c r="A15">
        <f t="shared" si="5"/>
        <v>14</v>
      </c>
      <c r="B15" s="1" t="s">
        <v>58</v>
      </c>
      <c r="C15" s="2">
        <v>130.02409090909092</v>
      </c>
      <c r="D15" s="2">
        <v>487.64044943820227</v>
      </c>
      <c r="E15" s="2">
        <v>336.33505496513783</v>
      </c>
      <c r="F15" s="0">
        <v>603.70382645559289</v>
      </c>
      <c r="G15" s="0">
        <v>1204.3067742804828</v>
      </c>
      <c r="H15" s="0">
        <v>1805.3989079987145</v>
      </c>
      <c r="I15" s="0">
        <v>1250.491767317405</v>
      </c>
      <c r="J15">
        <f t="shared" si="0"/>
        <v>80.290922369506021</v>
      </c>
      <c r="K15">
        <f t="shared" si="1"/>
        <v>579.42037337472959</v>
      </c>
      <c r="L15">
        <f t="shared" si="2"/>
        <v>1399.1084314605494</v>
      </c>
      <c r="M15">
        <f t="shared" si="3"/>
        <v>442.9053838916023</v>
      </c>
      <c r="N15" s="0">
        <v>793.58803377493371</v>
      </c>
      <c r="S15" s="8">
        <v>21.91</v>
      </c>
      <c r="T15" s="0">
        <v>1525.8902887204367</v>
      </c>
      <c r="U15" s="0">
        <v>480.02357933565344</v>
      </c>
      <c r="V15">
        <f t="shared" si="4"/>
        <v>87.668410232163282</v>
      </c>
      <c r="W15">
        <v>3305.3696846106409</v>
      </c>
    </row>
    <row r="16" x14ac:dyDescent="0.3">
      <c r="A16">
        <f t="shared" si="5"/>
        <v>15</v>
      </c>
      <c r="B16" s="1" t="s">
        <v>59</v>
      </c>
      <c r="C16" s="2">
        <v>121.53454545454547</v>
      </c>
      <c r="D16" s="2">
        <v>487.64044943820227</v>
      </c>
      <c r="E16" s="2">
        <v>332.43401166858547</v>
      </c>
      <c r="F16" s="0">
        <v>603.99046176667503</v>
      </c>
      <c r="G16" s="0">
        <v>1204.5934095915648</v>
      </c>
      <c r="H16" s="0">
        <v>1805.6855433097967</v>
      </c>
      <c r="I16" s="0">
        <v>1250.7784026284869</v>
      </c>
      <c r="J16">
        <f t="shared" si="0"/>
        <v>81.548483512939811</v>
      </c>
      <c r="K16">
        <f t="shared" si="1"/>
        <v>582.21588646393809</v>
      </c>
      <c r="L16">
        <f t="shared" si="2"/>
        <v>1403.0966968011535</v>
      </c>
      <c r="M16">
        <f t="shared" si="3"/>
        <v>444.93429794568863</v>
      </c>
      <c r="N16" s="0">
        <v>799.78655964835377</v>
      </c>
      <c r="S16" s="8">
        <v>22.52</v>
      </c>
      <c r="T16" s="0">
        <v>1492.2869807169625</v>
      </c>
      <c r="U16" s="0">
        <v>474.38893060950545</v>
      </c>
      <c r="V16">
        <f t="shared" si="4"/>
        <v>86.610688798608905</v>
      </c>
      <c r="W16">
        <v>3338.9196846106415</v>
      </c>
    </row>
    <row r="17" x14ac:dyDescent="0.3">
      <c r="A17">
        <f t="shared" si="5"/>
        <v>16</v>
      </c>
      <c r="B17" s="1" t="s">
        <v>60</v>
      </c>
      <c r="C17" s="2">
        <v>94.725454545454554</v>
      </c>
      <c r="D17" s="2">
        <v>492.13483146067415</v>
      </c>
      <c r="E17" s="2">
        <v>313.19648344731979</v>
      </c>
      <c r="F17" s="0">
        <v>601.42014184598793</v>
      </c>
      <c r="G17" s="0">
        <v>1202.0230896708777</v>
      </c>
      <c r="H17" s="0">
        <v>1803.1152233891096</v>
      </c>
      <c r="I17" s="0">
        <v>1248.2080827078</v>
      </c>
      <c r="J17">
        <f t="shared" si="0"/>
        <v>86.553651170771204</v>
      </c>
      <c r="K17">
        <f t="shared" si="1"/>
        <v>593.34219374069278</v>
      </c>
      <c r="L17">
        <f t="shared" si="2"/>
        <v>1418.9702285159901</v>
      </c>
      <c r="M17">
        <f t="shared" si="3"/>
        <v>453.00949576573652</v>
      </c>
      <c r="N17" s="0">
        <v>744.20305714408028</v>
      </c>
      <c r="S17" s="8">
        <v>17.05</v>
      </c>
      <c r="T17" s="0">
        <v>1386.1712712323069</v>
      </c>
      <c r="U17" s="0">
        <v>453.11981899230238</v>
      </c>
      <c r="V17">
        <f t="shared" si="4"/>
        <v>85.371162626590973</v>
      </c>
      <c r="W17">
        <v>3038.0696846106412</v>
      </c>
    </row>
    <row r="18" x14ac:dyDescent="0.3">
      <c r="A18">
        <f t="shared" si="5"/>
        <v>17</v>
      </c>
      <c r="B18" s="1" t="s">
        <v>61</v>
      </c>
      <c r="C18" s="2">
        <v>70.597272727272724</v>
      </c>
      <c r="D18" s="2">
        <v>471.91011235955057</v>
      </c>
      <c r="E18" s="2">
        <v>301.00210070044625</v>
      </c>
      <c r="F18" s="0">
        <v>601.67858351991447</v>
      </c>
      <c r="G18" s="0">
        <v>1202.2815313448043</v>
      </c>
      <c r="H18" s="0">
        <v>1803.373665063036</v>
      </c>
      <c r="I18" s="0">
        <v>1248.4665243817265</v>
      </c>
      <c r="J18">
        <f t="shared" si="0"/>
        <v>90.293238083924393</v>
      </c>
      <c r="K18">
        <f t="shared" si="1"/>
        <v>601.65516064376368</v>
      </c>
      <c r="L18">
        <f t="shared" si="2"/>
        <v>1430.8300612977043</v>
      </c>
      <c r="M18">
        <f t="shared" si="3"/>
        <v>459.04284093085278</v>
      </c>
      <c r="N18" s="0">
        <v>749.79189194798369</v>
      </c>
      <c r="S18" s="8">
        <v>17.600000000000001</v>
      </c>
      <c r="T18" s="0">
        <v>1290.6671326961171</v>
      </c>
      <c r="U18" s="0">
        <v>436.54934813936444</v>
      </c>
      <c r="V18">
        <f t="shared" si="4"/>
        <v>82.701188187259433</v>
      </c>
      <c r="W18">
        <v>3068.3196846106425</v>
      </c>
    </row>
    <row r="19" x14ac:dyDescent="0.3">
      <c r="A19">
        <f t="shared" si="5"/>
        <v>18</v>
      </c>
      <c r="B19" s="1" t="s">
        <v>62</v>
      </c>
      <c r="C19" s="2">
        <v>78.193181818181827</v>
      </c>
      <c r="D19" s="2">
        <v>462.92134831460675</v>
      </c>
      <c r="E19" s="2">
        <v>313.0754549115544</v>
      </c>
      <c r="F19" s="0">
        <v>605.73376833079715</v>
      </c>
      <c r="G19" s="0">
        <v>1206.3367161556871</v>
      </c>
      <c r="H19" s="0">
        <v>1807.428849873919</v>
      </c>
      <c r="I19" s="0">
        <v>1252.5217091926093</v>
      </c>
      <c r="J19">
        <f t="shared" si="0"/>
        <v>87.885379405178</v>
      </c>
      <c r="K19">
        <f t="shared" si="1"/>
        <v>596.30257759955452</v>
      </c>
      <c r="L19">
        <f t="shared" si="2"/>
        <v>1423.1937094879663</v>
      </c>
      <c r="M19">
        <f t="shared" si="3"/>
        <v>455.15806893461956</v>
      </c>
      <c r="N19" s="0">
        <v>837.48579078013711</v>
      </c>
      <c r="S19" s="8">
        <v>26.23</v>
      </c>
      <c r="T19" s="0">
        <v>1320.7332503834361</v>
      </c>
      <c r="U19" s="0">
        <v>445.9025239309268</v>
      </c>
      <c r="V19">
        <f t="shared" si="4"/>
        <v>81.04153082329006</v>
      </c>
      <c r="W19">
        <v>3542.9696846106417</v>
      </c>
    </row>
    <row r="20" x14ac:dyDescent="0.3">
      <c r="A20">
        <f t="shared" si="5"/>
        <v>19</v>
      </c>
      <c r="B20" s="1" t="s">
        <v>63</v>
      </c>
      <c r="C20" s="2">
        <v>80.427272727272737</v>
      </c>
      <c r="D20" s="2">
        <v>453.93258426966293</v>
      </c>
      <c r="E20" s="2">
        <v>317.84409988937716</v>
      </c>
      <c r="F20" s="0">
        <v>607.53816110875664</v>
      </c>
      <c r="G20" s="0">
        <v>1208.1411089336464</v>
      </c>
      <c r="H20" s="0">
        <v>1809.2332426518783</v>
      </c>
      <c r="I20" s="0">
        <v>1254.3261019705685</v>
      </c>
      <c r="J20">
        <f t="shared" si="0"/>
        <v>86.995213579393237</v>
      </c>
      <c r="K20">
        <f t="shared" si="1"/>
        <v>594.32377105758962</v>
      </c>
      <c r="L20">
        <f t="shared" si="2"/>
        <v>1420.370612154763</v>
      </c>
      <c r="M20">
        <f t="shared" si="3"/>
        <v>453.72190023313533</v>
      </c>
      <c r="N20" s="0">
        <v>876.50601922920646</v>
      </c>
      <c r="S20" s="8">
        <v>30.07</v>
      </c>
      <c r="T20" s="0">
        <v>1329.5762261738241</v>
      </c>
      <c r="U20" s="0">
        <v>449.2651493502625</v>
      </c>
      <c r="V20">
        <f t="shared" si="4"/>
        <v>80.183678743676239</v>
      </c>
      <c r="W20">
        <v>3754.169684610642</v>
      </c>
    </row>
    <row r="21" x14ac:dyDescent="0.3">
      <c r="A21">
        <f t="shared" si="5"/>
        <v>20</v>
      </c>
      <c r="B21" s="1" t="s">
        <v>64</v>
      </c>
      <c r="C21" s="2">
        <v>127.78999999999999</v>
      </c>
      <c r="D21" s="2">
        <v>435.95505617977528</v>
      </c>
      <c r="E21" s="2">
        <v>347.29967956727228</v>
      </c>
      <c r="F21" s="0">
        <v>609.80304996025779</v>
      </c>
      <c r="G21" s="0">
        <v>1210.4059977851475</v>
      </c>
      <c r="H21" s="0">
        <v>1811.4981315033795</v>
      </c>
      <c r="I21" s="0">
        <v>1256.5909908220699</v>
      </c>
      <c r="J21">
        <f t="shared" si="0"/>
        <v>78.829840958854504</v>
      </c>
      <c r="K21">
        <f t="shared" si="1"/>
        <v>576.17244206800751</v>
      </c>
      <c r="L21">
        <f t="shared" si="2"/>
        <v>1394.4747161296259</v>
      </c>
      <c r="M21">
        <f t="shared" si="3"/>
        <v>440.54811591802206</v>
      </c>
      <c r="N21" s="0">
        <v>925.48453514704875</v>
      </c>
      <c r="S21" s="8">
        <v>34.89</v>
      </c>
      <c r="T21" s="0">
        <v>1517.0473129300487</v>
      </c>
      <c r="U21" s="0">
        <v>484.56457019894196</v>
      </c>
      <c r="V21">
        <f t="shared" si="4"/>
        <v>83.749170611146866</v>
      </c>
      <c r="W21">
        <v>4019.2696846106414</v>
      </c>
    </row>
    <row r="22" x14ac:dyDescent="0.3">
      <c r="A22">
        <f t="shared" si="5"/>
        <v>21</v>
      </c>
      <c r="B22" s="1" t="s">
        <v>65</v>
      </c>
      <c r="C22" s="2">
        <v>176.49318181818182</v>
      </c>
      <c r="D22" s="2">
        <v>431.46067415730334</v>
      </c>
      <c r="E22" s="2">
        <v>381.17480694055359</v>
      </c>
      <c r="F22" s="0">
        <v>613.93341780355547</v>
      </c>
      <c r="G22" s="0">
        <v>1214.5363656284453</v>
      </c>
      <c r="H22" s="0">
        <v>1815.6284993466772</v>
      </c>
      <c r="I22" s="0">
        <v>1260.7213586653675</v>
      </c>
      <c r="J22">
        <f t="shared" si="0"/>
        <v>69.897480739640201</v>
      </c>
      <c r="K22">
        <f t="shared" si="1"/>
        <v>556.31612729498784</v>
      </c>
      <c r="L22">
        <f t="shared" si="2"/>
        <v>1366.1463737201177</v>
      </c>
      <c r="M22">
        <f t="shared" si="3"/>
        <v>426.13689521551061</v>
      </c>
      <c r="N22" s="0">
        <v>1014.8042768312466</v>
      </c>
      <c r="S22" s="8">
        <v>43.68</v>
      </c>
      <c r="T22" s="0">
        <v>1709.8241851605062</v>
      </c>
      <c r="U22" s="0">
        <v>522.66440962424383</v>
      </c>
      <c r="V22">
        <f t="shared" si="4"/>
        <v>86.32678626216611</v>
      </c>
      <c r="W22">
        <v>4502.7196846106408</v>
      </c>
    </row>
    <row r="23" x14ac:dyDescent="0.3">
      <c r="A23">
        <f t="shared" si="5"/>
        <v>22</v>
      </c>
      <c r="B23" s="1" t="s">
        <v>66</v>
      </c>
      <c r="C23" s="2">
        <v>218.49409090909091</v>
      </c>
      <c r="D23" s="2">
        <v>422.47191011235952</v>
      </c>
      <c r="E23" s="2">
        <v>394.20561921604428</v>
      </c>
      <c r="F23" s="0">
        <v>609.36604858434566</v>
      </c>
      <c r="G23" s="0">
        <v>1209.9689964092354</v>
      </c>
      <c r="H23" s="0">
        <v>1811.0611301274673</v>
      </c>
      <c r="I23" s="0">
        <v>1256.1539894461578</v>
      </c>
      <c r="J23">
        <f t="shared" si="0"/>
        <v>64.612741552042451</v>
      </c>
      <c r="K23">
        <f t="shared" si="1"/>
        <v>544.56834258557478</v>
      </c>
      <c r="L23">
        <f t="shared" si="2"/>
        <v>1349.3862008680219</v>
      </c>
      <c r="M23">
        <f t="shared" si="3"/>
        <v>417.61064449133403</v>
      </c>
      <c r="N23" s="0">
        <v>916.03432356953988</v>
      </c>
      <c r="S23" s="8">
        <v>33.96</v>
      </c>
      <c r="T23" s="0">
        <v>1876.0721300197997</v>
      </c>
      <c r="U23" s="0">
        <v>547.39181406290925</v>
      </c>
      <c r="V23">
        <f t="shared" si="4"/>
        <v>93.463206129874919</v>
      </c>
      <c r="W23">
        <v>3968.1196846106423</v>
      </c>
    </row>
    <row r="24" x14ac:dyDescent="0.3">
      <c r="A24">
        <f t="shared" si="5"/>
        <v>23</v>
      </c>
      <c r="B24" s="1" t="s">
        <v>67</v>
      </c>
      <c r="C24" s="2">
        <v>216.26000000000002</v>
      </c>
      <c r="D24" s="2">
        <v>426.96629213483146</v>
      </c>
      <c r="E24" s="2">
        <v>397.55616448519112</v>
      </c>
      <c r="F24" s="0">
        <v>611.64033531489872</v>
      </c>
      <c r="G24" s="0">
        <v>1212.2432831397884</v>
      </c>
      <c r="H24" s="0">
        <v>1813.3354168580204</v>
      </c>
      <c r="I24" s="0">
        <v>1258.4282761767106</v>
      </c>
      <c r="J24">
        <f t="shared" si="0"/>
        <v>64.289540789701988</v>
      </c>
      <c r="K24">
        <f t="shared" si="1"/>
        <v>543.84987894165374</v>
      </c>
      <c r="L24">
        <f t="shared" si="2"/>
        <v>1348.3611927360278</v>
      </c>
      <c r="M24">
        <f t="shared" si="3"/>
        <v>417.08920140092994</v>
      </c>
      <c r="N24" s="0">
        <v>965.21606984388768</v>
      </c>
      <c r="S24" s="8">
        <v>38.799999999999997</v>
      </c>
      <c r="T24" s="0">
        <v>1867.229154229412</v>
      </c>
      <c r="U24" s="0">
        <v>548.10786815208598</v>
      </c>
      <c r="V24">
        <f t="shared" si="4"/>
        <v>91.855828960887663</v>
      </c>
      <c r="W24">
        <v>4234.3196846106412</v>
      </c>
    </row>
    <row r="25" x14ac:dyDescent="0.3">
      <c r="A25">
        <f t="shared" si="5"/>
        <v>24</v>
      </c>
      <c r="B25" s="1" t="s">
        <v>68</v>
      </c>
      <c r="C25" s="2">
        <v>261.83545454545458</v>
      </c>
      <c r="D25" s="2">
        <v>471.91011235955057</v>
      </c>
      <c r="E25" s="2">
        <v>426.00487070633528</v>
      </c>
      <c r="F25" s="0">
        <v>613.87233158971833</v>
      </c>
      <c r="G25" s="0">
        <v>1214.4752794146084</v>
      </c>
      <c r="H25" s="0">
        <v>1815.5674131328401</v>
      </c>
      <c r="I25" s="0">
        <v>1260.6602724515305</v>
      </c>
      <c r="J25">
        <f t="shared" si="0"/>
        <v>56.416654919934849</v>
      </c>
      <c r="K25">
        <f t="shared" si="1"/>
        <v>526.34873745545599</v>
      </c>
      <c r="L25">
        <f t="shared" si="2"/>
        <v>1323.3928975490523</v>
      </c>
      <c r="M25">
        <f t="shared" si="3"/>
        <v>404.3873070470907</v>
      </c>
      <c r="N25" s="0">
        <v>1013.4832795139607</v>
      </c>
      <c r="S25" s="8">
        <v>43.55</v>
      </c>
      <c r="T25" s="0">
        <v>2047.6258603533263</v>
      </c>
      <c r="U25" s="0">
        <v>582.1278103109828</v>
      </c>
      <c r="V25">
        <f t="shared" si="4"/>
        <v>95.254996708143707</v>
      </c>
      <c r="W25">
        <v>4495.5696846106421</v>
      </c>
    </row>
    <row r="26" x14ac:dyDescent="0.3">
      <c r="A26">
        <f t="shared" si="5"/>
        <v>25</v>
      </c>
      <c r="B26" s="1" t="s">
        <v>69</v>
      </c>
      <c r="C26" s="2">
        <v>324.83681818181822</v>
      </c>
      <c r="D26" s="2">
        <v>494.38202247191009</v>
      </c>
      <c r="E26" s="2">
        <v>514.21616880274019</v>
      </c>
      <c r="F26" s="0">
        <v>729.49067755013834</v>
      </c>
      <c r="G26" s="0">
        <v>1211.1237031322485</v>
      </c>
      <c r="H26" s="0">
        <v>1710.3833016500328</v>
      </c>
      <c r="I26" s="0">
        <v>1428.0574876715646</v>
      </c>
      <c r="J26">
        <f t="shared" si="0"/>
        <v>64.646999623843286</v>
      </c>
      <c r="K26">
        <f t="shared" si="1"/>
        <v>465.22532331742877</v>
      </c>
      <c r="L26">
        <f t="shared" si="2"/>
        <v>1139.2067931878976</v>
      </c>
      <c r="M26">
        <f t="shared" si="3"/>
        <v>442.75257697132963</v>
      </c>
      <c r="N26" s="0">
        <v>1145.0391075393745</v>
      </c>
      <c r="S26" s="8">
        <v>52.79</v>
      </c>
      <c r="T26" s="0">
        <v>2486.6244350140882</v>
      </c>
      <c r="U26" s="0">
        <v>701.48956223018627</v>
      </c>
      <c r="V26">
        <f t="shared" si="4"/>
        <v>114.26076475133991</v>
      </c>
      <c r="W26">
        <v>5003.7696846106401</v>
      </c>
    </row>
    <row r="27" x14ac:dyDescent="0.3">
      <c r="A27">
        <f t="shared" si="5"/>
        <v>26</v>
      </c>
      <c r="B27" s="1" t="s">
        <v>70</v>
      </c>
      <c r="C27" s="2">
        <v>275.24000000000007</v>
      </c>
      <c r="D27" s="2">
        <v>546.06741573033707</v>
      </c>
      <c r="E27" s="2">
        <v>484.27603301005473</v>
      </c>
      <c r="F27" s="0">
        <v>727.57351022355647</v>
      </c>
      <c r="G27" s="0">
        <v>1209.2065358056666</v>
      </c>
      <c r="H27" s="0">
        <v>1708.4661343234509</v>
      </c>
      <c r="I27" s="0">
        <v>1426.1403203449827</v>
      </c>
      <c r="J27">
        <f t="shared" si="0"/>
        <v>73.062305469520041</v>
      </c>
      <c r="K27">
        <f t="shared" si="1"/>
        <v>483.9322448568837</v>
      </c>
      <c r="L27">
        <f t="shared" si="2"/>
        <v>1165.8953345841867</v>
      </c>
      <c r="M27">
        <f t="shared" si="3"/>
        <v>456.32959657699996</v>
      </c>
      <c r="N27" s="0">
        <v>1103.5801148122382</v>
      </c>
      <c r="S27" s="8">
        <v>48.71</v>
      </c>
      <c r="T27" s="0">
        <v>2290.3103724674756</v>
      </c>
      <c r="U27" s="0">
        <v>664.97963026504976</v>
      </c>
      <c r="V27">
        <f t="shared" si="4"/>
        <v>110.25234731848387</v>
      </c>
      <c r="W27">
        <v>4779.3696846106413</v>
      </c>
    </row>
    <row r="28" x14ac:dyDescent="0.3">
      <c r="A28">
        <f t="shared" si="5"/>
        <v>27</v>
      </c>
      <c r="B28" s="1" t="s">
        <v>71</v>
      </c>
      <c r="C28" s="2">
        <v>273.89954545454549</v>
      </c>
      <c r="D28" s="2">
        <v>680.89887640449433</v>
      </c>
      <c r="E28" s="2">
        <v>482.13883833340185</v>
      </c>
      <c r="F28" s="0">
        <v>726.85457247608826</v>
      </c>
      <c r="G28" s="0">
        <v>1208.4875980581983</v>
      </c>
      <c r="H28" s="0">
        <v>1707.7471965759828</v>
      </c>
      <c r="I28" s="0">
        <v>1425.4213825975144</v>
      </c>
      <c r="J28">
        <f t="shared" si="0"/>
        <v>73.488208451257179</v>
      </c>
      <c r="K28">
        <f t="shared" si="1"/>
        <v>484.87901183230736</v>
      </c>
      <c r="L28">
        <f t="shared" si="2"/>
        <v>1167.2460554691245</v>
      </c>
      <c r="M28">
        <f t="shared" si="3"/>
        <v>457.01673656206998</v>
      </c>
      <c r="N28" s="0">
        <v>1088.0329925395622</v>
      </c>
      <c r="S28" s="8">
        <v>47.18</v>
      </c>
      <c r="T28" s="0">
        <v>2285.0045869932428</v>
      </c>
      <c r="U28" s="0">
        <v>663.32575293275568</v>
      </c>
      <c r="V28">
        <f t="shared" si="4"/>
        <v>110.54723282449899</v>
      </c>
      <c r="W28">
        <v>4695.2196846106417</v>
      </c>
    </row>
    <row r="29" x14ac:dyDescent="0.3">
      <c r="A29">
        <f t="shared" si="5"/>
        <v>28</v>
      </c>
      <c r="B29" s="1" t="s">
        <v>72</v>
      </c>
      <c r="C29" s="2">
        <v>319.47500000000002</v>
      </c>
      <c r="D29" s="2">
        <v>707.86516853932585</v>
      </c>
      <c r="E29" s="2">
        <v>512.20577026045123</v>
      </c>
      <c r="F29" s="0">
        <v>729.89948528889477</v>
      </c>
      <c r="G29" s="0">
        <v>1211.5325108710049</v>
      </c>
      <c r="H29" s="0">
        <v>1710.7921093887892</v>
      </c>
      <c r="I29" s="0">
        <v>1428.466295410321</v>
      </c>
      <c r="J29">
        <f t="shared" si="0"/>
        <v>65.37348799652959</v>
      </c>
      <c r="K29">
        <f t="shared" si="1"/>
        <v>466.84028078141097</v>
      </c>
      <c r="L29">
        <f t="shared" si="2"/>
        <v>1141.5107991698455</v>
      </c>
      <c r="M29">
        <f t="shared" si="3"/>
        <v>443.92467303772759</v>
      </c>
      <c r="N29" s="0">
        <v>1153.8796280473669</v>
      </c>
      <c r="S29" s="8">
        <v>53.66</v>
      </c>
      <c r="T29" s="0">
        <v>2465.4012931171574</v>
      </c>
      <c r="U29" s="0">
        <v>698.15861162963961</v>
      </c>
      <c r="V29">
        <f t="shared" si="4"/>
        <v>113.45505879755241</v>
      </c>
      <c r="W29">
        <v>5051.6196846106404</v>
      </c>
    </row>
    <row r="30" x14ac:dyDescent="0.3">
      <c r="A30">
        <f t="shared" si="5"/>
        <v>29</v>
      </c>
      <c r="B30" s="1" t="s">
        <v>73</v>
      </c>
      <c r="C30" s="2">
        <v>398.11500000000001</v>
      </c>
      <c r="D30" s="2">
        <v>714.60674157303379</v>
      </c>
      <c r="E30" s="2">
        <v>553.31852047475718</v>
      </c>
      <c r="F30" s="0">
        <v>729.74442028453893</v>
      </c>
      <c r="G30" s="0">
        <v>1211.3774458666492</v>
      </c>
      <c r="H30" s="0">
        <v>1710.6370443844335</v>
      </c>
      <c r="I30" s="0">
        <v>1428.3112304059653</v>
      </c>
      <c r="J30">
        <f t="shared" si="0"/>
        <v>52.980750693628153</v>
      </c>
      <c r="K30">
        <f t="shared" si="1"/>
        <v>439.29167249124964</v>
      </c>
      <c r="L30">
        <f t="shared" si="2"/>
        <v>1102.2081180092155</v>
      </c>
      <c r="M30">
        <f t="shared" si="3"/>
        <v>423.93057651705817</v>
      </c>
      <c r="N30" s="0">
        <v>1150.5263271650251</v>
      </c>
      <c r="S30" s="8">
        <v>53.33</v>
      </c>
      <c r="T30" s="0">
        <v>2776.6740409388131</v>
      </c>
      <c r="U30" s="0">
        <v>752.85333560173058</v>
      </c>
      <c r="V30">
        <f t="shared" si="4"/>
        <v>121.74180300608506</v>
      </c>
      <c r="W30">
        <v>5033.4696846106417</v>
      </c>
    </row>
    <row r="31" x14ac:dyDescent="0.3">
      <c r="A31">
        <f t="shared" si="5"/>
        <v>30</v>
      </c>
      <c r="B31" s="1" t="s">
        <v>74</v>
      </c>
      <c r="C31" s="2">
        <v>460.22272727272735</v>
      </c>
      <c r="D31" s="2">
        <v>728.08988764044943</v>
      </c>
      <c r="E31" s="2">
        <v>605.48815960160255</v>
      </c>
      <c r="F31" s="0">
        <v>739.51821449848569</v>
      </c>
      <c r="G31" s="0">
        <v>1221.1512400805959</v>
      </c>
      <c r="H31" s="0">
        <v>1720.4108385983802</v>
      </c>
      <c r="I31" s="0">
        <v>1438.085024619912</v>
      </c>
      <c r="J31">
        <f t="shared" si="0"/>
        <v>40.249265734799742</v>
      </c>
      <c r="K31">
        <f t="shared" si="1"/>
        <v>410.99004037315979</v>
      </c>
      <c r="L31">
        <f t="shared" si="2"/>
        <v>1061.831122854074</v>
      </c>
      <c r="M31">
        <f t="shared" si="3"/>
        <v>403.3899539817391</v>
      </c>
      <c r="N31" s="0">
        <v>1361.8858979308181</v>
      </c>
      <c r="S31" s="8">
        <v>74.13</v>
      </c>
      <c r="T31" s="0">
        <v>3022.5087679115986</v>
      </c>
      <c r="U31" s="0">
        <v>805.94599724593968</v>
      </c>
      <c r="V31">
        <f t="shared" si="4"/>
        <v>122.30496500569686</v>
      </c>
      <c r="W31">
        <v>6177.4696846106426</v>
      </c>
    </row>
    <row r="32" x14ac:dyDescent="0.3">
      <c r="A32">
        <f t="shared" si="5"/>
        <v>31</v>
      </c>
      <c r="B32" s="1" t="s">
        <v>75</v>
      </c>
      <c r="C32" s="2">
        <v>558.96954545454548</v>
      </c>
      <c r="D32" s="2">
        <v>734.83146067415737</v>
      </c>
      <c r="E32" s="2">
        <v>664.19769157651308</v>
      </c>
      <c r="F32" s="0">
        <v>742.88265519905588</v>
      </c>
      <c r="G32" s="0">
        <v>1224.5156807811661</v>
      </c>
      <c r="H32" s="0">
        <v>1723.7752792989504</v>
      </c>
      <c r="I32" s="0">
        <v>1441.4494653204822</v>
      </c>
      <c r="J32">
        <f t="shared" si="0"/>
        <v>23.629118204967806</v>
      </c>
      <c r="K32">
        <f t="shared" si="1"/>
        <v>374.04405153848666</v>
      </c>
      <c r="L32">
        <f t="shared" si="2"/>
        <v>1009.1215121166069</v>
      </c>
      <c r="M32">
        <f t="shared" si="3"/>
        <v>376.57547177517881</v>
      </c>
      <c r="N32" s="0">
        <v>1434.6423655598123</v>
      </c>
      <c r="S32" s="8">
        <v>81.290000000000006</v>
      </c>
      <c r="T32" s="0">
        <v>3413.3682978467459</v>
      </c>
      <c r="U32" s="0">
        <v>878.1843206953439</v>
      </c>
      <c r="V32">
        <f t="shared" si="4"/>
        <v>130.55926120734037</v>
      </c>
      <c r="W32">
        <v>6571.2696846106428</v>
      </c>
    </row>
    <row r="33" x14ac:dyDescent="0.3">
      <c r="A33">
        <f t="shared" si="5"/>
        <v>32</v>
      </c>
      <c r="B33" s="1" t="s">
        <v>76</v>
      </c>
      <c r="C33" s="2">
        <v>689.4404545454546</v>
      </c>
      <c r="D33" s="2">
        <v>746.06741573033707</v>
      </c>
      <c r="E33" s="2">
        <v>734.34140173193737</v>
      </c>
      <c r="F33" s="0">
        <v>743.59689400699813</v>
      </c>
      <c r="G33" s="0">
        <v>1225.229919589108</v>
      </c>
      <c r="H33" s="0">
        <v>1724.4895181068925</v>
      </c>
      <c r="I33" s="0">
        <v>1442.1637041284241</v>
      </c>
      <c r="J33">
        <f t="shared" si="0"/>
        <v>2.7794271096278558</v>
      </c>
      <c r="K33">
        <f t="shared" si="1"/>
        <v>327.69593982454649</v>
      </c>
      <c r="L33">
        <f t="shared" si="2"/>
        <v>942.99820607138588</v>
      </c>
      <c r="M33">
        <f t="shared" si="3"/>
        <v>342.9371620138017</v>
      </c>
      <c r="N33" s="0">
        <v>1450.0878726542355</v>
      </c>
      <c r="S33" s="8">
        <v>82.81</v>
      </c>
      <c r="T33" s="0">
        <v>3929.7980840054029</v>
      </c>
      <c r="U33" s="0">
        <v>969.89934575966447</v>
      </c>
      <c r="V33">
        <f t="shared" si="4"/>
        <v>143.72052716761874</v>
      </c>
      <c r="W33">
        <v>6654.8696846106432</v>
      </c>
    </row>
    <row r="34" x14ac:dyDescent="0.3">
      <c r="A34">
        <f t="shared" si="5"/>
        <v>33</v>
      </c>
      <c r="B34" s="1" t="s">
        <v>77</v>
      </c>
      <c r="C34" s="2">
        <v>1020.5327272727274</v>
      </c>
      <c r="D34" s="2">
        <v>773.03370786516848</v>
      </c>
      <c r="E34" s="2">
        <v>951.32336540346387</v>
      </c>
      <c r="F34" s="0">
        <v>764.99116566858459</v>
      </c>
      <c r="G34" s="0">
        <v>1246.6241912506946</v>
      </c>
      <c r="H34" s="0">
        <v>1745.8837897684789</v>
      </c>
      <c r="I34" s="0">
        <v>1463.5579757900107</v>
      </c>
      <c r="J34">
        <f t="shared" si="0"/>
        <v>-55.955615535999783</v>
      </c>
      <c r="K34">
        <f t="shared" si="1"/>
        <v>197.13005730789769</v>
      </c>
      <c r="L34">
        <f t="shared" si="2"/>
        <v>756.72421368096661</v>
      </c>
      <c r="M34">
        <f t="shared" si="3"/>
        <v>248.17568332681532</v>
      </c>
      <c r="N34" s="0">
        <v>1912.7417792391652</v>
      </c>
      <c r="S34" s="8">
        <v>128.34</v>
      </c>
      <c r="T34" s="0">
        <v>5240.327096140898</v>
      </c>
      <c r="U34" s="0">
        <v>1222.2236948732243</v>
      </c>
      <c r="V34">
        <f t="shared" si="4"/>
        <v>165.28391059777942</v>
      </c>
      <c r="W34">
        <v>9159.019684610641</v>
      </c>
    </row>
    <row r="35" x14ac:dyDescent="0.3">
      <c r="A35">
        <f t="shared" si="5"/>
        <v>34</v>
      </c>
      <c r="B35" s="1" t="s">
        <v>78</v>
      </c>
      <c r="C35" s="2">
        <v>1387.3704545454545</v>
      </c>
      <c r="D35" s="2">
        <v>1029.2134831460676</v>
      </c>
      <c r="E35" s="2">
        <v>1155.0212927348693</v>
      </c>
      <c r="F35" s="0">
        <v>770.25397793763284</v>
      </c>
      <c r="G35" s="0">
        <v>1251.8870035197428</v>
      </c>
      <c r="H35" s="0">
        <v>1751.1466020375274</v>
      </c>
      <c r="I35" s="0">
        <v>1468.8207880590589</v>
      </c>
      <c r="J35">
        <f t="shared" si="0"/>
        <v>-115.5457401793503</v>
      </c>
      <c r="K35">
        <f t="shared" si="1"/>
        <v>64.663358334361476</v>
      </c>
      <c r="L35">
        <f t="shared" si="2"/>
        <v>567.73838981205529</v>
      </c>
      <c r="M35">
        <f t="shared" si="3"/>
        <v>152.03463920745619</v>
      </c>
      <c r="N35" s="0">
        <v>2026.5507788822847</v>
      </c>
      <c r="S35" s="8">
        <v>139.54</v>
      </c>
      <c r="T35" s="0">
        <v>6692.3437209226004</v>
      </c>
      <c r="U35" s="0">
        <v>1483.3483068562671</v>
      </c>
      <c r="V35">
        <f t="shared" si="4"/>
        <v>200.32154613874178</v>
      </c>
      <c r="W35">
        <v>9775.0196846106428</v>
      </c>
    </row>
    <row r="36" x14ac:dyDescent="0.3">
      <c r="A36">
        <f t="shared" si="5"/>
        <v>35</v>
      </c>
      <c r="B36" s="1" t="s">
        <v>79</v>
      </c>
      <c r="C36" s="2">
        <v>1234.1118181818183</v>
      </c>
      <c r="D36" s="2">
        <v>1294.3820224719102</v>
      </c>
      <c r="E36" s="2">
        <v>1108.6347640285735</v>
      </c>
      <c r="F36" s="0">
        <v>787.50378493734377</v>
      </c>
      <c r="G36" s="0">
        <v>1269.1368105194538</v>
      </c>
      <c r="H36" s="0">
        <v>1768.3964090372383</v>
      </c>
      <c r="I36" s="0">
        <v>1486.0705950587701</v>
      </c>
      <c r="J36">
        <f t="shared" si="0"/>
        <v>-96.43572945682574</v>
      </c>
      <c r="K36">
        <f t="shared" si="1"/>
        <v>107.14422329164238</v>
      </c>
      <c r="L36">
        <f t="shared" si="2"/>
        <v>628.34442381777592</v>
      </c>
      <c r="M36">
        <f t="shared" si="3"/>
        <v>182.86619720455261</v>
      </c>
      <c r="N36" s="0">
        <v>2399.5800982482583</v>
      </c>
      <c r="S36" s="8">
        <v>176.25</v>
      </c>
      <c r="T36" s="0">
        <v>6085.7155817019866</v>
      </c>
      <c r="U36" s="0">
        <v>1393.7033546575612</v>
      </c>
      <c r="V36">
        <f t="shared" si="4"/>
        <v>173.92836524038302</v>
      </c>
      <c r="W36">
        <v>11794.069684610638</v>
      </c>
    </row>
    <row r="37" x14ac:dyDescent="0.3">
      <c r="A37">
        <f t="shared" si="5"/>
        <v>36</v>
      </c>
      <c r="B37" s="1" t="s">
        <v>80</v>
      </c>
      <c r="C37" s="2">
        <v>1699.2495454545456</v>
      </c>
      <c r="D37" s="2">
        <v>1406.7415730337079</v>
      </c>
      <c r="E37" s="2">
        <v>1395.4544161270351</v>
      </c>
      <c r="F37" s="0">
        <v>808.51274355780356</v>
      </c>
      <c r="G37" s="0">
        <v>1290.1457691399135</v>
      </c>
      <c r="H37" s="0">
        <v>1789.405367657698</v>
      </c>
      <c r="I37" s="0">
        <v>1507.0795536792298</v>
      </c>
      <c r="J37">
        <f t="shared" si="0"/>
        <v>-176.25876053130074</v>
      </c>
      <c r="K37">
        <f t="shared" si="1"/>
        <v>-70.299497321175977</v>
      </c>
      <c r="L37">
        <f t="shared" si="2"/>
        <v>375.19138241015514</v>
      </c>
      <c r="M37">
        <f t="shared" si="3"/>
        <v>54.081946488466421</v>
      </c>
      <c r="N37" s="0">
        <v>2853.9015602164604</v>
      </c>
      <c r="S37" s="8">
        <v>220.96</v>
      </c>
      <c r="T37" s="0">
        <v>7926.8231412607593</v>
      </c>
      <c r="U37" s="0">
        <v>1739.1363492125745</v>
      </c>
      <c r="V37">
        <f t="shared" si="4"/>
        <v>209.69001408513694</v>
      </c>
      <c r="W37">
        <v>14253.119684610641</v>
      </c>
    </row>
    <row r="38" x14ac:dyDescent="0.3">
      <c r="A38">
        <f t="shared" si="5"/>
        <v>37</v>
      </c>
      <c r="B38" s="1" t="s">
        <v>81</v>
      </c>
      <c r="C38" s="2">
        <v>1262.7081818181821</v>
      </c>
      <c r="D38" s="2">
        <v>1471.9101123595506</v>
      </c>
      <c r="E38" s="2">
        <v>1161.2883707235815</v>
      </c>
      <c r="F38" s="0">
        <v>892.55336859950091</v>
      </c>
      <c r="G38" s="0">
        <v>1448.6762477144371</v>
      </c>
      <c r="H38" s="0">
        <v>2025.1518434606073</v>
      </c>
      <c r="I38" s="0">
        <v>1699.161231981232</v>
      </c>
      <c r="J38">
        <f t="shared" si="0"/>
        <v>-80.701201839063231</v>
      </c>
      <c r="K38">
        <f t="shared" si="1"/>
        <v>191.84771494716662</v>
      </c>
      <c r="L38">
        <f t="shared" si="2"/>
        <v>822.72711689240555</v>
      </c>
      <c r="M38">
        <f t="shared" si="3"/>
        <v>260.59731650079971</v>
      </c>
      <c r="N38" s="0">
        <v>2351.315153680318</v>
      </c>
      <c r="S38" s="8">
        <v>167.87</v>
      </c>
      <c r="T38" s="0">
        <v>6384.6312441106747</v>
      </c>
      <c r="U38" s="0">
        <v>1479.3265485012566</v>
      </c>
      <c r="V38">
        <f t="shared" si="4"/>
        <v>194.04403769229725</v>
      </c>
      <c r="W38">
        <v>11333.169684610639</v>
      </c>
    </row>
    <row r="39" x14ac:dyDescent="0.3">
      <c r="A39">
        <f t="shared" si="5"/>
        <v>38</v>
      </c>
      <c r="B39" s="1" t="s">
        <v>82</v>
      </c>
      <c r="C39" s="2">
        <v>1216.6859090909093</v>
      </c>
      <c r="D39" s="2"/>
      <c r="E39" s="2">
        <v>1100.4830029064969</v>
      </c>
      <c r="F39" s="0">
        <v>874.18521399261726</v>
      </c>
      <c r="G39" s="0">
        <v>1430.3080931075533</v>
      </c>
      <c r="H39" s="0">
        <v>2006.783688853724</v>
      </c>
      <c r="I39" s="0">
        <v>1680.7930773743487</v>
      </c>
      <c r="J39">
        <f t="shared" si="0"/>
        <v>-67.957293968132035</v>
      </c>
      <c r="K39">
        <f t="shared" si="1"/>
        <v>220.17696275103896</v>
      </c>
      <c r="L39">
        <f t="shared" si="2"/>
        <v>863.14351042593046</v>
      </c>
      <c r="M39">
        <f t="shared" si="3"/>
        <v>281.15798181581965</v>
      </c>
      <c r="N39" s="0">
        <v>1954.1014218901823</v>
      </c>
      <c r="S39" s="8">
        <v>128.78</v>
      </c>
      <c r="T39" s="0">
        <v>6202.4659428286823</v>
      </c>
      <c r="U39" s="0">
        <v>1428.8588014820202</v>
      </c>
      <c r="V39">
        <f t="shared" si="4"/>
        <v>200.35131090635957</v>
      </c>
      <c r="W39">
        <v>9183.2196846106417</v>
      </c>
    </row>
    <row r="40" x14ac:dyDescent="0.3">
      <c r="A40">
        <f t="shared" si="5"/>
        <v>39</v>
      </c>
      <c r="B40" s="1" t="s">
        <v>83</v>
      </c>
      <c r="C40" s="2">
        <v>1894.062272727273</v>
      </c>
      <c r="D40" s="2"/>
      <c r="E40" s="2">
        <v>1572.3064645957954</v>
      </c>
      <c r="F40" s="0">
        <v>931.97277228257769</v>
      </c>
      <c r="G40" s="0">
        <v>1488.0956513975138</v>
      </c>
      <c r="H40" s="0">
        <v>2064.5712471436846</v>
      </c>
      <c r="I40" s="0">
        <v>1738.5806356643093</v>
      </c>
      <c r="J40">
        <f t="shared" si="0"/>
        <v>-192.29240009405939</v>
      </c>
      <c r="K40">
        <f t="shared" si="1"/>
        <v>-56.215496127023755</v>
      </c>
      <c r="L40">
        <f t="shared" si="2"/>
        <v>468.82360242656108</v>
      </c>
      <c r="M40">
        <f t="shared" si="3"/>
        <v>80.559191409163688</v>
      </c>
      <c r="N40" s="0">
        <v>3203.764884042932</v>
      </c>
      <c r="S40" s="8">
        <v>251.76</v>
      </c>
      <c r="T40" s="0">
        <v>8883.6562024743107</v>
      </c>
      <c r="U40" s="0">
        <v>1959.1024966372865</v>
      </c>
      <c r="V40">
        <f t="shared" si="4"/>
        <v>235.99513852439975</v>
      </c>
      <c r="W40">
        <v>15947.119684610641</v>
      </c>
    </row>
    <row r="41" x14ac:dyDescent="0.3">
      <c r="A41">
        <f t="shared" si="5"/>
        <v>40</v>
      </c>
      <c r="B41" s="1" t="s">
        <v>84</v>
      </c>
      <c r="C41" s="2">
        <v>1438.7545454545457</v>
      </c>
      <c r="D41" s="2"/>
      <c r="E41" s="2">
        <v>1252.2667077671622</v>
      </c>
      <c r="F41" s="0">
        <v>891.67466690815093</v>
      </c>
      <c r="G41" s="0">
        <v>1447.7975460230873</v>
      </c>
      <c r="H41" s="0">
        <v>2024.2731417692576</v>
      </c>
      <c r="I41" s="0">
        <v>1698.2825302898823</v>
      </c>
      <c r="J41">
        <f t="shared" si="0"/>
        <v>-108.28589815585923</v>
      </c>
      <c r="K41">
        <f t="shared" si="1"/>
        <v>130.52792940982985</v>
      </c>
      <c r="L41">
        <f t="shared" si="2"/>
        <v>735.2442228591384</v>
      </c>
      <c r="M41">
        <f t="shared" si="3"/>
        <v>216.09293726875973</v>
      </c>
      <c r="N41" s="0">
        <v>2332.3131153470472</v>
      </c>
      <c r="S41" s="9">
        <v>166</v>
      </c>
      <c r="T41" s="0">
        <v>7081.4577363932458</v>
      </c>
      <c r="U41" s="0">
        <v>1601.2365789503624</v>
      </c>
      <c r="V41">
        <f t="shared" si="4"/>
        <v>212.91633385186105</v>
      </c>
      <c r="W41">
        <v>11230.319684610638</v>
      </c>
    </row>
    <row r="42" x14ac:dyDescent="0.3">
      <c r="A42">
        <f t="shared" si="5"/>
        <v>41</v>
      </c>
      <c r="B42" s="1" t="s">
        <v>85</v>
      </c>
      <c r="C42" s="2">
        <v>1303.3686363636366</v>
      </c>
      <c r="D42" s="2"/>
      <c r="E42" s="2">
        <v>1191.7222975688703</v>
      </c>
      <c r="F42" s="0">
        <v>897.08314630250322</v>
      </c>
      <c r="G42" s="0">
        <v>1453.2060254174394</v>
      </c>
      <c r="H42" s="0">
        <v>2029.6816211636096</v>
      </c>
      <c r="I42" s="0">
        <v>1703.6910096842348</v>
      </c>
      <c r="J42">
        <f t="shared" si="0"/>
        <v>-88.480225605515642</v>
      </c>
      <c r="K42">
        <f t="shared" si="1"/>
        <v>174.55522553309015</v>
      </c>
      <c r="L42">
        <f t="shared" si="2"/>
        <v>798.05649866165641</v>
      </c>
      <c r="M42">
        <f t="shared" si="3"/>
        <v>248.04685664504092</v>
      </c>
      <c r="N42" s="0">
        <v>2449.2721855160034</v>
      </c>
      <c r="S42" s="8">
        <v>177.51</v>
      </c>
      <c r="T42" s="0">
        <v>6545.573403495735</v>
      </c>
      <c r="U42" s="0">
        <v>1512.2161602773085</v>
      </c>
      <c r="V42">
        <f t="shared" si="4"/>
        <v>195.54232013937659</v>
      </c>
      <c r="W42">
        <v>11863.369684610643</v>
      </c>
    </row>
    <row r="43" x14ac:dyDescent="0.3">
      <c r="A43">
        <f t="shared" si="5"/>
        <v>42</v>
      </c>
      <c r="B43" s="1" t="s">
        <v>86</v>
      </c>
      <c r="C43" s="2">
        <v>1499.5218181818184</v>
      </c>
      <c r="D43" s="2"/>
      <c r="E43" s="2">
        <v>1333.0828562528118</v>
      </c>
      <c r="F43" s="0">
        <v>916.19373335448483</v>
      </c>
      <c r="G43" s="0">
        <v>1472.3166124694208</v>
      </c>
      <c r="H43" s="0">
        <v>2048.7922082155915</v>
      </c>
      <c r="I43" s="0">
        <v>1722.8015967362162</v>
      </c>
      <c r="J43">
        <f t="shared" si="0"/>
        <v>-125.19192879829637</v>
      </c>
      <c r="K43">
        <f t="shared" si="1"/>
        <v>92.946432721367813</v>
      </c>
      <c r="L43">
        <f t="shared" si="2"/>
        <v>681.62795425026638</v>
      </c>
      <c r="M43">
        <f t="shared" si="3"/>
        <v>188.81721922645562</v>
      </c>
      <c r="N43" s="0">
        <v>2862.5411154700796</v>
      </c>
      <c r="S43" s="8">
        <v>218.18</v>
      </c>
      <c r="T43" s="0">
        <v>7321.9866778917976</v>
      </c>
      <c r="U43" s="0">
        <v>1668.1395732421324</v>
      </c>
      <c r="V43">
        <f t="shared" si="4"/>
        <v>204.42752714418589</v>
      </c>
      <c r="W43">
        <v>14100.219684610638</v>
      </c>
    </row>
    <row r="44" x14ac:dyDescent="0.3">
      <c r="A44">
        <f t="shared" si="5"/>
        <v>43</v>
      </c>
      <c r="B44" s="1" t="s">
        <v>87</v>
      </c>
      <c r="C44" s="2">
        <v>2293.5177272727274</v>
      </c>
      <c r="D44" s="2"/>
      <c r="E44" s="2">
        <v>1842.1057984548429</v>
      </c>
      <c r="F44" s="0">
        <v>961.81103827227116</v>
      </c>
      <c r="G44" s="0">
        <v>1517.9339173872072</v>
      </c>
      <c r="H44" s="0">
        <v>2094.4095131333779</v>
      </c>
      <c r="I44" s="0">
        <v>1768.4189016540026</v>
      </c>
      <c r="J44">
        <f t="shared" si="0"/>
        <v>-264.35278083560712</v>
      </c>
      <c r="K44">
        <f t="shared" si="1"/>
        <v>-216.40312487826148</v>
      </c>
      <c r="L44">
        <f t="shared" si="2"/>
        <v>240.28925207479523</v>
      </c>
      <c r="M44">
        <f t="shared" si="3"/>
        <v>-35.701015891879969</v>
      </c>
      <c r="N44" s="0">
        <v>3849.0212659481153</v>
      </c>
      <c r="S44" s="8">
        <v>315.26</v>
      </c>
      <c r="T44" s="0">
        <v>10464.780273795677</v>
      </c>
      <c r="U44" s="0">
        <v>2267.5527589050694</v>
      </c>
      <c r="V44">
        <f t="shared" si="4"/>
        <v>259.57715707762446</v>
      </c>
      <c r="W44">
        <v>19439.619684610632</v>
      </c>
    </row>
    <row r="45" x14ac:dyDescent="0.3">
      <c r="A45">
        <f t="shared" si="5"/>
        <v>44</v>
      </c>
      <c r="B45" s="1" t="s">
        <v>88</v>
      </c>
      <c r="C45" s="2">
        <v>3129.5145454545459</v>
      </c>
      <c r="D45" s="2"/>
      <c r="E45" s="2">
        <v>2426.5781664323977</v>
      </c>
      <c r="F45" s="0">
        <v>1034.2169974274186</v>
      </c>
      <c r="G45" s="0">
        <v>1590.3398765423549</v>
      </c>
      <c r="H45" s="0">
        <v>2166.8154722885251</v>
      </c>
      <c r="I45" s="0">
        <v>1840.8248608091499</v>
      </c>
      <c r="J45">
        <f t="shared" si="0"/>
        <v>-418.12647717867236</v>
      </c>
      <c r="K45">
        <f t="shared" si="1"/>
        <v>-558.23650860483497</v>
      </c>
      <c r="L45">
        <f t="shared" si="2"/>
        <v>-247.39304204178333</v>
      </c>
      <c r="M45">
        <f t="shared" si="3"/>
        <v>-283.79520621281387</v>
      </c>
      <c r="N45" s="0">
        <v>5414.8095476452809</v>
      </c>
      <c r="S45" s="8">
        <v>469.35</v>
      </c>
      <c r="T45" s="0">
        <v>13773.821814558851</v>
      </c>
      <c r="U45" s="0">
        <v>2923.049372463242</v>
      </c>
      <c r="V45">
        <f t="shared" si="4"/>
        <v>302.91104699868481</v>
      </c>
      <c r="W45">
        <v>27914.56968461064</v>
      </c>
    </row>
    <row r="46" x14ac:dyDescent="0.3">
      <c r="A46">
        <f t="shared" si="5"/>
        <v>45</v>
      </c>
      <c r="B46" s="1" t="s">
        <v>89</v>
      </c>
      <c r="C46" s="2">
        <v>2640.6954545454546</v>
      </c>
      <c r="D46" s="2"/>
      <c r="E46" s="2">
        <v>2066.9897389161329</v>
      </c>
      <c r="F46" s="0">
        <v>982.91867462277548</v>
      </c>
      <c r="G46" s="0">
        <v>1539.0415537377116</v>
      </c>
      <c r="H46" s="0">
        <v>2115.5171494838823</v>
      </c>
      <c r="I46" s="0">
        <v>1789.5265380045071</v>
      </c>
      <c r="J46">
        <f t="shared" si="0"/>
        <v>-325.54686615416131</v>
      </c>
      <c r="K46">
        <f t="shared" si="1"/>
        <v>-352.43537061309826</v>
      </c>
      <c r="L46">
        <f t="shared" si="2"/>
        <v>46.216581493094743</v>
      </c>
      <c r="M46">
        <f t="shared" si="3"/>
        <v>-134.42984540291945</v>
      </c>
      <c r="N46" s="0">
        <v>4305.4766466596266</v>
      </c>
      <c r="S46" s="8">
        <v>360.18</v>
      </c>
      <c r="T46" s="0">
        <v>11838.978711621965</v>
      </c>
      <c r="U46" s="0">
        <v>2530.8097477254564</v>
      </c>
      <c r="V46">
        <f t="shared" si="4"/>
        <v>282.9896331966587</v>
      </c>
      <c r="W46">
        <v>21910.219684610638</v>
      </c>
    </row>
    <row r="47" x14ac:dyDescent="0.3">
      <c r="A47">
        <f t="shared" si="5"/>
        <v>46</v>
      </c>
      <c r="B47" s="1" t="s">
        <v>175</v>
      </c>
      <c r="C47" s="1">
        <v>1743.4845454545457</v>
      </c>
      <c r="E47" s="2">
        <v>1405.0858349741209</v>
      </c>
      <c r="F47" s="0">
        <v>887.81213861783158</v>
      </c>
      <c r="G47" s="0">
        <v>1443.9350177327678</v>
      </c>
      <c r="H47" s="0">
        <v>2020.4106134789381</v>
      </c>
      <c r="I47" s="0">
        <v>1694.4200019995628</v>
      </c>
      <c r="J47">
        <f t="shared" ref="J47" si="6">(E47-F47)/($Q$3-$Q$2)</f>
        <v>-155.33744635324001</v>
      </c>
      <c r="K47">
        <f t="shared" ref="K47" si="7">(E47-G47)/($Q$4-$Q$2)</f>
        <v>25.934033884277021</v>
      </c>
      <c r="L47">
        <f t="shared" ref="L47" si="8">(E47-H47)/($Q$5-$Q$2)</f>
        <v>586.02359857601641</v>
      </c>
      <c r="M47">
        <f t="shared" ref="M47" si="9">(E47-I47)/($Q$6-$Q$2)</f>
        <v>140.18128247356682</v>
      </c>
      <c r="N47" s="0">
        <v>2248.785438823259</v>
      </c>
      <c r="S47" s="8">
        <v>157.78</v>
      </c>
      <c r="T47" s="0">
        <v>8287.6396342021617</v>
      </c>
      <c r="U47" s="0">
        <v>1809.9169829437751</v>
      </c>
      <c r="V47">
        <f t="shared" si="4"/>
        <v>246.99887002419419</v>
      </c>
      <c r="W47">
        <v>10778.219684610642</v>
      </c>
    </row>
    <row r="48" x14ac:dyDescent="0.3">
      <c r="A48">
        <f t="shared" si="5"/>
        <v>47</v>
      </c>
      <c r="B48" s="1" t="s">
        <v>176</v>
      </c>
      <c r="C48" s="1">
        <v>1596.0345454545457</v>
      </c>
      <c r="E48" s="2">
        <v>1343.9490069742142</v>
      </c>
      <c r="F48" s="0">
        <v>896.11516476016038</v>
      </c>
      <c r="G48" s="0">
        <v>1452.2380438750965</v>
      </c>
      <c r="H48" s="0">
        <v>2028.7136396212668</v>
      </c>
      <c r="I48" s="0">
        <v>1702.723028141892</v>
      </c>
      <c r="J48">
        <f t="shared" ref="J48" si="10">(E48-F48)/($Q$3-$Q$2)</f>
        <v>-134.48463730151767</v>
      </c>
      <c r="K48">
        <f t="shared" ref="K48" si="11">(E48-G48)/($Q$4-$Q$2)</f>
        <v>72.289076702858722</v>
      </c>
      <c r="L48">
        <f t="shared" ref="L48" si="12">(E48-H48)/($Q$5-$Q$2)</f>
        <v>652.15679299719295</v>
      </c>
      <c r="M48">
        <f t="shared" ref="M48" si="13">(E48-I48)/($Q$6-$Q$2)</f>
        <v>173.82462265875861</v>
      </c>
      <c r="N48" s="0">
        <v>2428.3394587959287</v>
      </c>
      <c r="S48" s="8">
        <v>175.45</v>
      </c>
      <c r="T48" s="0">
        <v>7704.0032320365572</v>
      </c>
      <c r="U48" s="0">
        <v>1715.3766547552655</v>
      </c>
      <c r="V48">
        <f t="shared" si="4"/>
        <v>226.61845502199594</v>
      </c>
      <c r="W48">
        <v>11750.069684610637</v>
      </c>
    </row>
  </sheetData>
  <phoneticPr fontId="57" type="noConversion"/>
  <conditionalFormatting sqref="F2:F48">
    <cfRule type="cellIs" dxfId="35" priority="11" operator="lessThan">
      <formula>1.05*E2</formula>
    </cfRule>
  </conditionalFormatting>
  <conditionalFormatting sqref="G2:G48">
    <cfRule type="cellIs" dxfId="34" priority="10" operator="lessThan">
      <formula>1.05*E2</formula>
    </cfRule>
  </conditionalFormatting>
  <conditionalFormatting sqref="H2:H48">
    <cfRule type="cellIs" dxfId="33" priority="8" operator="lessThan">
      <formula>1.05*E2</formula>
    </cfRule>
  </conditionalFormatting>
  <conditionalFormatting sqref="I2:I48">
    <cfRule type="cellIs" dxfId="32" priority="5" operator="lessThan">
      <formula>1.05*E2</formula>
    </cfRule>
  </conditionalFormatting>
  <conditionalFormatting sqref="J2:M46">
    <cfRule type="cellIs" dxfId="31" priority="4" operator="lessThan">
      <formula>0</formula>
    </cfRule>
  </conditionalFormatting>
  <conditionalFormatting sqref="J47:M47">
    <cfRule type="cellIs" dxfId="30" priority="3" operator="lessThan">
      <formula>0</formula>
    </cfRule>
  </conditionalFormatting>
  <conditionalFormatting sqref="J48:M48">
    <cfRule type="cellIs" dxfId="29" priority="2" operator="lessThan">
      <formula>0</formula>
    </cfRule>
  </conditionalFormatting>
  <conditionalFormatting sqref="C2:C4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{7B2DF93E-BDC8-4FA0-9240-B5A0F18E8BFC}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2DF93E-BDC8-4FA0-9240-B5A0F18E8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A92B-7A9B-4662-8884-2DD72E23802D}">
  <sheetPr codeName="Sheet2"/>
  <dimension ref="A1:R48"/>
  <sheetViews>
    <sheetView topLeftCell="A22" zoomScale="120" zoomScaleNormal="120" workbookViewId="0">
      <selection activeCell="K31" sqref="J31:K58"/>
    </sheetView>
  </sheetViews>
  <sheetFormatPr defaultRowHeight="14.4" x14ac:dyDescent="0.3"/>
  <cols>
    <col min="1" max="1" width="7.44140625" bestFit="true" customWidth="true"/>
    <col min="2" max="2" width="9.44140625" bestFit="true" customWidth="true"/>
    <col min="3" max="3" width="7.88671875" bestFit="true" customWidth="true"/>
    <col min="4" max="6" width="7.5546875" bestFit="true" customWidth="true"/>
    <col min="7" max="7" width="7.6640625" bestFit="true" customWidth="true"/>
    <col min="8" max="8" width="10" bestFit="true" customWidth="true"/>
  </cols>
  <sheetData>
    <row r="1" ht="49.2" x14ac:dyDescent="0.3">
      <c r="A1" s="10"/>
      <c r="B1" s="11" t="s">
        <v>113</v>
      </c>
      <c r="C1" s="11" t="s">
        <v>5</v>
      </c>
      <c r="D1" s="11" t="s">
        <v>1</v>
      </c>
      <c r="E1" s="11" t="s">
        <v>10</v>
      </c>
      <c r="F1" s="11" t="s">
        <v>11</v>
      </c>
      <c r="G1" s="11" t="s">
        <v>9</v>
      </c>
      <c r="H1" s="12" t="s">
        <v>114</v>
      </c>
      <c r="K1" s="10"/>
      <c r="L1" s="11"/>
      <c r="M1" s="11"/>
      <c r="N1" s="11"/>
      <c r="O1" s="11"/>
      <c r="P1" s="11"/>
      <c r="Q1" s="11"/>
      <c r="R1" s="12"/>
    </row>
    <row r="2" x14ac:dyDescent="0.3">
      <c r="A2" s="1" t="str">
        <f>Ammonia!B2</f>
        <v>Jan '19</v>
      </c>
      <c r="B2" s="2">
        <f>Ammonia!C2</f>
        <v>326.17727272727274</v>
      </c>
      <c r="C2" s="2">
        <f>Ammonia!E2</f>
        <v>470.06471342283669</v>
      </c>
      <c r="D2" s="2">
        <f>Ammonia!G2</f>
        <v>1440.524473159039</v>
      </c>
      <c r="E2" s="2">
        <f>Ammonia!H2</f>
        <v>1851.9250959873561</v>
      </c>
      <c r="F2" s="2">
        <f>Ammonia!I2</f>
        <v>1446.3570686169637</v>
      </c>
      <c r="G2" s="2">
        <f>Ammonia!F2</f>
        <v>627.87300086725259</v>
      </c>
      <c r="H2" s="2">
        <f>Ammonia!U2</f>
        <v>636.94255706474655</v>
      </c>
      <c r="J2" s="14"/>
      <c r="K2" s="2"/>
      <c r="L2" s="2"/>
      <c r="M2" s="2"/>
      <c r="N2" s="2"/>
      <c r="O2" s="2"/>
      <c r="P2" s="2"/>
      <c r="Q2" s="2"/>
      <c r="R2" s="2"/>
    </row>
    <row r="3" x14ac:dyDescent="0.3">
      <c r="A3" s="1" t="str">
        <f>Ammonia!B3</f>
        <v>Feb '19</v>
      </c>
      <c r="B3" s="2">
        <f>Ammonia!C3</f>
        <v>268.5377272727273</v>
      </c>
      <c r="C3" s="2">
        <f>Ammonia!E3</f>
        <v>433.53111084267863</v>
      </c>
      <c r="D3" s="2">
        <f>Ammonia!G3</f>
        <v>1437.4231730719212</v>
      </c>
      <c r="E3" s="2">
        <f>Ammonia!H3</f>
        <v>1848.8237959002383</v>
      </c>
      <c r="F3" s="2">
        <f>Ammonia!I3</f>
        <v>1443.2557685298459</v>
      </c>
      <c r="G3" s="2">
        <f>Ammonia!F3</f>
        <v>624.77170078013478</v>
      </c>
      <c r="H3" s="2">
        <f>Ammonia!U3</f>
        <v>593.63885483011927</v>
      </c>
      <c r="K3" s="1"/>
      <c r="L3" s="2"/>
      <c r="M3" s="2"/>
      <c r="N3" s="2"/>
      <c r="O3" s="2"/>
      <c r="P3" s="2"/>
      <c r="Q3" s="2"/>
      <c r="R3" s="2"/>
    </row>
    <row r="4" x14ac:dyDescent="0.3">
      <c r="A4" s="1" t="str">
        <f>Ammonia!B4</f>
        <v>Mar '19</v>
      </c>
      <c r="B4" s="2">
        <f>Ammonia!C4</f>
        <v>231.45181818181817</v>
      </c>
      <c r="C4" s="2">
        <f>Ammonia!E4</f>
        <v>402.58537634098184</v>
      </c>
      <c r="D4" s="2">
        <f>Ammonia!G4</f>
        <v>1431.6904668502793</v>
      </c>
      <c r="E4" s="2">
        <f>Ammonia!H4</f>
        <v>1843.0910896785965</v>
      </c>
      <c r="F4" s="2">
        <f>Ammonia!I4</f>
        <v>1437.5230623082041</v>
      </c>
      <c r="G4" s="2">
        <f>Ammonia!F4</f>
        <v>619.03899455849296</v>
      </c>
      <c r="H4" s="2">
        <f>Ammonia!U4</f>
        <v>562.03948676163031</v>
      </c>
      <c r="K4" s="1"/>
      <c r="L4" s="2"/>
      <c r="M4" s="2"/>
      <c r="N4" s="2"/>
      <c r="O4" s="2"/>
      <c r="P4" s="2"/>
      <c r="Q4" s="2"/>
      <c r="R4" s="2"/>
    </row>
    <row r="5" x14ac:dyDescent="0.3">
      <c r="A5" s="1" t="str">
        <f>Ammonia!B5</f>
        <v>Apr '19</v>
      </c>
      <c r="B5" s="2">
        <f>Ammonia!C5</f>
        <v>219.83454545454546</v>
      </c>
      <c r="C5" s="2">
        <f>Ammonia!E5</f>
        <v>402.41538568466922</v>
      </c>
      <c r="D5" s="2">
        <f>Ammonia!G5</f>
        <v>1434.6789923887748</v>
      </c>
      <c r="E5" s="2">
        <f>Ammonia!H5</f>
        <v>1846.0796152170917</v>
      </c>
      <c r="F5" s="2">
        <f>Ammonia!I5</f>
        <v>1440.5115878466995</v>
      </c>
      <c r="G5" s="2">
        <f>Ammonia!F5</f>
        <v>622.02752009698816</v>
      </c>
      <c r="H5" s="2">
        <f>Ammonia!U5</f>
        <v>556.92520256496857</v>
      </c>
      <c r="K5" s="1"/>
      <c r="L5" s="2"/>
      <c r="M5" s="2"/>
      <c r="N5" s="2"/>
      <c r="O5" s="2"/>
      <c r="P5" s="2"/>
      <c r="Q5" s="2"/>
      <c r="R5" s="2"/>
    </row>
    <row r="6" x14ac:dyDescent="0.3">
      <c r="A6" s="1" t="str">
        <f>Ammonia!B6</f>
        <v>May '19</v>
      </c>
      <c r="B6" s="2">
        <f>Ammonia!C6</f>
        <v>193.9190909090909</v>
      </c>
      <c r="C6" s="2">
        <f>Ammonia!E6</f>
        <v>389.56957790199488</v>
      </c>
      <c r="D6" s="2">
        <f>Ammonia!G6</f>
        <v>1435.0831011880052</v>
      </c>
      <c r="E6" s="2">
        <f>Ammonia!H6</f>
        <v>1846.4837240163222</v>
      </c>
      <c r="F6" s="2">
        <f>Ammonia!I6</f>
        <v>1440.91569664593</v>
      </c>
      <c r="G6" s="2">
        <f>Ammonia!F6</f>
        <v>622.43162889621874</v>
      </c>
      <c r="H6" s="2">
        <f>Ammonia!U6</f>
        <v>539.25381272423351</v>
      </c>
      <c r="K6" s="1"/>
      <c r="L6" s="2"/>
      <c r="M6" s="2"/>
      <c r="N6" s="2"/>
      <c r="O6" s="2"/>
      <c r="P6" s="2"/>
      <c r="Q6" s="2"/>
      <c r="R6" s="2"/>
    </row>
    <row r="7" x14ac:dyDescent="0.3">
      <c r="A7" s="1" t="str">
        <f>Ammonia!B7</f>
        <v>Jun '19</v>
      </c>
      <c r="B7" s="2">
        <f>Ammonia!C7</f>
        <v>160.40772727272727</v>
      </c>
      <c r="C7" s="2">
        <f>Ammonia!E7</f>
        <v>366.93276892694593</v>
      </c>
      <c r="D7" s="2">
        <f>Ammonia!G7</f>
        <v>1432.5785664206812</v>
      </c>
      <c r="E7" s="2">
        <f>Ammonia!H7</f>
        <v>1843.9791892489984</v>
      </c>
      <c r="F7" s="2">
        <f>Ammonia!I7</f>
        <v>1438.411161878606</v>
      </c>
      <c r="G7" s="2">
        <f>Ammonia!F7</f>
        <v>619.92709412889485</v>
      </c>
      <c r="H7" s="2">
        <f>Ammonia!U7</f>
        <v>513.37578833626458</v>
      </c>
      <c r="K7" s="1"/>
      <c r="L7" s="2"/>
      <c r="M7" s="2"/>
      <c r="N7" s="2"/>
      <c r="O7" s="2"/>
      <c r="P7" s="2"/>
      <c r="Q7" s="2"/>
      <c r="R7" s="2"/>
    </row>
    <row r="8" x14ac:dyDescent="0.3">
      <c r="A8" s="1" t="str">
        <f>Ammonia!B8</f>
        <v>Jul '19</v>
      </c>
      <c r="B8" s="2">
        <f>Ammonia!C8</f>
        <v>161.74818181818182</v>
      </c>
      <c r="C8" s="2">
        <f>Ammonia!E8</f>
        <v>374.38298210622401</v>
      </c>
      <c r="D8" s="2">
        <f>Ammonia!G8</f>
        <v>1435.9665018188809</v>
      </c>
      <c r="E8" s="2">
        <f>Ammonia!H8</f>
        <v>1847.3671246471981</v>
      </c>
      <c r="F8" s="2">
        <f>Ammonia!I8</f>
        <v>1441.7990972768057</v>
      </c>
      <c r="G8" s="2">
        <f>Ammonia!F8</f>
        <v>623.31502952709468</v>
      </c>
      <c r="H8" s="2">
        <f>Ammonia!U8</f>
        <v>517.69866331929029</v>
      </c>
      <c r="K8" s="1"/>
      <c r="L8" s="2"/>
      <c r="M8" s="2"/>
      <c r="N8" s="2"/>
      <c r="O8" s="2"/>
      <c r="P8" s="2"/>
      <c r="Q8" s="2"/>
      <c r="R8" s="2"/>
    </row>
    <row r="9" x14ac:dyDescent="0.3">
      <c r="A9" s="1" t="str">
        <f>Ammonia!B9</f>
        <v>Aug '19</v>
      </c>
      <c r="B9" s="2">
        <f>Ammonia!C9</f>
        <v>164.42909090909092</v>
      </c>
      <c r="C9" s="2">
        <f>Ammonia!E9</f>
        <v>373.09179749991341</v>
      </c>
      <c r="D9" s="2">
        <f>Ammonia!G9</f>
        <v>1434.6085082958855</v>
      </c>
      <c r="E9" s="2">
        <f>Ammonia!H9</f>
        <v>1846.0091311242024</v>
      </c>
      <c r="F9" s="2">
        <f>Ammonia!I9</f>
        <v>1440.4411037538102</v>
      </c>
      <c r="G9" s="2">
        <f>Ammonia!F9</f>
        <v>621.95703600409911</v>
      </c>
      <c r="H9" s="2">
        <f>Ammonia!U9</f>
        <v>518.21054896594637</v>
      </c>
      <c r="K9" s="1"/>
      <c r="L9" s="2"/>
      <c r="M9" s="2"/>
      <c r="N9" s="2"/>
      <c r="O9" s="2"/>
      <c r="P9" s="2"/>
      <c r="Q9" s="2"/>
      <c r="R9" s="2"/>
    </row>
    <row r="10" x14ac:dyDescent="0.3">
      <c r="A10" s="1" t="str">
        <f>Ammonia!B10</f>
        <v>Sep '19</v>
      </c>
      <c r="B10" s="2">
        <f>Ammonia!C10</f>
        <v>188.11045454545456</v>
      </c>
      <c r="C10" s="2">
        <f>Ammonia!E10</f>
        <v>384.58313592705053</v>
      </c>
      <c r="D10" s="2">
        <f>Ammonia!G10</f>
        <v>1434.1151196456624</v>
      </c>
      <c r="E10" s="2">
        <f>Ammonia!H10</f>
        <v>1845.5157424739793</v>
      </c>
      <c r="F10" s="2">
        <f>Ammonia!I10</f>
        <v>1439.9477151035871</v>
      </c>
      <c r="G10" s="2">
        <f>Ammonia!F10</f>
        <v>621.4636473538759</v>
      </c>
      <c r="H10" s="2">
        <f>Ammonia!U10</f>
        <v>534.23442631431226</v>
      </c>
      <c r="K10" s="1"/>
      <c r="L10" s="2"/>
      <c r="M10" s="2"/>
      <c r="N10" s="2"/>
      <c r="O10" s="2"/>
      <c r="P10" s="2"/>
      <c r="Q10" s="2"/>
      <c r="R10" s="2"/>
    </row>
    <row r="11" x14ac:dyDescent="0.3">
      <c r="A11" s="1" t="str">
        <f>Ammonia!B11</f>
        <v>Oct '19</v>
      </c>
      <c r="B11" s="2">
        <f>Ammonia!C11</f>
        <v>226.08999999999997</v>
      </c>
      <c r="C11" s="2">
        <f>Ammonia!E11</f>
        <v>405.69156427921394</v>
      </c>
      <c r="D11" s="2">
        <f>Ammonia!G11</f>
        <v>1434.6695945097226</v>
      </c>
      <c r="E11" s="2">
        <f>Ammonia!H11</f>
        <v>1846.0702173380398</v>
      </c>
      <c r="F11" s="2">
        <f>Ammonia!I11</f>
        <v>1440.5021899676476</v>
      </c>
      <c r="G11" s="2">
        <f>Ammonia!F11</f>
        <v>622.01812221793625</v>
      </c>
      <c r="H11" s="2">
        <f>Ammonia!U11</f>
        <v>561.2788560817703</v>
      </c>
      <c r="K11" s="1"/>
      <c r="L11" s="2"/>
      <c r="M11" s="2"/>
      <c r="N11" s="2"/>
      <c r="O11" s="2"/>
      <c r="P11" s="2"/>
      <c r="Q11" s="2"/>
      <c r="R11" s="2"/>
    </row>
    <row r="12" x14ac:dyDescent="0.3">
      <c r="A12" s="1" t="str">
        <f>Ammonia!B12</f>
        <v>Nov '19</v>
      </c>
      <c r="B12" s="2">
        <f>Ammonia!C12</f>
        <v>230.11136363636368</v>
      </c>
      <c r="C12" s="2">
        <f>Ammonia!E12</f>
        <v>411.59803739519049</v>
      </c>
      <c r="D12" s="2">
        <f>Ammonia!G12</f>
        <v>1436.5726650177269</v>
      </c>
      <c r="E12" s="2">
        <f>Ammonia!H12</f>
        <v>1847.9732878460438</v>
      </c>
      <c r="F12" s="2">
        <f>Ammonia!I12</f>
        <v>1442.4052604756516</v>
      </c>
      <c r="G12" s="2">
        <f>Ammonia!F12</f>
        <v>623.92119272594039</v>
      </c>
      <c r="H12" s="2">
        <f>Ammonia!U12</f>
        <v>565.98674534425197</v>
      </c>
      <c r="K12" s="1"/>
      <c r="L12" s="2"/>
      <c r="M12" s="2"/>
      <c r="N12" s="2"/>
      <c r="O12" s="2"/>
      <c r="P12" s="2"/>
      <c r="Q12" s="2"/>
      <c r="R12" s="2"/>
    </row>
    <row r="13" x14ac:dyDescent="0.3">
      <c r="A13" s="1" t="str">
        <f>Ammonia!B13</f>
        <v>Dec '19</v>
      </c>
      <c r="B13" s="2">
        <f>Ammonia!C13</f>
        <v>206.43</v>
      </c>
      <c r="C13" s="2">
        <f>Ammonia!E13</f>
        <v>390.67796190705644</v>
      </c>
      <c r="D13" s="2">
        <f>Ammonia!G13</f>
        <v>1432.3295226258065</v>
      </c>
      <c r="E13" s="2">
        <f>Ammonia!H13</f>
        <v>1843.7301454541237</v>
      </c>
      <c r="F13" s="2">
        <f>Ammonia!I13</f>
        <v>1438.1621180837312</v>
      </c>
      <c r="G13" s="2">
        <f>Ammonia!F13</f>
        <v>619.67805033402021</v>
      </c>
      <c r="H13" s="2">
        <f>Ammonia!U13</f>
        <v>545.22633695374259</v>
      </c>
      <c r="K13" s="1"/>
      <c r="L13" s="2"/>
      <c r="M13" s="2"/>
      <c r="N13" s="2"/>
      <c r="O13" s="2"/>
      <c r="P13" s="2"/>
      <c r="Q13" s="2"/>
      <c r="R13" s="2"/>
    </row>
    <row r="14" x14ac:dyDescent="0.3">
      <c r="A14" s="1" t="str">
        <f>Ammonia!B14</f>
        <v>Jan '20</v>
      </c>
      <c r="B14" s="2">
        <f>Ammonia!C14</f>
        <v>162.19499999999999</v>
      </c>
      <c r="C14" s="2">
        <f>Ammonia!E14</f>
        <v>365.50573995355796</v>
      </c>
      <c r="D14" s="2">
        <f>Ammonia!G14</f>
        <v>1210.4482882408811</v>
      </c>
      <c r="E14" s="2">
        <f>Ammonia!H14</f>
        <v>1811.540421959113</v>
      </c>
      <c r="F14" s="2">
        <f>Ammonia!I14</f>
        <v>1256.6332812778035</v>
      </c>
      <c r="G14" s="2">
        <f>Ammonia!F14</f>
        <v>609.84534041599113</v>
      </c>
      <c r="H14" s="2">
        <f>Ammonia!U14</f>
        <v>508.60364333187101</v>
      </c>
      <c r="K14" s="1"/>
      <c r="L14" s="2"/>
      <c r="M14" s="2"/>
      <c r="N14" s="2"/>
      <c r="O14" s="2"/>
      <c r="P14" s="2"/>
      <c r="Q14" s="2"/>
      <c r="R14" s="2"/>
    </row>
    <row r="15" x14ac:dyDescent="0.3">
      <c r="A15" s="1" t="str">
        <f>Ammonia!B15</f>
        <v>Feb '20</v>
      </c>
      <c r="B15" s="2">
        <f>Ammonia!C15</f>
        <v>130.02409090909092</v>
      </c>
      <c r="C15" s="2">
        <f>Ammonia!E15</f>
        <v>336.33505496513783</v>
      </c>
      <c r="D15" s="2">
        <f>Ammonia!G15</f>
        <v>1204.3067742804828</v>
      </c>
      <c r="E15" s="2">
        <f>Ammonia!H15</f>
        <v>1805.3989079987145</v>
      </c>
      <c r="F15" s="2">
        <f>Ammonia!I15</f>
        <v>1250.491767317405</v>
      </c>
      <c r="G15" s="2">
        <f>Ammonia!F15</f>
        <v>603.70382645559289</v>
      </c>
      <c r="H15" s="2">
        <f>Ammonia!U15</f>
        <v>480.02357933565344</v>
      </c>
      <c r="K15" s="1"/>
      <c r="L15" s="2"/>
      <c r="M15" s="2"/>
      <c r="N15" s="2"/>
      <c r="O15" s="2"/>
      <c r="P15" s="2"/>
      <c r="Q15" s="2"/>
      <c r="R15" s="2"/>
    </row>
    <row r="16" x14ac:dyDescent="0.3">
      <c r="A16" s="1" t="str">
        <f>Ammonia!B16</f>
        <v>Mar '20</v>
      </c>
      <c r="B16" s="2">
        <f>Ammonia!C16</f>
        <v>121.53454545454547</v>
      </c>
      <c r="C16" s="2">
        <f>Ammonia!E16</f>
        <v>332.43401166858547</v>
      </c>
      <c r="D16" s="2">
        <f>Ammonia!G16</f>
        <v>1204.5934095915648</v>
      </c>
      <c r="E16" s="2">
        <f>Ammonia!H16</f>
        <v>1805.6855433097967</v>
      </c>
      <c r="F16" s="2">
        <f>Ammonia!I16</f>
        <v>1250.7784026284869</v>
      </c>
      <c r="G16" s="2">
        <f>Ammonia!F16</f>
        <v>603.99046176667503</v>
      </c>
      <c r="H16" s="2">
        <f>Ammonia!U16</f>
        <v>474.38893060950545</v>
      </c>
      <c r="K16" s="1"/>
      <c r="L16" s="2"/>
      <c r="M16" s="2"/>
      <c r="N16" s="2"/>
      <c r="O16" s="2"/>
      <c r="P16" s="2"/>
      <c r="Q16" s="2"/>
      <c r="R16" s="2"/>
    </row>
    <row r="17" x14ac:dyDescent="0.3">
      <c r="A17" s="1" t="str">
        <f>Ammonia!B17</f>
        <v>Apr '20</v>
      </c>
      <c r="B17" s="2">
        <f>Ammonia!C17</f>
        <v>94.725454545454554</v>
      </c>
      <c r="C17" s="2">
        <f>Ammonia!E17</f>
        <v>313.19648344731979</v>
      </c>
      <c r="D17" s="2">
        <f>Ammonia!G17</f>
        <v>1202.0230896708777</v>
      </c>
      <c r="E17" s="2">
        <f>Ammonia!H17</f>
        <v>1803.1152233891096</v>
      </c>
      <c r="F17" s="2">
        <f>Ammonia!I17</f>
        <v>1248.2080827078</v>
      </c>
      <c r="G17" s="2">
        <f>Ammonia!F17</f>
        <v>601.42014184598793</v>
      </c>
      <c r="H17" s="2">
        <f>Ammonia!U17</f>
        <v>453.11981899230238</v>
      </c>
      <c r="K17" s="1"/>
      <c r="L17" s="2"/>
      <c r="M17" s="2"/>
      <c r="N17" s="2"/>
      <c r="O17" s="2"/>
      <c r="P17" s="2"/>
      <c r="Q17" s="2"/>
      <c r="R17" s="2"/>
    </row>
    <row r="18" x14ac:dyDescent="0.3">
      <c r="A18" s="1" t="str">
        <f>Ammonia!B18</f>
        <v>May '20</v>
      </c>
      <c r="B18" s="2">
        <f>Ammonia!C18</f>
        <v>70.597272727272724</v>
      </c>
      <c r="C18" s="2">
        <f>Ammonia!E18</f>
        <v>301.00210070044625</v>
      </c>
      <c r="D18" s="2">
        <f>Ammonia!G18</f>
        <v>1202.2815313448043</v>
      </c>
      <c r="E18" s="2">
        <f>Ammonia!H18</f>
        <v>1803.373665063036</v>
      </c>
      <c r="F18" s="2">
        <f>Ammonia!I18</f>
        <v>1248.4665243817265</v>
      </c>
      <c r="G18" s="2">
        <f>Ammonia!F18</f>
        <v>601.67858351991447</v>
      </c>
      <c r="H18" s="2">
        <f>Ammonia!U18</f>
        <v>436.54934813936444</v>
      </c>
      <c r="K18" s="1"/>
      <c r="L18" s="2"/>
      <c r="M18" s="2"/>
      <c r="N18" s="2"/>
      <c r="O18" s="2"/>
      <c r="P18" s="2"/>
      <c r="Q18" s="2"/>
      <c r="R18" s="2"/>
    </row>
    <row r="19" x14ac:dyDescent="0.3">
      <c r="A19" s="1" t="str">
        <f>Ammonia!B19</f>
        <v>Jun '20</v>
      </c>
      <c r="B19" s="2">
        <f>Ammonia!C19</f>
        <v>78.193181818181827</v>
      </c>
      <c r="C19" s="2">
        <f>Ammonia!E19</f>
        <v>313.0754549115544</v>
      </c>
      <c r="D19" s="2">
        <f>Ammonia!G19</f>
        <v>1206.3367161556871</v>
      </c>
      <c r="E19" s="2">
        <f>Ammonia!H19</f>
        <v>1807.428849873919</v>
      </c>
      <c r="F19" s="2">
        <f>Ammonia!I19</f>
        <v>1252.5217091926093</v>
      </c>
      <c r="G19" s="2">
        <f>Ammonia!F19</f>
        <v>605.73376833079715</v>
      </c>
      <c r="H19" s="2">
        <f>Ammonia!U19</f>
        <v>445.9025239309268</v>
      </c>
      <c r="K19" s="1"/>
      <c r="L19" s="2"/>
      <c r="M19" s="2"/>
      <c r="N19" s="2"/>
      <c r="O19" s="2"/>
      <c r="P19" s="2"/>
      <c r="Q19" s="2"/>
      <c r="R19" s="2"/>
    </row>
    <row r="20" x14ac:dyDescent="0.3">
      <c r="A20" s="1" t="str">
        <f>Ammonia!B20</f>
        <v>Jul '20</v>
      </c>
      <c r="B20" s="2">
        <f>Ammonia!C20</f>
        <v>80.427272727272737</v>
      </c>
      <c r="C20" s="2">
        <f>Ammonia!E20</f>
        <v>317.84409988937716</v>
      </c>
      <c r="D20" s="2">
        <f>Ammonia!G20</f>
        <v>1208.1411089336464</v>
      </c>
      <c r="E20" s="2">
        <f>Ammonia!H20</f>
        <v>1809.2332426518783</v>
      </c>
      <c r="F20" s="2">
        <f>Ammonia!I20</f>
        <v>1254.3261019705685</v>
      </c>
      <c r="G20" s="2">
        <f>Ammonia!F20</f>
        <v>607.53816110875664</v>
      </c>
      <c r="H20" s="2">
        <f>Ammonia!U20</f>
        <v>449.2651493502625</v>
      </c>
      <c r="K20" s="1"/>
      <c r="L20" s="2"/>
      <c r="M20" s="2"/>
      <c r="N20" s="2"/>
      <c r="O20" s="2"/>
      <c r="P20" s="2"/>
      <c r="Q20" s="2"/>
      <c r="R20" s="2"/>
    </row>
    <row r="21" x14ac:dyDescent="0.3">
      <c r="A21" s="1" t="str">
        <f>Ammonia!B21</f>
        <v>Aug '20</v>
      </c>
      <c r="B21" s="2">
        <f>Ammonia!C21</f>
        <v>127.78999999999999</v>
      </c>
      <c r="C21" s="2">
        <f>Ammonia!E21</f>
        <v>347.29967956727228</v>
      </c>
      <c r="D21" s="2">
        <f>Ammonia!G21</f>
        <v>1210.4059977851475</v>
      </c>
      <c r="E21" s="2">
        <f>Ammonia!H21</f>
        <v>1811.4981315033795</v>
      </c>
      <c r="F21" s="2">
        <f>Ammonia!I21</f>
        <v>1256.5909908220699</v>
      </c>
      <c r="G21" s="2">
        <f>Ammonia!F21</f>
        <v>609.80304996025779</v>
      </c>
      <c r="H21" s="2">
        <f>Ammonia!U21</f>
        <v>484.56457019894196</v>
      </c>
      <c r="K21" s="1"/>
      <c r="L21" s="2"/>
      <c r="M21" s="2"/>
      <c r="N21" s="2"/>
      <c r="O21" s="2"/>
      <c r="P21" s="2"/>
      <c r="Q21" s="2"/>
      <c r="R21" s="2"/>
    </row>
    <row r="22" x14ac:dyDescent="0.3">
      <c r="A22" s="1" t="str">
        <f>Ammonia!B22</f>
        <v>Sep '20</v>
      </c>
      <c r="B22" s="2">
        <f>Ammonia!C22</f>
        <v>176.49318181818182</v>
      </c>
      <c r="C22" s="2">
        <f>Ammonia!E22</f>
        <v>381.17480694055359</v>
      </c>
      <c r="D22" s="2">
        <f>Ammonia!G22</f>
        <v>1214.5363656284453</v>
      </c>
      <c r="E22" s="2">
        <f>Ammonia!H22</f>
        <v>1815.6284993466772</v>
      </c>
      <c r="F22" s="2">
        <f>Ammonia!I22</f>
        <v>1260.7213586653675</v>
      </c>
      <c r="G22" s="2">
        <f>Ammonia!F22</f>
        <v>613.93341780355547</v>
      </c>
      <c r="H22" s="2">
        <f>Ammonia!U22</f>
        <v>522.66440962424383</v>
      </c>
      <c r="K22" s="1"/>
      <c r="L22" s="2"/>
      <c r="M22" s="2"/>
      <c r="N22" s="2"/>
      <c r="O22" s="2"/>
      <c r="P22" s="2"/>
      <c r="Q22" s="2"/>
      <c r="R22" s="2"/>
    </row>
    <row r="23" x14ac:dyDescent="0.3">
      <c r="A23" s="1" t="str">
        <f>Ammonia!B23</f>
        <v>Oct '20</v>
      </c>
      <c r="B23" s="2">
        <f>Ammonia!C23</f>
        <v>218.49409090909091</v>
      </c>
      <c r="C23" s="2">
        <f>Ammonia!E23</f>
        <v>394.20561921604428</v>
      </c>
      <c r="D23" s="2">
        <f>Ammonia!G23</f>
        <v>1209.9689964092354</v>
      </c>
      <c r="E23" s="2">
        <f>Ammonia!H23</f>
        <v>1811.0611301274673</v>
      </c>
      <c r="F23" s="2">
        <f>Ammonia!I23</f>
        <v>1256.1539894461578</v>
      </c>
      <c r="G23" s="2">
        <f>Ammonia!F23</f>
        <v>609.36604858434566</v>
      </c>
      <c r="H23" s="2">
        <f>Ammonia!U23</f>
        <v>547.39181406290925</v>
      </c>
      <c r="K23" s="1"/>
      <c r="L23" s="2"/>
      <c r="M23" s="2"/>
      <c r="N23" s="2"/>
      <c r="O23" s="2"/>
      <c r="P23" s="2"/>
      <c r="Q23" s="2"/>
      <c r="R23" s="2"/>
    </row>
    <row r="24" x14ac:dyDescent="0.3">
      <c r="A24" s="1" t="str">
        <f>Ammonia!B24</f>
        <v>Nov '20</v>
      </c>
      <c r="B24" s="2">
        <f>Ammonia!C24</f>
        <v>216.26000000000002</v>
      </c>
      <c r="C24" s="2">
        <f>Ammonia!E24</f>
        <v>397.55616448519112</v>
      </c>
      <c r="D24" s="2">
        <f>Ammonia!G24</f>
        <v>1212.2432831397884</v>
      </c>
      <c r="E24" s="2">
        <f>Ammonia!H24</f>
        <v>1813.3354168580204</v>
      </c>
      <c r="F24" s="2">
        <f>Ammonia!I24</f>
        <v>1258.4282761767106</v>
      </c>
      <c r="G24" s="2">
        <f>Ammonia!F24</f>
        <v>611.64033531489872</v>
      </c>
      <c r="H24" s="2">
        <f>Ammonia!U24</f>
        <v>548.10786815208598</v>
      </c>
      <c r="K24" s="1"/>
      <c r="L24" s="2"/>
      <c r="M24" s="2"/>
      <c r="N24" s="2"/>
      <c r="O24" s="2"/>
      <c r="P24" s="2"/>
      <c r="Q24" s="2"/>
      <c r="R24" s="2"/>
    </row>
    <row r="25" x14ac:dyDescent="0.3">
      <c r="A25" s="1" t="str">
        <f>Ammonia!B25</f>
        <v>Dec '20</v>
      </c>
      <c r="B25" s="2">
        <f>Ammonia!C25</f>
        <v>261.83545454545458</v>
      </c>
      <c r="C25" s="2">
        <f>Ammonia!E25</f>
        <v>426.00487070633528</v>
      </c>
      <c r="D25" s="2">
        <f>Ammonia!G25</f>
        <v>1214.4752794146084</v>
      </c>
      <c r="E25" s="2">
        <f>Ammonia!H25</f>
        <v>1815.5674131328401</v>
      </c>
      <c r="F25" s="2">
        <f>Ammonia!I25</f>
        <v>1260.6602724515305</v>
      </c>
      <c r="G25" s="2">
        <f>Ammonia!F25</f>
        <v>613.87233158971833</v>
      </c>
      <c r="H25" s="2">
        <f>Ammonia!U25</f>
        <v>582.1278103109828</v>
      </c>
      <c r="K25" s="1"/>
      <c r="L25" s="2"/>
      <c r="M25" s="2"/>
      <c r="N25" s="2"/>
      <c r="O25" s="2"/>
      <c r="P25" s="2"/>
      <c r="Q25" s="2"/>
      <c r="R25" s="2"/>
    </row>
    <row r="26" x14ac:dyDescent="0.3">
      <c r="A26" s="1" t="str">
        <f>Ammonia!B26</f>
        <v>Jan '21</v>
      </c>
      <c r="B26" s="2">
        <f>Ammonia!C26</f>
        <v>324.83681818181822</v>
      </c>
      <c r="C26" s="2">
        <f>Ammonia!E26</f>
        <v>514.21616880274019</v>
      </c>
      <c r="D26" s="2">
        <f>Ammonia!G26</f>
        <v>1211.1237031322485</v>
      </c>
      <c r="E26" s="2">
        <f>Ammonia!H26</f>
        <v>1710.3833016500328</v>
      </c>
      <c r="F26" s="2">
        <f>Ammonia!I26</f>
        <v>1428.0574876715646</v>
      </c>
      <c r="G26" s="2">
        <f>Ammonia!F26</f>
        <v>729.49067755013834</v>
      </c>
      <c r="H26" s="2">
        <f>Ammonia!U26</f>
        <v>701.48956223018627</v>
      </c>
      <c r="K26" s="1"/>
      <c r="L26" s="2"/>
      <c r="M26" s="2"/>
      <c r="N26" s="2"/>
      <c r="O26" s="2"/>
      <c r="P26" s="2"/>
      <c r="Q26" s="2"/>
      <c r="R26" s="2"/>
    </row>
    <row r="27" x14ac:dyDescent="0.3">
      <c r="A27" s="1" t="str">
        <f>Ammonia!B27</f>
        <v>Feb '21</v>
      </c>
      <c r="B27" s="2">
        <f>Ammonia!C27</f>
        <v>275.24000000000007</v>
      </c>
      <c r="C27" s="2">
        <f>Ammonia!E27</f>
        <v>484.27603301005473</v>
      </c>
      <c r="D27" s="2">
        <f>Ammonia!G27</f>
        <v>1209.2065358056666</v>
      </c>
      <c r="E27" s="2">
        <f>Ammonia!H27</f>
        <v>1708.4661343234509</v>
      </c>
      <c r="F27" s="2">
        <f>Ammonia!I27</f>
        <v>1426.1403203449827</v>
      </c>
      <c r="G27" s="2">
        <f>Ammonia!F27</f>
        <v>727.57351022355647</v>
      </c>
      <c r="H27" s="2">
        <f>Ammonia!U27</f>
        <v>664.97963026504976</v>
      </c>
      <c r="K27" s="1"/>
      <c r="L27" s="2"/>
      <c r="M27" s="2"/>
      <c r="N27" s="2"/>
      <c r="O27" s="2"/>
      <c r="P27" s="2"/>
      <c r="Q27" s="2"/>
      <c r="R27" s="2"/>
    </row>
    <row r="28" x14ac:dyDescent="0.3">
      <c r="A28" s="1" t="str">
        <f>Ammonia!B28</f>
        <v>Mar '21</v>
      </c>
      <c r="B28" s="2">
        <f>Ammonia!C28</f>
        <v>273.89954545454549</v>
      </c>
      <c r="C28" s="2">
        <f>Ammonia!E28</f>
        <v>482.13883833340185</v>
      </c>
      <c r="D28" s="2">
        <f>Ammonia!G28</f>
        <v>1208.4875980581983</v>
      </c>
      <c r="E28" s="2">
        <f>Ammonia!H28</f>
        <v>1707.7471965759828</v>
      </c>
      <c r="F28" s="2">
        <f>Ammonia!I28</f>
        <v>1425.4213825975144</v>
      </c>
      <c r="G28" s="2">
        <f>Ammonia!F28</f>
        <v>726.85457247608826</v>
      </c>
      <c r="H28" s="2">
        <f>Ammonia!U28</f>
        <v>663.32575293275568</v>
      </c>
      <c r="K28" s="1"/>
      <c r="L28" s="2"/>
      <c r="M28" s="2"/>
      <c r="N28" s="2"/>
      <c r="O28" s="2"/>
      <c r="P28" s="2"/>
      <c r="Q28" s="2"/>
      <c r="R28" s="2"/>
    </row>
    <row r="29" x14ac:dyDescent="0.3">
      <c r="A29" s="1" t="str">
        <f>Ammonia!B29</f>
        <v>Apr '21</v>
      </c>
      <c r="B29" s="2">
        <f>Ammonia!C29</f>
        <v>319.47500000000002</v>
      </c>
      <c r="C29" s="2">
        <f>Ammonia!E29</f>
        <v>512.20577026045123</v>
      </c>
      <c r="D29" s="2">
        <f>Ammonia!G29</f>
        <v>1211.5325108710049</v>
      </c>
      <c r="E29" s="2">
        <f>Ammonia!H29</f>
        <v>1710.7921093887892</v>
      </c>
      <c r="F29" s="2">
        <f>Ammonia!I29</f>
        <v>1428.466295410321</v>
      </c>
      <c r="G29" s="2">
        <f>Ammonia!F29</f>
        <v>729.89948528889477</v>
      </c>
      <c r="H29" s="2">
        <f>Ammonia!U29</f>
        <v>698.15861162963961</v>
      </c>
      <c r="K29" s="1"/>
      <c r="L29" s="2"/>
      <c r="M29" s="2"/>
      <c r="N29" s="2"/>
      <c r="O29" s="2"/>
      <c r="P29" s="2"/>
      <c r="Q29" s="2"/>
      <c r="R29" s="2"/>
    </row>
    <row r="30" x14ac:dyDescent="0.3">
      <c r="A30" s="1" t="str">
        <f>Ammonia!B30</f>
        <v>May '21</v>
      </c>
      <c r="B30" s="2">
        <f>Ammonia!C30</f>
        <v>398.11500000000001</v>
      </c>
      <c r="C30" s="2">
        <f>Ammonia!E30</f>
        <v>553.31852047475718</v>
      </c>
      <c r="D30" s="2">
        <f>Ammonia!G30</f>
        <v>1211.3774458666492</v>
      </c>
      <c r="E30" s="2">
        <f>Ammonia!H30</f>
        <v>1710.6370443844335</v>
      </c>
      <c r="F30" s="2">
        <f>Ammonia!I30</f>
        <v>1428.3112304059653</v>
      </c>
      <c r="G30" s="2">
        <f>Ammonia!F30</f>
        <v>729.74442028453893</v>
      </c>
      <c r="H30" s="2">
        <f>Ammonia!U30</f>
        <v>752.85333560173058</v>
      </c>
      <c r="K30" s="1"/>
      <c r="L30" s="2"/>
      <c r="M30" s="2"/>
      <c r="N30" s="2"/>
      <c r="O30" s="2"/>
      <c r="P30" s="2"/>
      <c r="Q30" s="2"/>
      <c r="R30" s="2"/>
    </row>
    <row r="31" x14ac:dyDescent="0.3">
      <c r="A31" s="1" t="str">
        <f>Ammonia!B31</f>
        <v>Jun '21</v>
      </c>
      <c r="B31" s="2">
        <f>Ammonia!C31</f>
        <v>460.22272727272735</v>
      </c>
      <c r="C31" s="2">
        <f>Ammonia!E31</f>
        <v>605.48815960160255</v>
      </c>
      <c r="D31" s="2">
        <f>Ammonia!G31</f>
        <v>1221.1512400805959</v>
      </c>
      <c r="E31" s="2">
        <f>Ammonia!H31</f>
        <v>1720.4108385983802</v>
      </c>
      <c r="F31" s="2">
        <f>Ammonia!I31</f>
        <v>1438.085024619912</v>
      </c>
      <c r="G31" s="2">
        <f>Ammonia!F31</f>
        <v>739.51821449848569</v>
      </c>
      <c r="H31" s="2">
        <f>Ammonia!U31</f>
        <v>805.94599724593968</v>
      </c>
      <c r="K31" s="1"/>
      <c r="L31" s="2"/>
      <c r="M31" s="2"/>
      <c r="N31" s="2"/>
      <c r="O31" s="2"/>
      <c r="P31" s="2"/>
      <c r="Q31" s="2"/>
      <c r="R31" s="2"/>
    </row>
    <row r="32" x14ac:dyDescent="0.3">
      <c r="A32" s="1" t="str">
        <f>Ammonia!B32</f>
        <v>Jul '21</v>
      </c>
      <c r="B32" s="2">
        <f>Ammonia!C32</f>
        <v>558.96954545454548</v>
      </c>
      <c r="C32" s="2">
        <f>Ammonia!E32</f>
        <v>664.19769157651308</v>
      </c>
      <c r="D32" s="2">
        <f>Ammonia!G32</f>
        <v>1224.5156807811661</v>
      </c>
      <c r="E32" s="2">
        <f>Ammonia!H32</f>
        <v>1723.7752792989504</v>
      </c>
      <c r="F32" s="2">
        <f>Ammonia!I32</f>
        <v>1441.4494653204822</v>
      </c>
      <c r="G32" s="2">
        <f>Ammonia!F32</f>
        <v>742.88265519905588</v>
      </c>
      <c r="H32" s="2">
        <f>Ammonia!U32</f>
        <v>878.1843206953439</v>
      </c>
      <c r="K32" s="1"/>
      <c r="L32" s="2"/>
      <c r="M32" s="2"/>
      <c r="N32" s="2"/>
      <c r="O32" s="2"/>
      <c r="P32" s="2"/>
      <c r="Q32" s="2"/>
      <c r="R32" s="2"/>
    </row>
    <row r="33" x14ac:dyDescent="0.3">
      <c r="A33" s="1" t="str">
        <f>Ammonia!B33</f>
        <v>Aug '21</v>
      </c>
      <c r="B33" s="2">
        <f>Ammonia!C33</f>
        <v>689.4404545454546</v>
      </c>
      <c r="C33" s="2">
        <f>Ammonia!E33</f>
        <v>734.34140173193737</v>
      </c>
      <c r="D33" s="2">
        <f>Ammonia!G33</f>
        <v>1225.229919589108</v>
      </c>
      <c r="E33" s="2">
        <f>Ammonia!H33</f>
        <v>1724.4895181068925</v>
      </c>
      <c r="F33" s="2">
        <f>Ammonia!I33</f>
        <v>1442.1637041284241</v>
      </c>
      <c r="G33" s="2">
        <f>Ammonia!F33</f>
        <v>743.59689400699813</v>
      </c>
      <c r="H33" s="2">
        <f>Ammonia!U33</f>
        <v>969.89934575966447</v>
      </c>
      <c r="K33" s="1"/>
      <c r="L33" s="2"/>
      <c r="M33" s="2"/>
      <c r="N33" s="2"/>
      <c r="O33" s="2"/>
      <c r="P33" s="2"/>
      <c r="Q33" s="2"/>
      <c r="R33" s="2"/>
    </row>
    <row r="34" x14ac:dyDescent="0.3">
      <c r="A34" s="1" t="str">
        <f>Ammonia!B34</f>
        <v>Sep '21</v>
      </c>
      <c r="B34" s="2">
        <f>Ammonia!C34</f>
        <v>1020.5327272727274</v>
      </c>
      <c r="C34" s="2">
        <f>Ammonia!E34</f>
        <v>951.32336540346387</v>
      </c>
      <c r="D34" s="2">
        <f>Ammonia!G34</f>
        <v>1246.6241912506946</v>
      </c>
      <c r="E34" s="2">
        <f>Ammonia!H34</f>
        <v>1745.8837897684789</v>
      </c>
      <c r="F34" s="2">
        <f>Ammonia!I34</f>
        <v>1463.5579757900107</v>
      </c>
      <c r="G34" s="2">
        <f>Ammonia!F34</f>
        <v>764.99116566858459</v>
      </c>
      <c r="H34" s="2">
        <f>Ammonia!U34</f>
        <v>1222.2236948732243</v>
      </c>
      <c r="K34" s="1"/>
      <c r="L34" s="2"/>
      <c r="M34" s="2"/>
      <c r="N34" s="2"/>
      <c r="O34" s="2"/>
      <c r="P34" s="2"/>
      <c r="Q34" s="2"/>
      <c r="R34" s="2"/>
    </row>
    <row r="35" x14ac:dyDescent="0.3">
      <c r="A35" s="1" t="str">
        <f>Ammonia!B35</f>
        <v>Oct '21</v>
      </c>
      <c r="B35" s="2">
        <f>Ammonia!C35</f>
        <v>1387.3704545454545</v>
      </c>
      <c r="C35" s="2">
        <f>Ammonia!E35</f>
        <v>1155.0212927348693</v>
      </c>
      <c r="D35" s="2">
        <f>Ammonia!G35</f>
        <v>1251.8870035197428</v>
      </c>
      <c r="E35" s="2">
        <f>Ammonia!H35</f>
        <v>1751.1466020375274</v>
      </c>
      <c r="F35" s="2">
        <f>Ammonia!I35</f>
        <v>1468.8207880590589</v>
      </c>
      <c r="G35" s="2">
        <f>Ammonia!F35</f>
        <v>770.25397793763284</v>
      </c>
      <c r="H35" s="2">
        <f>Ammonia!U35</f>
        <v>1483.3483068562671</v>
      </c>
      <c r="K35" s="1"/>
      <c r="L35" s="2"/>
      <c r="M35" s="2"/>
      <c r="N35" s="2"/>
      <c r="O35" s="2"/>
      <c r="P35" s="2"/>
      <c r="Q35" s="2"/>
      <c r="R35" s="2"/>
    </row>
    <row r="36" x14ac:dyDescent="0.3">
      <c r="A36" s="1" t="str">
        <f>Ammonia!B36</f>
        <v>Nov '21</v>
      </c>
      <c r="B36" s="2">
        <f>Ammonia!C36</f>
        <v>1234.1118181818183</v>
      </c>
      <c r="C36" s="2">
        <f>Ammonia!E36</f>
        <v>1108.6347640285735</v>
      </c>
      <c r="D36" s="2">
        <f>Ammonia!G36</f>
        <v>1269.1368105194538</v>
      </c>
      <c r="E36" s="2">
        <f>Ammonia!H36</f>
        <v>1768.3964090372383</v>
      </c>
      <c r="F36" s="2">
        <f>Ammonia!I36</f>
        <v>1486.0705950587701</v>
      </c>
      <c r="G36" s="2">
        <f>Ammonia!F36</f>
        <v>787.50378493734377</v>
      </c>
      <c r="H36" s="2">
        <f>Ammonia!U36</f>
        <v>1393.7033546575612</v>
      </c>
      <c r="K36" s="1"/>
      <c r="L36" s="2"/>
      <c r="M36" s="2"/>
      <c r="N36" s="2"/>
      <c r="O36" s="2"/>
      <c r="P36" s="2"/>
      <c r="Q36" s="2"/>
      <c r="R36" s="2"/>
    </row>
    <row r="37" x14ac:dyDescent="0.3">
      <c r="A37" s="1" t="str">
        <f>Ammonia!B37</f>
        <v>Dec '21</v>
      </c>
      <c r="B37" s="2">
        <f>Ammonia!C37</f>
        <v>1699.2495454545456</v>
      </c>
      <c r="C37" s="2">
        <f>Ammonia!E37</f>
        <v>1395.4544161270351</v>
      </c>
      <c r="D37" s="2">
        <f>Ammonia!G37</f>
        <v>1290.1457691399135</v>
      </c>
      <c r="E37" s="2">
        <f>Ammonia!H37</f>
        <v>1789.405367657698</v>
      </c>
      <c r="F37" s="2">
        <f>Ammonia!I37</f>
        <v>1507.0795536792298</v>
      </c>
      <c r="G37" s="2">
        <f>Ammonia!F37</f>
        <v>808.51274355780356</v>
      </c>
      <c r="H37" s="2">
        <f>Ammonia!U37</f>
        <v>1739.1363492125745</v>
      </c>
      <c r="K37" s="1"/>
      <c r="L37" s="2"/>
      <c r="M37" s="2"/>
      <c r="N37" s="2"/>
      <c r="O37" s="2"/>
      <c r="P37" s="2"/>
      <c r="Q37" s="2"/>
      <c r="R37" s="2"/>
    </row>
    <row r="38" x14ac:dyDescent="0.3">
      <c r="A38" s="1" t="str">
        <f>Ammonia!B38</f>
        <v>Jan '22</v>
      </c>
      <c r="B38" s="2">
        <f>Ammonia!C38</f>
        <v>1262.7081818181821</v>
      </c>
      <c r="C38" s="2">
        <f>Ammonia!E38</f>
        <v>1161.2883707235815</v>
      </c>
      <c r="D38" s="2">
        <f>Ammonia!G38</f>
        <v>1448.6762477144371</v>
      </c>
      <c r="E38" s="2">
        <f>Ammonia!H38</f>
        <v>2025.1518434606073</v>
      </c>
      <c r="F38" s="2">
        <f>Ammonia!I38</f>
        <v>1699.161231981232</v>
      </c>
      <c r="G38" s="2">
        <f>Ammonia!F38</f>
        <v>892.55336859950091</v>
      </c>
      <c r="H38" s="2">
        <f>Ammonia!U38</f>
        <v>1479.3265485012566</v>
      </c>
      <c r="K38" s="1"/>
      <c r="L38" s="2"/>
      <c r="M38" s="2"/>
      <c r="N38" s="2"/>
      <c r="O38" s="2"/>
      <c r="P38" s="2"/>
      <c r="Q38" s="2"/>
      <c r="R38" s="2"/>
    </row>
    <row r="39" x14ac:dyDescent="0.3">
      <c r="A39" s="1" t="str">
        <f>Ammonia!B39</f>
        <v>Feb '22</v>
      </c>
      <c r="B39" s="2">
        <f>Ammonia!C39</f>
        <v>1216.6859090909093</v>
      </c>
      <c r="C39" s="2">
        <f>Ammonia!E39</f>
        <v>1100.4830029064969</v>
      </c>
      <c r="D39" s="2">
        <f>Ammonia!G39</f>
        <v>1430.3080931075533</v>
      </c>
      <c r="E39" s="2">
        <f>Ammonia!H39</f>
        <v>2006.783688853724</v>
      </c>
      <c r="F39" s="2">
        <f>Ammonia!I39</f>
        <v>1680.7930773743487</v>
      </c>
      <c r="G39" s="2">
        <f>Ammonia!F39</f>
        <v>874.18521399261726</v>
      </c>
      <c r="H39" s="2">
        <f>Ammonia!U39</f>
        <v>1428.8588014820202</v>
      </c>
      <c r="K39" s="1"/>
      <c r="L39" s="2"/>
      <c r="M39" s="2"/>
      <c r="N39" s="2"/>
      <c r="O39" s="2"/>
      <c r="P39" s="2"/>
      <c r="Q39" s="2"/>
      <c r="R39" s="2"/>
    </row>
    <row r="40" x14ac:dyDescent="0.3">
      <c r="A40" s="1" t="str">
        <f>Ammonia!B40</f>
        <v>Mar '22</v>
      </c>
      <c r="B40" s="2">
        <f>Ammonia!C40</f>
        <v>1894.062272727273</v>
      </c>
      <c r="C40" s="2">
        <f>Ammonia!E40</f>
        <v>1572.3064645957954</v>
      </c>
      <c r="D40" s="2">
        <f>Ammonia!G40</f>
        <v>1488.0956513975138</v>
      </c>
      <c r="E40" s="2">
        <f>Ammonia!H40</f>
        <v>2064.5712471436846</v>
      </c>
      <c r="F40" s="2">
        <f>Ammonia!I40</f>
        <v>1738.5806356643093</v>
      </c>
      <c r="G40" s="2">
        <f>Ammonia!F40</f>
        <v>931.97277228257769</v>
      </c>
      <c r="H40" s="2">
        <f>Ammonia!U40</f>
        <v>1959.1024966372865</v>
      </c>
      <c r="K40" s="1"/>
      <c r="L40" s="2"/>
      <c r="M40" s="2"/>
      <c r="N40" s="2"/>
      <c r="O40" s="2"/>
      <c r="P40" s="2"/>
      <c r="Q40" s="2"/>
      <c r="R40" s="2"/>
    </row>
    <row r="41" x14ac:dyDescent="0.3">
      <c r="A41" s="1" t="str">
        <f>Ammonia!B41</f>
        <v>Apr '22</v>
      </c>
      <c r="B41" s="2">
        <f>Ammonia!C41</f>
        <v>1438.7545454545457</v>
      </c>
      <c r="C41" s="2">
        <f>Ammonia!E41</f>
        <v>1252.2667077671622</v>
      </c>
      <c r="D41" s="2">
        <f>Ammonia!G41</f>
        <v>1447.7975460230873</v>
      </c>
      <c r="E41" s="2">
        <f>Ammonia!H41</f>
        <v>2024.2731417692576</v>
      </c>
      <c r="F41" s="2">
        <f>Ammonia!I41</f>
        <v>1698.2825302898823</v>
      </c>
      <c r="G41" s="2">
        <f>Ammonia!F41</f>
        <v>891.67466690815093</v>
      </c>
      <c r="H41" s="2">
        <f>Ammonia!U41</f>
        <v>1601.2365789503624</v>
      </c>
      <c r="K41" s="1"/>
      <c r="L41" s="2"/>
      <c r="M41" s="2"/>
      <c r="N41" s="2"/>
      <c r="O41" s="2"/>
      <c r="P41" s="2"/>
      <c r="Q41" s="2"/>
      <c r="R41" s="2"/>
    </row>
    <row r="42" x14ac:dyDescent="0.3">
      <c r="A42" s="1" t="str">
        <f>Ammonia!B42</f>
        <v>May '22</v>
      </c>
      <c r="B42" s="2">
        <f>Ammonia!C42</f>
        <v>1303.3686363636366</v>
      </c>
      <c r="C42" s="2">
        <f>Ammonia!E42</f>
        <v>1191.7222975688703</v>
      </c>
      <c r="D42" s="2">
        <f>Ammonia!G42</f>
        <v>1453.2060254174394</v>
      </c>
      <c r="E42" s="2">
        <f>Ammonia!H42</f>
        <v>2029.6816211636096</v>
      </c>
      <c r="F42" s="2">
        <f>Ammonia!I42</f>
        <v>1703.6910096842348</v>
      </c>
      <c r="G42" s="2">
        <f>Ammonia!F42</f>
        <v>897.08314630250322</v>
      </c>
      <c r="H42" s="2">
        <f>Ammonia!U42</f>
        <v>1512.2161602773085</v>
      </c>
      <c r="K42" s="1"/>
      <c r="L42" s="2"/>
      <c r="M42" s="2"/>
      <c r="N42" s="2"/>
      <c r="O42" s="2"/>
      <c r="P42" s="2"/>
      <c r="Q42" s="2"/>
      <c r="R42" s="2"/>
    </row>
    <row r="43" x14ac:dyDescent="0.3">
      <c r="A43" s="1" t="str">
        <f>Ammonia!B43</f>
        <v>Jun '22</v>
      </c>
      <c r="B43" s="2">
        <f>Ammonia!C43</f>
        <v>1499.5218181818184</v>
      </c>
      <c r="C43" s="2">
        <f>Ammonia!E43</f>
        <v>1333.0828562528118</v>
      </c>
      <c r="D43" s="2">
        <f>Ammonia!G43</f>
        <v>1472.3166124694208</v>
      </c>
      <c r="E43" s="2">
        <f>Ammonia!H43</f>
        <v>2048.7922082155915</v>
      </c>
      <c r="F43" s="2">
        <f>Ammonia!I43</f>
        <v>1722.8015967362162</v>
      </c>
      <c r="G43" s="2">
        <f>Ammonia!F43</f>
        <v>916.19373335448483</v>
      </c>
      <c r="H43" s="2">
        <f>Ammonia!U43</f>
        <v>1668.1395732421324</v>
      </c>
      <c r="K43" s="1"/>
      <c r="L43" s="2"/>
      <c r="M43" s="2"/>
      <c r="N43" s="2"/>
      <c r="O43" s="2"/>
      <c r="P43" s="2"/>
      <c r="Q43" s="2"/>
      <c r="R43" s="2"/>
    </row>
    <row r="44" x14ac:dyDescent="0.3">
      <c r="A44" s="1" t="str">
        <f>Ammonia!B44</f>
        <v>Jul '22</v>
      </c>
      <c r="B44" s="2">
        <f>Ammonia!C44</f>
        <v>2293.5177272727274</v>
      </c>
      <c r="C44" s="2">
        <f>Ammonia!E44</f>
        <v>1842.1057984548429</v>
      </c>
      <c r="D44" s="2">
        <f>Ammonia!G44</f>
        <v>1517.9339173872072</v>
      </c>
      <c r="E44" s="2">
        <f>Ammonia!H44</f>
        <v>2094.4095131333779</v>
      </c>
      <c r="F44" s="2">
        <f>Ammonia!I44</f>
        <v>1768.4189016540026</v>
      </c>
      <c r="G44" s="2">
        <f>Ammonia!F44</f>
        <v>961.81103827227116</v>
      </c>
      <c r="H44" s="2">
        <f>Ammonia!U44</f>
        <v>2267.5527589050694</v>
      </c>
      <c r="K44" s="1"/>
      <c r="L44" s="2"/>
      <c r="M44" s="2"/>
      <c r="N44" s="2"/>
      <c r="O44" s="2"/>
      <c r="P44" s="2"/>
      <c r="Q44" s="2"/>
      <c r="R44" s="2"/>
    </row>
    <row r="45" x14ac:dyDescent="0.3">
      <c r="A45" s="1" t="str">
        <f>Ammonia!B45</f>
        <v>Aug '22</v>
      </c>
      <c r="B45" s="2">
        <f>Ammonia!C45</f>
        <v>3129.5145454545459</v>
      </c>
      <c r="C45" s="2">
        <f>Ammonia!E45</f>
        <v>2426.5781664323977</v>
      </c>
      <c r="D45" s="2">
        <f>Ammonia!G45</f>
        <v>1590.3398765423549</v>
      </c>
      <c r="E45" s="2">
        <f>Ammonia!H45</f>
        <v>2166.8154722885251</v>
      </c>
      <c r="F45" s="2">
        <f>Ammonia!I45</f>
        <v>1840.8248608091499</v>
      </c>
      <c r="G45" s="2">
        <f>Ammonia!F45</f>
        <v>1034.2169974274186</v>
      </c>
      <c r="H45" s="2">
        <f>Ammonia!U45</f>
        <v>2923.049372463242</v>
      </c>
      <c r="K45" s="1"/>
      <c r="L45" s="2"/>
      <c r="M45" s="2"/>
      <c r="N45" s="2"/>
      <c r="O45" s="2"/>
      <c r="P45" s="2"/>
      <c r="Q45" s="2"/>
      <c r="R45" s="2"/>
    </row>
    <row r="46" x14ac:dyDescent="0.3">
      <c r="A46" s="1" t="str">
        <f>Ammonia!B46</f>
        <v>Sep '22</v>
      </c>
      <c r="B46" s="2">
        <f>Ammonia!C46</f>
        <v>2640.6954545454546</v>
      </c>
      <c r="C46" s="2">
        <f>Ammonia!E46</f>
        <v>2066.9897389161329</v>
      </c>
      <c r="D46" s="2">
        <f>Ammonia!G46</f>
        <v>1539.0415537377116</v>
      </c>
      <c r="E46" s="2">
        <f>Ammonia!H46</f>
        <v>2115.5171494838823</v>
      </c>
      <c r="F46" s="2">
        <f>Ammonia!I46</f>
        <v>1789.5265380045071</v>
      </c>
      <c r="G46" s="2">
        <f>Ammonia!F46</f>
        <v>982.91867462277548</v>
      </c>
      <c r="H46" s="2">
        <f>Ammonia!U46</f>
        <v>2530.8097477254564</v>
      </c>
      <c r="K46" s="1"/>
      <c r="L46" s="2"/>
      <c r="M46" s="2"/>
      <c r="N46" s="2"/>
      <c r="O46" s="2"/>
      <c r="P46" s="2"/>
      <c r="Q46" s="2"/>
      <c r="R46" s="2"/>
    </row>
    <row r="47" x14ac:dyDescent="0.3">
      <c r="A47" s="1" t="str">
        <f>Ammonia!B47</f>
        <v>Oct '22</v>
      </c>
      <c r="B47" s="2">
        <f>Ammonia!C47</f>
        <v>1743.4845454545457</v>
      </c>
      <c r="C47" s="2">
        <f>Ammonia!E47</f>
        <v>1405.0858349741209</v>
      </c>
      <c r="D47" s="2">
        <f>Ammonia!G47</f>
        <v>1443.9350177327678</v>
      </c>
      <c r="E47" s="2">
        <f>Ammonia!H47</f>
        <v>2020.4106134789381</v>
      </c>
      <c r="F47" s="2">
        <f>Ammonia!I47</f>
        <v>1694.4200019995628</v>
      </c>
      <c r="G47" s="2">
        <f>Ammonia!F47</f>
        <v>887.81213861783158</v>
      </c>
      <c r="H47" s="2">
        <f>Ammonia!U47</f>
        <v>1809.9169829437751</v>
      </c>
    </row>
    <row r="48" x14ac:dyDescent="0.3">
      <c r="A48" s="1" t="str">
        <f>Ammonia!B48</f>
        <v>Nov '22</v>
      </c>
      <c r="B48" s="2">
        <f>Ammonia!C48</f>
        <v>1596.0345454545457</v>
      </c>
      <c r="C48" s="2">
        <f>Ammonia!E48</f>
        <v>1343.9490069742142</v>
      </c>
      <c r="D48" s="2">
        <f>Ammonia!G48</f>
        <v>1452.2380438750965</v>
      </c>
      <c r="E48" s="2">
        <f>Ammonia!H48</f>
        <v>2028.7136396212668</v>
      </c>
      <c r="F48" s="2">
        <f>Ammonia!I48</f>
        <v>1702.723028141892</v>
      </c>
      <c r="G48" s="2">
        <f>Ammonia!F48</f>
        <v>896.11516476016038</v>
      </c>
      <c r="H48" s="2">
        <f>Ammonia!U48</f>
        <v>1715.3766547552655</v>
      </c>
    </row>
  </sheetData>
  <conditionalFormatting sqref="G2:G48">
    <cfRule type="cellIs" dxfId="28" priority="10" operator="lessThan">
      <formula>1.05*C2</formula>
    </cfRule>
  </conditionalFormatting>
  <conditionalFormatting sqref="D2:D48">
    <cfRule type="cellIs" dxfId="27" priority="9" operator="lessThan">
      <formula>1.05*C2</formula>
    </cfRule>
  </conditionalFormatting>
  <conditionalFormatting sqref="E2:E48">
    <cfRule type="cellIs" dxfId="26" priority="8" operator="lessThan">
      <formula>1.05*C2</formula>
    </cfRule>
  </conditionalFormatting>
  <conditionalFormatting sqref="F2:F48">
    <cfRule type="cellIs" dxfId="25" priority="7" operator="lessThan">
      <formula>1.05*C2</formula>
    </cfRule>
  </conditionalFormatting>
  <conditionalFormatting sqref="H2:H48">
    <cfRule type="cellIs" dxfId="24" priority="6" operator="lessThan">
      <formula>1.05*C2</formula>
    </cfRule>
  </conditionalFormatting>
  <conditionalFormatting sqref="Q2:Q46">
    <cfRule type="cellIs" dxfId="23" priority="5" operator="lessThan">
      <formula>1.05*M2</formula>
    </cfRule>
  </conditionalFormatting>
  <conditionalFormatting sqref="N2:N46">
    <cfRule type="cellIs" dxfId="22" priority="4" operator="lessThan">
      <formula>1.05*M2</formula>
    </cfRule>
  </conditionalFormatting>
  <conditionalFormatting sqref="O2:O46">
    <cfRule type="cellIs" dxfId="21" priority="3" operator="lessThan">
      <formula>1.05*M2</formula>
    </cfRule>
  </conditionalFormatting>
  <conditionalFormatting sqref="P2:P46">
    <cfRule type="cellIs" dxfId="20" priority="2" operator="lessThan">
      <formula>1.05*M2</formula>
    </cfRule>
  </conditionalFormatting>
  <conditionalFormatting sqref="R2:R46">
    <cfRule type="cellIs" dxfId="19" priority="1" operator="lessThan">
      <formula>1.05*N2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7052-D8AC-49B9-B3A9-95E5A2092B46}">
  <sheetPr codeName="Sheet3"/>
  <dimension ref="A1:S48"/>
  <sheetViews>
    <sheetView zoomScale="130" zoomScaleNormal="130" workbookViewId="0">
      <pane ySplit="1" topLeftCell="A2" activePane="bottomLeft" state="frozen"/>
      <selection pane="bottomLeft" activeCell="G23" sqref="G23"/>
    </sheetView>
  </sheetViews>
  <sheetFormatPr defaultRowHeight="14.4" x14ac:dyDescent="0.3"/>
  <cols>
    <col min="5" max="5" width="11.7109375" customWidth="true"/>
    <col min="11" max="14" width="12.6640625" customWidth="true"/>
    <col min="15" max="15" width="15" bestFit="true" customWidth="true"/>
    <col min="16" max="16" width="15" customWidth="true"/>
    <col min="18" max="18" width="8.44140625" bestFit="true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 x14ac:dyDescent="0.3">
      <c r="A1" t="s">
        <v>107</v>
      </c>
      <c r="B1" t="s">
        <v>44</v>
      </c>
      <c r="C1" t="s">
        <v>0</v>
      </c>
      <c r="D1" t="s">
        <v>2</v>
      </c>
      <c r="E1" s="1" t="s">
        <v>15</v>
      </c>
      <c r="F1" s="1" t="s">
        <v>18</v>
      </c>
      <c r="G1" s="1" t="s">
        <v>16</v>
      </c>
      <c r="H1" s="1" t="s">
        <v>19</v>
      </c>
      <c r="I1" s="1" t="s">
        <v>17</v>
      </c>
      <c r="J1" s="1" t="s">
        <v>20</v>
      </c>
      <c r="K1" s="1" t="s">
        <v>21</v>
      </c>
      <c r="L1" s="1" t="s">
        <v>24</v>
      </c>
      <c r="M1" s="1" t="s">
        <v>22</v>
      </c>
      <c r="N1" s="1" t="s">
        <v>25</v>
      </c>
      <c r="O1" s="1" t="s">
        <v>23</v>
      </c>
      <c r="P1" s="1" t="s">
        <v>26</v>
      </c>
      <c r="R1" s="1" t="s">
        <v>3</v>
      </c>
      <c r="S1" s="1" t="s">
        <v>4</v>
      </c>
    </row>
    <row r="2" x14ac:dyDescent="0.3">
      <c r="A2">
        <v>1</v>
      </c>
      <c r="B2" s="1" t="s">
        <v>45</v>
      </c>
      <c r="C2" s="2">
        <f>Ammonia!C2</f>
        <v>326.17727272727274</v>
      </c>
      <c r="D2" s="2">
        <f>Ammonia!E2</f>
        <v>470.06471342283669</v>
      </c>
      <c r="E2" s="0">
        <v>1149.7757569784917</v>
      </c>
      <c r="F2" s="0">
        <v>1721.5815654669013</v>
      </c>
      <c r="G2" s="0">
        <v>1696.8591140243975</v>
      </c>
      <c r="H2" s="0">
        <v>3034.3032084549145</v>
      </c>
      <c r="I2" s="0">
        <v>1207.2206548420422</v>
      </c>
      <c r="J2" s="0">
        <v>1685.4934823918852</v>
      </c>
      <c r="K2">
        <f>(D2-E2)/($S$4-$S$2)</f>
        <v>453.74568995704607</v>
      </c>
      <c r="L2">
        <f>(D2-F2)/($S$4-$S$2)</f>
        <v>835.45851271299387</v>
      </c>
      <c r="M2">
        <f>(D2-G2)/($S$5-$S$2)</f>
        <v>1168.3756196205343</v>
      </c>
      <c r="N2">
        <f>(D2-H2)/($S$5-$S$2)</f>
        <v>2442.1319000305502</v>
      </c>
      <c r="O2">
        <f>(D2-I2)/($S$6-$S$2)</f>
        <v>357.14919642403368</v>
      </c>
      <c r="P2">
        <f>(D2-J2)/($S$6-$S$2)</f>
        <v>588.87052760128324</v>
      </c>
      <c r="R2" s="1" t="s">
        <v>5</v>
      </c>
      <c r="S2" s="25">
        <v>2.19</v>
      </c>
    </row>
    <row r="3" x14ac:dyDescent="0.3">
      <c r="A3">
        <f>A2+1</f>
        <v>2</v>
      </c>
      <c r="B3" s="1" t="s">
        <v>46</v>
      </c>
      <c r="C3" s="2">
        <f>Ammonia!C3</f>
        <v>268.5377272727273</v>
      </c>
      <c r="D3" s="2">
        <f>Ammonia!E3</f>
        <v>433.53111084267863</v>
      </c>
      <c r="E3" s="0">
        <v>1146.6744568913739</v>
      </c>
      <c r="F3" s="0">
        <v>1718.4802653797835</v>
      </c>
      <c r="G3" s="0">
        <v>1693.7578139372799</v>
      </c>
      <c r="H3" s="0">
        <v>3031.2019083677969</v>
      </c>
      <c r="I3" s="0">
        <v>1204.1193547549246</v>
      </c>
      <c r="J3" s="0">
        <v>1682.3921823047674</v>
      </c>
      <c r="K3">
        <f t="shared" ref="K3:K46" si="0">(D3-E3)/($S$4-$S$2)</f>
        <v>476.06364889766041</v>
      </c>
      <c r="L3">
        <f t="shared" ref="L3:L46" si="1">(D3-F3)/($S$4-$S$2)</f>
        <v>857.77647165360816</v>
      </c>
      <c r="M3">
        <f t="shared" ref="M3:M46" si="2">(D3-G3)/($S$5-$S$2)</f>
        <v>1200.2159077091442</v>
      </c>
      <c r="N3">
        <f t="shared" ref="N3:N46" si="3">(D3-H3)/($S$5-$S$2)</f>
        <v>2473.9721881191604</v>
      </c>
      <c r="O3">
        <f t="shared" ref="O3:O46" si="4">(D3-I3)/($S$6-$S$2)</f>
        <v>373.347017399344</v>
      </c>
      <c r="P3">
        <f t="shared" ref="P3:P46" si="5">(D3-J3)/($S$6-$S$2)</f>
        <v>605.06834857659339</v>
      </c>
      <c r="R3" s="1" t="s">
        <v>9</v>
      </c>
      <c r="S3" s="25">
        <v>-1.1399999999999999</v>
      </c>
    </row>
    <row r="4" x14ac:dyDescent="0.3">
      <c r="A4">
        <f t="shared" ref="A4:A48" si="6">A3+1</f>
        <v>3</v>
      </c>
      <c r="B4" s="1" t="s">
        <v>47</v>
      </c>
      <c r="C4" s="2">
        <f>Ammonia!C4</f>
        <v>231.45181818181817</v>
      </c>
      <c r="D4" s="2">
        <f>Ammonia!E4</f>
        <v>402.58537634098184</v>
      </c>
      <c r="E4" s="0">
        <v>1140.9417506697323</v>
      </c>
      <c r="F4" s="0">
        <v>1712.7475591581417</v>
      </c>
      <c r="G4" s="0">
        <v>1688.0251077156381</v>
      </c>
      <c r="H4" s="0">
        <v>3025.4692021461551</v>
      </c>
      <c r="I4" s="0">
        <v>1198.3866485332828</v>
      </c>
      <c r="J4" s="0">
        <v>1676.6594760831256</v>
      </c>
      <c r="K4">
        <f t="shared" si="0"/>
        <v>492.89477592039418</v>
      </c>
      <c r="L4">
        <f t="shared" si="1"/>
        <v>874.60759867634169</v>
      </c>
      <c r="M4">
        <f t="shared" si="2"/>
        <v>1224.2283155949108</v>
      </c>
      <c r="N4">
        <f t="shared" si="3"/>
        <v>2497.984596004927</v>
      </c>
      <c r="O4">
        <f t="shared" si="4"/>
        <v>385.56263187611484</v>
      </c>
      <c r="P4">
        <f t="shared" si="5"/>
        <v>617.28396305336423</v>
      </c>
      <c r="R4" s="1" t="s">
        <v>1</v>
      </c>
      <c r="S4" s="25">
        <v>0.69199999999999995</v>
      </c>
    </row>
    <row r="5" x14ac:dyDescent="0.3">
      <c r="A5">
        <f t="shared" si="6"/>
        <v>4</v>
      </c>
      <c r="B5" s="1" t="s">
        <v>48</v>
      </c>
      <c r="C5" s="2">
        <f>Ammonia!C5</f>
        <v>219.83454545454546</v>
      </c>
      <c r="D5" s="2">
        <f>Ammonia!E5</f>
        <v>402.41538568466922</v>
      </c>
      <c r="E5" s="0">
        <v>1143.9302762082275</v>
      </c>
      <c r="F5" s="0">
        <v>1715.7360846966369</v>
      </c>
      <c r="G5" s="0">
        <v>1691.0136332541333</v>
      </c>
      <c r="H5" s="0">
        <v>3028.4577276846503</v>
      </c>
      <c r="I5" s="0">
        <v>1201.375174071778</v>
      </c>
      <c r="J5" s="0">
        <v>1679.6480016216208</v>
      </c>
      <c r="K5">
        <f t="shared" si="0"/>
        <v>495.00326470197484</v>
      </c>
      <c r="L5">
        <f t="shared" si="1"/>
        <v>876.71608745792241</v>
      </c>
      <c r="M5">
        <f t="shared" si="2"/>
        <v>1227.2364262566325</v>
      </c>
      <c r="N5">
        <f t="shared" si="3"/>
        <v>2500.9927066666487</v>
      </c>
      <c r="O5">
        <f t="shared" si="4"/>
        <v>387.09292073018838</v>
      </c>
      <c r="P5">
        <f t="shared" si="5"/>
        <v>618.81425190743778</v>
      </c>
      <c r="R5" s="1" t="s">
        <v>10</v>
      </c>
      <c r="S5" s="25">
        <v>1.1399999999999999</v>
      </c>
    </row>
    <row r="6" x14ac:dyDescent="0.3">
      <c r="A6">
        <f t="shared" si="6"/>
        <v>5</v>
      </c>
      <c r="B6" s="1" t="s">
        <v>49</v>
      </c>
      <c r="C6" s="2">
        <f>Ammonia!C6</f>
        <v>193.9190909090909</v>
      </c>
      <c r="D6" s="2">
        <f>Ammonia!E6</f>
        <v>389.56957790199488</v>
      </c>
      <c r="E6" s="0">
        <v>1144.334385007458</v>
      </c>
      <c r="F6" s="0">
        <v>1716.1401934958674</v>
      </c>
      <c r="G6" s="0">
        <v>1691.4177420533638</v>
      </c>
      <c r="H6" s="0">
        <v>3028.8618364838808</v>
      </c>
      <c r="I6" s="0">
        <v>1201.7792828710085</v>
      </c>
      <c r="J6" s="0">
        <v>1680.0521104208512</v>
      </c>
      <c r="K6">
        <f t="shared" si="0"/>
        <v>503.84833585144401</v>
      </c>
      <c r="L6">
        <f t="shared" si="1"/>
        <v>885.56115860739146</v>
      </c>
      <c r="M6">
        <f t="shared" si="2"/>
        <v>1239.8553944298751</v>
      </c>
      <c r="N6">
        <f t="shared" si="3"/>
        <v>2513.6116748398913</v>
      </c>
      <c r="O6">
        <f t="shared" si="4"/>
        <v>393.51245395785543</v>
      </c>
      <c r="P6">
        <f t="shared" si="5"/>
        <v>625.23378513510477</v>
      </c>
      <c r="R6" s="1" t="s">
        <v>11</v>
      </c>
      <c r="S6" s="25">
        <v>0.126</v>
      </c>
    </row>
    <row r="7" x14ac:dyDescent="0.3">
      <c r="A7">
        <f t="shared" si="6"/>
        <v>6</v>
      </c>
      <c r="B7" s="1" t="s">
        <v>50</v>
      </c>
      <c r="C7" s="2">
        <f>Ammonia!C7</f>
        <v>160.40772727272727</v>
      </c>
      <c r="D7" s="2">
        <f>Ammonia!E7</f>
        <v>366.93276892694593</v>
      </c>
      <c r="E7" s="0">
        <v>1141.829850240134</v>
      </c>
      <c r="F7" s="0">
        <v>1713.6356587285436</v>
      </c>
      <c r="G7" s="0">
        <v>1688.91320728604</v>
      </c>
      <c r="H7" s="0">
        <v>3026.3573017165568</v>
      </c>
      <c r="I7" s="0">
        <v>1199.2747481036847</v>
      </c>
      <c r="J7" s="0">
        <v>1677.5475756535275</v>
      </c>
      <c r="K7">
        <f t="shared" si="0"/>
        <v>517.28777123710813</v>
      </c>
      <c r="L7">
        <f t="shared" si="1"/>
        <v>899.00059399305587</v>
      </c>
      <c r="M7">
        <f t="shared" si="2"/>
        <v>1259.0289889134228</v>
      </c>
      <c r="N7">
        <f t="shared" si="3"/>
        <v>2532.785269323439</v>
      </c>
      <c r="O7">
        <f t="shared" si="4"/>
        <v>403.26646277942768</v>
      </c>
      <c r="P7">
        <f t="shared" si="5"/>
        <v>634.98779395667702</v>
      </c>
      <c r="R7" s="1" t="s">
        <v>8</v>
      </c>
      <c r="S7" s="26"/>
    </row>
    <row r="8" x14ac:dyDescent="0.3">
      <c r="A8">
        <f t="shared" si="6"/>
        <v>7</v>
      </c>
      <c r="B8" s="1" t="s">
        <v>51</v>
      </c>
      <c r="C8" s="2">
        <f>Ammonia!C8</f>
        <v>161.74818181818182</v>
      </c>
      <c r="D8" s="2">
        <f>Ammonia!E8</f>
        <v>374.38298210622401</v>
      </c>
      <c r="E8" s="0">
        <v>1145.2177856383339</v>
      </c>
      <c r="F8" s="0">
        <v>1717.0235941267433</v>
      </c>
      <c r="G8" s="0">
        <v>1692.3011426842397</v>
      </c>
      <c r="H8" s="0">
        <v>3029.7452371147569</v>
      </c>
      <c r="I8" s="0">
        <v>1202.6626835018844</v>
      </c>
      <c r="J8" s="0">
        <v>1680.9355110517272</v>
      </c>
      <c r="K8">
        <f t="shared" si="0"/>
        <v>514.57597031516013</v>
      </c>
      <c r="L8">
        <f t="shared" si="1"/>
        <v>896.28879307110765</v>
      </c>
      <c r="M8">
        <f t="shared" si="2"/>
        <v>1255.1601529314435</v>
      </c>
      <c r="N8">
        <f t="shared" si="3"/>
        <v>2528.9164333414597</v>
      </c>
      <c r="O8">
        <f t="shared" si="4"/>
        <v>401.29830493975794</v>
      </c>
      <c r="P8">
        <f t="shared" si="5"/>
        <v>633.01963611700728</v>
      </c>
      <c r="R8" s="1" t="s">
        <v>110</v>
      </c>
      <c r="S8" s="25">
        <v>0.55100000000000005</v>
      </c>
    </row>
    <row r="9" x14ac:dyDescent="0.3">
      <c r="A9">
        <f t="shared" si="6"/>
        <v>8</v>
      </c>
      <c r="B9" s="1" t="s">
        <v>52</v>
      </c>
      <c r="C9" s="2">
        <f>Ammonia!C9</f>
        <v>164.42909090909092</v>
      </c>
      <c r="D9" s="2">
        <f>Ammonia!E9</f>
        <v>373.09179749991341</v>
      </c>
      <c r="E9" s="0">
        <v>1143.8597921153382</v>
      </c>
      <c r="F9" s="0">
        <v>1715.6656006037479</v>
      </c>
      <c r="G9" s="0">
        <v>1690.943149161244</v>
      </c>
      <c r="H9" s="0">
        <v>3028.387243591761</v>
      </c>
      <c r="I9" s="0">
        <v>1201.3046899788887</v>
      </c>
      <c r="J9" s="0">
        <v>1679.5775175287317</v>
      </c>
      <c r="K9">
        <f t="shared" si="0"/>
        <v>514.53137157237973</v>
      </c>
      <c r="L9">
        <f t="shared" si="1"/>
        <v>896.24419432832747</v>
      </c>
      <c r="M9">
        <f t="shared" si="2"/>
        <v>1255.0965253917434</v>
      </c>
      <c r="N9">
        <f t="shared" si="3"/>
        <v>2528.8528058017596</v>
      </c>
      <c r="O9">
        <f t="shared" si="4"/>
        <v>401.26593627857335</v>
      </c>
      <c r="P9">
        <f t="shared" si="5"/>
        <v>632.9872674558228</v>
      </c>
    </row>
    <row r="10" x14ac:dyDescent="0.3">
      <c r="A10">
        <f t="shared" si="6"/>
        <v>9</v>
      </c>
      <c r="B10" s="1" t="s">
        <v>53</v>
      </c>
      <c r="C10" s="2">
        <f>Ammonia!C10</f>
        <v>188.11045454545456</v>
      </c>
      <c r="D10" s="2">
        <f>Ammonia!E10</f>
        <v>384.58313592705053</v>
      </c>
      <c r="E10" s="0">
        <v>1143.3664034651151</v>
      </c>
      <c r="F10" s="0">
        <v>1715.1722119535245</v>
      </c>
      <c r="G10" s="0">
        <v>1690.4497605110209</v>
      </c>
      <c r="H10" s="0">
        <v>3027.8938549415379</v>
      </c>
      <c r="I10" s="0">
        <v>1200.8113013286656</v>
      </c>
      <c r="J10" s="0">
        <v>1679.0841288785086</v>
      </c>
      <c r="K10">
        <f t="shared" si="0"/>
        <v>506.53088620698571</v>
      </c>
      <c r="L10">
        <f t="shared" si="1"/>
        <v>888.24370896293328</v>
      </c>
      <c r="M10">
        <f t="shared" si="2"/>
        <v>1243.6824996037813</v>
      </c>
      <c r="N10">
        <f t="shared" si="3"/>
        <v>2517.4387800137974</v>
      </c>
      <c r="O10">
        <f t="shared" si="4"/>
        <v>395.4593824620228</v>
      </c>
      <c r="P10">
        <f t="shared" si="5"/>
        <v>627.18071363927231</v>
      </c>
    </row>
    <row r="11" x14ac:dyDescent="0.3">
      <c r="A11">
        <f t="shared" si="6"/>
        <v>10</v>
      </c>
      <c r="B11" s="1" t="s">
        <v>54</v>
      </c>
      <c r="C11" s="2">
        <f>Ammonia!C11</f>
        <v>226.08999999999997</v>
      </c>
      <c r="D11" s="2">
        <f>Ammonia!E11</f>
        <v>405.69156427921394</v>
      </c>
      <c r="E11" s="0">
        <v>1143.9208783291756</v>
      </c>
      <c r="F11" s="0">
        <v>1715.726686817585</v>
      </c>
      <c r="G11" s="0">
        <v>1691.0042353750814</v>
      </c>
      <c r="H11" s="0">
        <v>3028.4483298055984</v>
      </c>
      <c r="I11" s="0">
        <v>1201.3657761927261</v>
      </c>
      <c r="J11" s="0">
        <v>1679.6386037425689</v>
      </c>
      <c r="K11">
        <f t="shared" si="0"/>
        <v>492.80995597460725</v>
      </c>
      <c r="L11">
        <f t="shared" si="1"/>
        <v>874.52277873055482</v>
      </c>
      <c r="M11">
        <f t="shared" si="2"/>
        <v>1224.1073058055881</v>
      </c>
      <c r="N11">
        <f t="shared" si="3"/>
        <v>2497.8635862156043</v>
      </c>
      <c r="O11">
        <f t="shared" si="4"/>
        <v>385.50107166352331</v>
      </c>
      <c r="P11">
        <f t="shared" si="5"/>
        <v>617.2224028407727</v>
      </c>
    </row>
    <row r="12" x14ac:dyDescent="0.3">
      <c r="A12">
        <f t="shared" si="6"/>
        <v>11</v>
      </c>
      <c r="B12" s="1" t="s">
        <v>55</v>
      </c>
      <c r="C12" s="2">
        <f>Ammonia!C12</f>
        <v>230.11136363636368</v>
      </c>
      <c r="D12" s="2">
        <f>Ammonia!E12</f>
        <v>411.59803739519049</v>
      </c>
      <c r="E12" s="0">
        <v>1145.8239488371796</v>
      </c>
      <c r="F12" s="0">
        <v>1717.629757325589</v>
      </c>
      <c r="G12" s="0">
        <v>1692.9073058830854</v>
      </c>
      <c r="H12" s="0">
        <v>3030.3514003136024</v>
      </c>
      <c r="I12" s="0">
        <v>1203.2688467007301</v>
      </c>
      <c r="J12" s="0">
        <v>1681.5416742505731</v>
      </c>
      <c r="K12">
        <f t="shared" si="0"/>
        <v>490.13745757142135</v>
      </c>
      <c r="L12">
        <f t="shared" si="1"/>
        <v>871.85028032736886</v>
      </c>
      <c r="M12">
        <f t="shared" si="2"/>
        <v>1220.2945414170429</v>
      </c>
      <c r="N12">
        <f t="shared" si="3"/>
        <v>2494.0508218270588</v>
      </c>
      <c r="O12">
        <f t="shared" si="4"/>
        <v>383.56143861702503</v>
      </c>
      <c r="P12">
        <f t="shared" si="5"/>
        <v>615.2827697942746</v>
      </c>
    </row>
    <row r="13" x14ac:dyDescent="0.3">
      <c r="A13">
        <f t="shared" si="6"/>
        <v>12</v>
      </c>
      <c r="B13" s="1" t="s">
        <v>56</v>
      </c>
      <c r="C13" s="2">
        <f>Ammonia!C13</f>
        <v>206.43</v>
      </c>
      <c r="D13" s="2">
        <f>Ammonia!E13</f>
        <v>390.67796190705644</v>
      </c>
      <c r="E13" s="0">
        <v>1141.5808064452592</v>
      </c>
      <c r="F13" s="0">
        <v>1713.3866149336689</v>
      </c>
      <c r="G13" s="0">
        <v>1688.6641634911653</v>
      </c>
      <c r="H13" s="0">
        <v>3026.1082579216823</v>
      </c>
      <c r="I13" s="0">
        <v>1199.02570430881</v>
      </c>
      <c r="J13" s="0">
        <v>1677.2985318586527</v>
      </c>
      <c r="K13">
        <f t="shared" si="0"/>
        <v>501.27025670106997</v>
      </c>
      <c r="L13">
        <f t="shared" si="1"/>
        <v>882.98307945701765</v>
      </c>
      <c r="M13">
        <f t="shared" si="2"/>
        <v>1236.1773348420083</v>
      </c>
      <c r="N13">
        <f t="shared" si="3"/>
        <v>2509.9336152520245</v>
      </c>
      <c r="O13">
        <f t="shared" si="4"/>
        <v>391.64134806286506</v>
      </c>
      <c r="P13">
        <f t="shared" si="5"/>
        <v>623.3626792401144</v>
      </c>
    </row>
    <row r="14" x14ac:dyDescent="0.3">
      <c r="A14">
        <f t="shared" si="6"/>
        <v>13</v>
      </c>
      <c r="B14" s="1" t="s">
        <v>57</v>
      </c>
      <c r="C14" s="2">
        <f>Ammonia!C14</f>
        <v>162.19499999999999</v>
      </c>
      <c r="D14" s="2">
        <f>Ammonia!E14</f>
        <v>365.50573995355796</v>
      </c>
      <c r="E14" s="0">
        <v>1113.532049514032</v>
      </c>
      <c r="F14" s="0">
        <v>1404.2807656945793</v>
      </c>
      <c r="G14" s="0">
        <v>1637.0911922507846</v>
      </c>
      <c r="H14" s="0">
        <v>2838.8525524637125</v>
      </c>
      <c r="I14" s="0">
        <v>994.95943671531052</v>
      </c>
      <c r="J14" s="0">
        <v>1576.4568690764052</v>
      </c>
      <c r="K14">
        <f t="shared" si="0"/>
        <v>499.35000638215888</v>
      </c>
      <c r="L14">
        <f t="shared" si="1"/>
        <v>693.4412721902678</v>
      </c>
      <c r="M14">
        <f t="shared" si="2"/>
        <v>1211.0337640925968</v>
      </c>
      <c r="N14">
        <f t="shared" si="3"/>
        <v>2355.5683928668136</v>
      </c>
      <c r="O14">
        <f t="shared" si="4"/>
        <v>304.96787633805837</v>
      </c>
      <c r="P14">
        <f t="shared" si="5"/>
        <v>586.70112845099186</v>
      </c>
    </row>
    <row r="15" x14ac:dyDescent="0.3">
      <c r="A15">
        <f t="shared" si="6"/>
        <v>14</v>
      </c>
      <c r="B15" s="1" t="s">
        <v>58</v>
      </c>
      <c r="C15" s="2">
        <f>Ammonia!C15</f>
        <v>130.02409090909092</v>
      </c>
      <c r="D15" s="2">
        <f>Ammonia!E15</f>
        <v>336.33505496513783</v>
      </c>
      <c r="E15" s="0">
        <v>1107.3905355536335</v>
      </c>
      <c r="F15" s="0">
        <v>1398.1392517341808</v>
      </c>
      <c r="G15" s="0">
        <v>1630.9496782903861</v>
      </c>
      <c r="H15" s="0">
        <v>2832.7110385033147</v>
      </c>
      <c r="I15" s="0">
        <v>988.81792275491227</v>
      </c>
      <c r="J15" s="0">
        <v>1570.3153551160067</v>
      </c>
      <c r="K15">
        <f t="shared" si="0"/>
        <v>514.72328477202655</v>
      </c>
      <c r="L15">
        <f t="shared" si="1"/>
        <v>708.81455058013546</v>
      </c>
      <c r="M15">
        <f t="shared" si="2"/>
        <v>1232.966307928808</v>
      </c>
      <c r="N15">
        <f t="shared" si="3"/>
        <v>2377.5009367030257</v>
      </c>
      <c r="O15">
        <f t="shared" si="4"/>
        <v>316.12542044078219</v>
      </c>
      <c r="P15">
        <f t="shared" si="5"/>
        <v>597.85867255371556</v>
      </c>
    </row>
    <row r="16" x14ac:dyDescent="0.3">
      <c r="A16">
        <f t="shared" si="6"/>
        <v>15</v>
      </c>
      <c r="B16" s="1" t="s">
        <v>59</v>
      </c>
      <c r="C16" s="2">
        <f>Ammonia!C16</f>
        <v>121.53454545454547</v>
      </c>
      <c r="D16" s="2">
        <f>Ammonia!E16</f>
        <v>332.43401166858547</v>
      </c>
      <c r="E16" s="0">
        <v>1107.6771708647157</v>
      </c>
      <c r="F16" s="0">
        <v>1398.4258870452629</v>
      </c>
      <c r="G16" s="0">
        <v>1631.2363136014681</v>
      </c>
      <c r="H16" s="0">
        <v>2832.997673814396</v>
      </c>
      <c r="I16" s="0">
        <v>989.1045580659943</v>
      </c>
      <c r="J16" s="0">
        <v>1570.6019904270888</v>
      </c>
      <c r="K16">
        <f t="shared" si="0"/>
        <v>517.51879786123504</v>
      </c>
      <c r="L16">
        <f t="shared" si="1"/>
        <v>711.61006366934407</v>
      </c>
      <c r="M16">
        <f t="shared" si="2"/>
        <v>1236.9545732694119</v>
      </c>
      <c r="N16">
        <f t="shared" si="3"/>
        <v>2381.4892020436291</v>
      </c>
      <c r="O16">
        <f t="shared" si="4"/>
        <v>318.15433449486858</v>
      </c>
      <c r="P16">
        <f t="shared" si="5"/>
        <v>599.88758660780195</v>
      </c>
    </row>
    <row r="17" x14ac:dyDescent="0.3">
      <c r="A17">
        <f t="shared" si="6"/>
        <v>16</v>
      </c>
      <c r="B17" s="1" t="s">
        <v>60</v>
      </c>
      <c r="C17" s="2">
        <f>Ammonia!C17</f>
        <v>94.725454545454554</v>
      </c>
      <c r="D17" s="2">
        <f>Ammonia!E17</f>
        <v>313.19648344731979</v>
      </c>
      <c r="E17" s="0">
        <v>1105.1068509440288</v>
      </c>
      <c r="F17" s="0">
        <v>1395.8555671245758</v>
      </c>
      <c r="G17" s="0">
        <v>1628.6659936807812</v>
      </c>
      <c r="H17" s="0">
        <v>2830.4273538937096</v>
      </c>
      <c r="I17" s="0">
        <v>986.53423814530743</v>
      </c>
      <c r="J17" s="0">
        <v>1568.0316705064017</v>
      </c>
      <c r="K17">
        <f t="shared" si="0"/>
        <v>528.64510513798996</v>
      </c>
      <c r="L17">
        <f t="shared" si="1"/>
        <v>722.73637094609887</v>
      </c>
      <c r="M17">
        <f t="shared" si="2"/>
        <v>1252.8281049842487</v>
      </c>
      <c r="N17">
        <f t="shared" si="3"/>
        <v>2397.3627337584662</v>
      </c>
      <c r="O17">
        <f t="shared" si="4"/>
        <v>326.22953231491647</v>
      </c>
      <c r="P17">
        <f t="shared" si="5"/>
        <v>607.96278442784967</v>
      </c>
    </row>
    <row r="18" x14ac:dyDescent="0.3">
      <c r="A18">
        <f t="shared" si="6"/>
        <v>17</v>
      </c>
      <c r="B18" s="1" t="s">
        <v>61</v>
      </c>
      <c r="C18" s="2">
        <f>Ammonia!C18</f>
        <v>70.597272727272724</v>
      </c>
      <c r="D18" s="2">
        <f>Ammonia!E18</f>
        <v>301.00210070044625</v>
      </c>
      <c r="E18" s="0">
        <v>1105.3652926179552</v>
      </c>
      <c r="F18" s="0">
        <v>1396.1140087985023</v>
      </c>
      <c r="G18" s="0">
        <v>1628.9244353547076</v>
      </c>
      <c r="H18" s="0">
        <v>2830.685795567636</v>
      </c>
      <c r="I18" s="0">
        <v>986.79267981923385</v>
      </c>
      <c r="J18" s="0">
        <v>1568.2901121803282</v>
      </c>
      <c r="K18">
        <f t="shared" si="0"/>
        <v>536.95807204106075</v>
      </c>
      <c r="L18">
        <f t="shared" si="1"/>
        <v>731.04933784916966</v>
      </c>
      <c r="M18">
        <f t="shared" si="2"/>
        <v>1264.6879377659629</v>
      </c>
      <c r="N18">
        <f t="shared" si="3"/>
        <v>2409.2225665401807</v>
      </c>
      <c r="O18">
        <f t="shared" si="4"/>
        <v>332.26287748003273</v>
      </c>
      <c r="P18">
        <f t="shared" si="5"/>
        <v>613.99612959296599</v>
      </c>
    </row>
    <row r="19" x14ac:dyDescent="0.3">
      <c r="A19">
        <f t="shared" si="6"/>
        <v>18</v>
      </c>
      <c r="B19" s="1" t="s">
        <v>62</v>
      </c>
      <c r="C19" s="2">
        <f>Ammonia!C19</f>
        <v>78.193181818181827</v>
      </c>
      <c r="D19" s="2">
        <f>Ammonia!E19</f>
        <v>313.0754549115544</v>
      </c>
      <c r="E19" s="0">
        <v>1109.420477428838</v>
      </c>
      <c r="F19" s="0">
        <v>1400.1691936093853</v>
      </c>
      <c r="G19" s="0">
        <v>1632.9796201655906</v>
      </c>
      <c r="H19" s="0">
        <v>2834.7409803785185</v>
      </c>
      <c r="I19" s="0">
        <v>990.84786463011665</v>
      </c>
      <c r="J19" s="0">
        <v>1572.3452969912112</v>
      </c>
      <c r="K19">
        <f t="shared" si="0"/>
        <v>531.60548899685159</v>
      </c>
      <c r="L19">
        <f t="shared" si="1"/>
        <v>725.69675480496051</v>
      </c>
      <c r="M19">
        <f t="shared" si="2"/>
        <v>1257.0515859562249</v>
      </c>
      <c r="N19">
        <f t="shared" si="3"/>
        <v>2401.586214730442</v>
      </c>
      <c r="O19">
        <f t="shared" si="4"/>
        <v>328.37810548379952</v>
      </c>
      <c r="P19">
        <f t="shared" si="5"/>
        <v>610.111357596733</v>
      </c>
    </row>
    <row r="20" x14ac:dyDescent="0.3">
      <c r="A20">
        <f t="shared" si="6"/>
        <v>19</v>
      </c>
      <c r="B20" s="1" t="s">
        <v>63</v>
      </c>
      <c r="C20" s="2">
        <f>Ammonia!C20</f>
        <v>80.427272727272737</v>
      </c>
      <c r="D20" s="2">
        <f>Ammonia!E20</f>
        <v>317.84409988937716</v>
      </c>
      <c r="E20" s="0">
        <v>1111.2248702067975</v>
      </c>
      <c r="F20" s="0">
        <v>1401.9735863873445</v>
      </c>
      <c r="G20" s="0">
        <v>1634.7840129435499</v>
      </c>
      <c r="H20" s="0">
        <v>2836.5453731564776</v>
      </c>
      <c r="I20" s="0">
        <v>992.65225740807603</v>
      </c>
      <c r="J20" s="0">
        <v>1574.1496897691704</v>
      </c>
      <c r="K20">
        <f t="shared" si="0"/>
        <v>529.62668245488669</v>
      </c>
      <c r="L20">
        <f t="shared" si="1"/>
        <v>723.71794826299549</v>
      </c>
      <c r="M20">
        <f t="shared" si="2"/>
        <v>1254.2284886230218</v>
      </c>
      <c r="N20">
        <f t="shared" si="3"/>
        <v>2398.7631173972386</v>
      </c>
      <c r="O20">
        <f t="shared" si="4"/>
        <v>326.94193678231534</v>
      </c>
      <c r="P20">
        <f t="shared" si="5"/>
        <v>608.67518889524877</v>
      </c>
    </row>
    <row r="21" x14ac:dyDescent="0.3">
      <c r="A21">
        <f t="shared" si="6"/>
        <v>20</v>
      </c>
      <c r="B21" s="1" t="s">
        <v>64</v>
      </c>
      <c r="C21" s="2">
        <f>Ammonia!C21</f>
        <v>127.78999999999999</v>
      </c>
      <c r="D21" s="2">
        <f>Ammonia!E21</f>
        <v>347.29967956727228</v>
      </c>
      <c r="E21" s="0">
        <v>1113.4897590582987</v>
      </c>
      <c r="F21" s="0">
        <v>1404.2384752388457</v>
      </c>
      <c r="G21" s="0">
        <v>1637.0489017950511</v>
      </c>
      <c r="H21" s="0">
        <v>2838.810262007979</v>
      </c>
      <c r="I21" s="0">
        <v>994.91714625957707</v>
      </c>
      <c r="J21" s="0">
        <v>1576.4145786206716</v>
      </c>
      <c r="K21">
        <f t="shared" si="0"/>
        <v>511.47535346530464</v>
      </c>
      <c r="L21">
        <f t="shared" si="1"/>
        <v>705.56661927341349</v>
      </c>
      <c r="M21">
        <f t="shared" si="2"/>
        <v>1228.3325925978845</v>
      </c>
      <c r="N21">
        <f t="shared" si="3"/>
        <v>2372.8672213721011</v>
      </c>
      <c r="O21">
        <f t="shared" si="4"/>
        <v>313.7681524672019</v>
      </c>
      <c r="P21">
        <f t="shared" si="5"/>
        <v>595.50140458013527</v>
      </c>
    </row>
    <row r="22" x14ac:dyDescent="0.3">
      <c r="A22">
        <f t="shared" si="6"/>
        <v>21</v>
      </c>
      <c r="B22" s="1" t="s">
        <v>65</v>
      </c>
      <c r="C22" s="2">
        <f>Ammonia!C22</f>
        <v>176.49318181818182</v>
      </c>
      <c r="D22" s="2">
        <f>Ammonia!E22</f>
        <v>381.17480694055359</v>
      </c>
      <c r="E22" s="0">
        <v>1117.6201269015964</v>
      </c>
      <c r="F22" s="0">
        <v>1408.3688430821435</v>
      </c>
      <c r="G22" s="0">
        <v>1641.1792696383486</v>
      </c>
      <c r="H22" s="0">
        <v>2842.9406298512768</v>
      </c>
      <c r="I22" s="0">
        <v>999.04751410287486</v>
      </c>
      <c r="J22" s="0">
        <v>1580.5449464639694</v>
      </c>
      <c r="K22">
        <f t="shared" si="0"/>
        <v>491.61903869228496</v>
      </c>
      <c r="L22">
        <f t="shared" si="1"/>
        <v>685.71030450039382</v>
      </c>
      <c r="M22">
        <f t="shared" si="2"/>
        <v>1200.0042501883763</v>
      </c>
      <c r="N22">
        <f t="shared" si="3"/>
        <v>2344.5388789625936</v>
      </c>
      <c r="O22">
        <f t="shared" si="4"/>
        <v>299.3569317646905</v>
      </c>
      <c r="P22">
        <f t="shared" si="5"/>
        <v>581.09018387762387</v>
      </c>
    </row>
    <row r="23" x14ac:dyDescent="0.3">
      <c r="A23">
        <f t="shared" si="6"/>
        <v>22</v>
      </c>
      <c r="B23" s="1" t="s">
        <v>66</v>
      </c>
      <c r="C23" s="2">
        <f>Ammonia!C23</f>
        <v>218.49409090909091</v>
      </c>
      <c r="D23" s="2">
        <f>Ammonia!E23</f>
        <v>394.20561921604428</v>
      </c>
      <c r="E23" s="0">
        <v>1113.0527576823865</v>
      </c>
      <c r="F23" s="0">
        <v>1403.8014738629336</v>
      </c>
      <c r="G23" s="0">
        <v>1636.6119004191389</v>
      </c>
      <c r="H23" s="0">
        <v>2838.3732606320673</v>
      </c>
      <c r="I23" s="0">
        <v>994.48014488366516</v>
      </c>
      <c r="J23" s="0">
        <v>1575.9775772447595</v>
      </c>
      <c r="K23">
        <f t="shared" si="0"/>
        <v>479.87125398287202</v>
      </c>
      <c r="L23">
        <f t="shared" si="1"/>
        <v>673.96251979098088</v>
      </c>
      <c r="M23">
        <f t="shared" si="2"/>
        <v>1183.2440773362807</v>
      </c>
      <c r="N23">
        <f t="shared" si="3"/>
        <v>2327.7787061104978</v>
      </c>
      <c r="O23">
        <f t="shared" si="4"/>
        <v>290.83068104051398</v>
      </c>
      <c r="P23">
        <f t="shared" si="5"/>
        <v>572.56393315344735</v>
      </c>
    </row>
    <row r="24" x14ac:dyDescent="0.3">
      <c r="A24">
        <f t="shared" si="6"/>
        <v>23</v>
      </c>
      <c r="B24" s="1" t="s">
        <v>67</v>
      </c>
      <c r="C24" s="2">
        <f>Ammonia!C24</f>
        <v>216.26000000000002</v>
      </c>
      <c r="D24" s="2">
        <f>Ammonia!E24</f>
        <v>397.55616448519112</v>
      </c>
      <c r="E24" s="0">
        <v>1115.3270444129396</v>
      </c>
      <c r="F24" s="0">
        <v>1406.0757605934866</v>
      </c>
      <c r="G24" s="0">
        <v>1638.886187149692</v>
      </c>
      <c r="H24" s="0">
        <v>2840.6475473626206</v>
      </c>
      <c r="I24" s="0">
        <v>996.75443161421811</v>
      </c>
      <c r="J24" s="0">
        <v>1578.2518639753125</v>
      </c>
      <c r="K24">
        <f t="shared" si="0"/>
        <v>479.15279033895087</v>
      </c>
      <c r="L24">
        <f t="shared" si="1"/>
        <v>673.24405614705972</v>
      </c>
      <c r="M24">
        <f t="shared" si="2"/>
        <v>1182.2190692042864</v>
      </c>
      <c r="N24">
        <f t="shared" si="3"/>
        <v>2326.7536979785041</v>
      </c>
      <c r="O24">
        <f t="shared" si="4"/>
        <v>290.30923795011</v>
      </c>
      <c r="P24">
        <f t="shared" si="5"/>
        <v>572.04249006304326</v>
      </c>
    </row>
    <row r="25" x14ac:dyDescent="0.3">
      <c r="A25">
        <f t="shared" si="6"/>
        <v>24</v>
      </c>
      <c r="B25" s="1" t="s">
        <v>68</v>
      </c>
      <c r="C25" s="2">
        <f>Ammonia!C25</f>
        <v>261.83545454545458</v>
      </c>
      <c r="D25" s="2">
        <f>Ammonia!E25</f>
        <v>426.00487070633528</v>
      </c>
      <c r="E25" s="0">
        <v>1117.5590406877591</v>
      </c>
      <c r="F25" s="0">
        <v>1408.3077568683063</v>
      </c>
      <c r="G25" s="0">
        <v>1641.1181834245117</v>
      </c>
      <c r="H25" s="0">
        <v>2842.8795436374394</v>
      </c>
      <c r="I25" s="0">
        <v>998.9864278890376</v>
      </c>
      <c r="J25" s="0">
        <v>1580.4838602501322</v>
      </c>
      <c r="K25">
        <f t="shared" si="0"/>
        <v>461.65164885275288</v>
      </c>
      <c r="L25">
        <f t="shared" si="1"/>
        <v>655.74291466086186</v>
      </c>
      <c r="M25">
        <f t="shared" si="2"/>
        <v>1157.250774017311</v>
      </c>
      <c r="N25">
        <f t="shared" si="3"/>
        <v>2301.7854027915278</v>
      </c>
      <c r="O25">
        <f t="shared" si="4"/>
        <v>277.60734359627048</v>
      </c>
      <c r="P25">
        <f t="shared" si="5"/>
        <v>559.34059570920397</v>
      </c>
    </row>
    <row r="26" x14ac:dyDescent="0.3">
      <c r="A26">
        <f t="shared" si="6"/>
        <v>25</v>
      </c>
      <c r="B26" s="1" t="s">
        <v>69</v>
      </c>
      <c r="C26" s="2">
        <f>Ammonia!C26</f>
        <v>324.83681818181822</v>
      </c>
      <c r="D26" s="2">
        <f>Ammonia!E26</f>
        <v>514.21616880274019</v>
      </c>
      <c r="E26" s="0">
        <v>1056.0577211692901</v>
      </c>
      <c r="F26" s="0">
        <v>1375.8813089678918</v>
      </c>
      <c r="G26" s="0">
        <v>1526.2424480690192</v>
      </c>
      <c r="H26" s="0">
        <v>2408.1802204833461</v>
      </c>
      <c r="I26" s="0">
        <v>1117.3087840446585</v>
      </c>
      <c r="J26" s="0">
        <v>1807.8634166749287</v>
      </c>
      <c r="K26">
        <f t="shared" si="0"/>
        <v>361.70998155310406</v>
      </c>
      <c r="L26">
        <f t="shared" si="1"/>
        <v>575.21037394202369</v>
      </c>
      <c r="M26">
        <f t="shared" si="2"/>
        <v>963.83455168217051</v>
      </c>
      <c r="N26">
        <f t="shared" si="3"/>
        <v>1803.7752873148627</v>
      </c>
      <c r="O26">
        <f t="shared" si="4"/>
        <v>292.19603451643331</v>
      </c>
      <c r="P26">
        <f t="shared" si="5"/>
        <v>626.76707745745568</v>
      </c>
    </row>
    <row r="27" x14ac:dyDescent="0.3">
      <c r="A27">
        <f t="shared" si="6"/>
        <v>26</v>
      </c>
      <c r="B27" s="1" t="s">
        <v>70</v>
      </c>
      <c r="C27" s="2">
        <f>Ammonia!C27</f>
        <v>275.24000000000007</v>
      </c>
      <c r="D27" s="2">
        <f>Ammonia!E27</f>
        <v>484.27603301005473</v>
      </c>
      <c r="E27" s="0">
        <v>1054.1405538427082</v>
      </c>
      <c r="F27" s="0">
        <v>1373.9641416413099</v>
      </c>
      <c r="G27" s="0">
        <v>1524.3252807424376</v>
      </c>
      <c r="H27" s="0">
        <v>2406.2630531567643</v>
      </c>
      <c r="I27" s="0">
        <v>1115.3916167180766</v>
      </c>
      <c r="J27" s="0">
        <v>1805.946249348347</v>
      </c>
      <c r="K27">
        <f t="shared" si="0"/>
        <v>380.41690309255904</v>
      </c>
      <c r="L27">
        <f t="shared" si="1"/>
        <v>593.91729548147873</v>
      </c>
      <c r="M27">
        <f t="shared" si="2"/>
        <v>990.52309307845974</v>
      </c>
      <c r="N27">
        <f t="shared" si="3"/>
        <v>1830.4638287111518</v>
      </c>
      <c r="O27">
        <f t="shared" si="4"/>
        <v>305.77305412210359</v>
      </c>
      <c r="P27">
        <f t="shared" si="5"/>
        <v>640.34409706312601</v>
      </c>
    </row>
    <row r="28" x14ac:dyDescent="0.3">
      <c r="A28">
        <f t="shared" si="6"/>
        <v>27</v>
      </c>
      <c r="B28" s="1" t="s">
        <v>71</v>
      </c>
      <c r="C28" s="2">
        <f>Ammonia!C28</f>
        <v>273.89954545454549</v>
      </c>
      <c r="D28" s="2">
        <f>Ammonia!E28</f>
        <v>482.13883833340185</v>
      </c>
      <c r="E28" s="0">
        <v>1053.4216160952399</v>
      </c>
      <c r="F28" s="0">
        <v>1373.2452038938416</v>
      </c>
      <c r="G28" s="0">
        <v>1523.6063429949693</v>
      </c>
      <c r="H28" s="0">
        <v>2405.544115409296</v>
      </c>
      <c r="I28" s="0">
        <v>1114.6726789706083</v>
      </c>
      <c r="J28" s="0">
        <v>1805.2273116008787</v>
      </c>
      <c r="K28">
        <f t="shared" si="0"/>
        <v>381.36367006798264</v>
      </c>
      <c r="L28">
        <f t="shared" si="1"/>
        <v>594.86406245690239</v>
      </c>
      <c r="M28">
        <f t="shared" si="2"/>
        <v>991.87381396339765</v>
      </c>
      <c r="N28">
        <f t="shared" si="3"/>
        <v>1831.8145495960894</v>
      </c>
      <c r="O28">
        <f t="shared" si="4"/>
        <v>306.46019410717366</v>
      </c>
      <c r="P28">
        <f t="shared" si="5"/>
        <v>641.03123704819609</v>
      </c>
    </row>
    <row r="29" x14ac:dyDescent="0.3">
      <c r="A29">
        <f t="shared" si="6"/>
        <v>28</v>
      </c>
      <c r="B29" s="1" t="s">
        <v>72</v>
      </c>
      <c r="C29" s="2">
        <f>Ammonia!C29</f>
        <v>319.47500000000002</v>
      </c>
      <c r="D29" s="2">
        <f>Ammonia!E29</f>
        <v>512.20577026045123</v>
      </c>
      <c r="E29" s="0">
        <v>1056.4665289080465</v>
      </c>
      <c r="F29" s="0">
        <v>1376.2901167066482</v>
      </c>
      <c r="G29" s="0">
        <v>1526.6512558077757</v>
      </c>
      <c r="H29" s="0">
        <v>2408.5890282221026</v>
      </c>
      <c r="I29" s="0">
        <v>1117.7175917834149</v>
      </c>
      <c r="J29" s="0">
        <v>1808.2722244136851</v>
      </c>
      <c r="K29">
        <f t="shared" si="0"/>
        <v>363.32493901708631</v>
      </c>
      <c r="L29">
        <f t="shared" si="1"/>
        <v>576.82533140600594</v>
      </c>
      <c r="M29">
        <f t="shared" si="2"/>
        <v>966.13855766411848</v>
      </c>
      <c r="N29">
        <f t="shared" si="3"/>
        <v>1806.0792932968109</v>
      </c>
      <c r="O29">
        <f t="shared" si="4"/>
        <v>293.36813058283127</v>
      </c>
      <c r="P29">
        <f t="shared" si="5"/>
        <v>627.93917352385358</v>
      </c>
    </row>
    <row r="30" x14ac:dyDescent="0.3">
      <c r="A30">
        <f t="shared" si="6"/>
        <v>29</v>
      </c>
      <c r="B30" s="1" t="s">
        <v>73</v>
      </c>
      <c r="C30" s="2">
        <f>Ammonia!C30</f>
        <v>398.11500000000001</v>
      </c>
      <c r="D30" s="2">
        <f>Ammonia!E30</f>
        <v>553.31852047475718</v>
      </c>
      <c r="E30" s="0">
        <v>1056.3114639036905</v>
      </c>
      <c r="F30" s="0">
        <v>1376.1350517022925</v>
      </c>
      <c r="G30" s="0">
        <v>1526.4961908034199</v>
      </c>
      <c r="H30" s="0">
        <v>2408.4339632177466</v>
      </c>
      <c r="I30" s="0">
        <v>1117.562526779059</v>
      </c>
      <c r="J30" s="0">
        <v>1808.1171594093294</v>
      </c>
      <c r="K30">
        <f t="shared" si="0"/>
        <v>335.77633072692481</v>
      </c>
      <c r="L30">
        <f t="shared" si="1"/>
        <v>549.27672311584467</v>
      </c>
      <c r="M30">
        <f t="shared" si="2"/>
        <v>926.83587650348829</v>
      </c>
      <c r="N30">
        <f t="shared" si="3"/>
        <v>1766.7766121361803</v>
      </c>
      <c r="O30">
        <f t="shared" si="4"/>
        <v>273.37403406216174</v>
      </c>
      <c r="P30">
        <f t="shared" si="5"/>
        <v>607.94507700318422</v>
      </c>
    </row>
    <row r="31" x14ac:dyDescent="0.3">
      <c r="A31">
        <f t="shared" si="6"/>
        <v>30</v>
      </c>
      <c r="B31" s="1" t="s">
        <v>74</v>
      </c>
      <c r="C31" s="2">
        <f>Ammonia!C31</f>
        <v>460.22272727272735</v>
      </c>
      <c r="D31" s="2">
        <f>Ammonia!E31</f>
        <v>605.48815960160255</v>
      </c>
      <c r="E31" s="0">
        <v>1066.0852581176373</v>
      </c>
      <c r="F31" s="0">
        <v>1385.9088459162392</v>
      </c>
      <c r="G31" s="0">
        <v>1536.2699850173667</v>
      </c>
      <c r="H31" s="0">
        <v>2418.2077574316936</v>
      </c>
      <c r="I31" s="0">
        <v>1127.3363209930058</v>
      </c>
      <c r="J31" s="0">
        <v>1817.8909536232761</v>
      </c>
      <c r="K31">
        <f t="shared" si="0"/>
        <v>307.47469860883496</v>
      </c>
      <c r="L31">
        <f t="shared" si="1"/>
        <v>520.97509099775482</v>
      </c>
      <c r="M31">
        <f t="shared" si="2"/>
        <v>886.45888134834684</v>
      </c>
      <c r="N31">
        <f t="shared" si="3"/>
        <v>1726.3996169810391</v>
      </c>
      <c r="O31">
        <f t="shared" si="4"/>
        <v>252.83341152684264</v>
      </c>
      <c r="P31">
        <f t="shared" si="5"/>
        <v>587.40445446786509</v>
      </c>
    </row>
    <row r="32" x14ac:dyDescent="0.3">
      <c r="A32">
        <f t="shared" si="6"/>
        <v>31</v>
      </c>
      <c r="B32" s="1" t="s">
        <v>75</v>
      </c>
      <c r="C32" s="2">
        <f>Ammonia!C32</f>
        <v>558.96954545454548</v>
      </c>
      <c r="D32" s="2">
        <f>Ammonia!E32</f>
        <v>664.19769157651308</v>
      </c>
      <c r="E32" s="0">
        <v>1069.4496988182075</v>
      </c>
      <c r="F32" s="0">
        <v>1389.2732866168094</v>
      </c>
      <c r="G32" s="0">
        <v>1539.6344257179369</v>
      </c>
      <c r="H32" s="0">
        <v>2421.5721981322636</v>
      </c>
      <c r="I32" s="0">
        <v>1130.7007616935759</v>
      </c>
      <c r="J32" s="0">
        <v>1821.2553943238463</v>
      </c>
      <c r="K32">
        <f t="shared" si="0"/>
        <v>270.52870977416183</v>
      </c>
      <c r="L32">
        <f t="shared" si="1"/>
        <v>484.02910216308163</v>
      </c>
      <c r="M32">
        <f t="shared" si="2"/>
        <v>833.74927061087976</v>
      </c>
      <c r="N32">
        <f t="shared" si="3"/>
        <v>1673.6900062435718</v>
      </c>
      <c r="O32">
        <f t="shared" si="4"/>
        <v>226.01892932028238</v>
      </c>
      <c r="P32">
        <f t="shared" si="5"/>
        <v>560.58997226130487</v>
      </c>
    </row>
    <row r="33" x14ac:dyDescent="0.3">
      <c r="A33">
        <f t="shared" si="6"/>
        <v>32</v>
      </c>
      <c r="B33" s="1" t="s">
        <v>76</v>
      </c>
      <c r="C33" s="2">
        <f>Ammonia!C33</f>
        <v>689.4404545454546</v>
      </c>
      <c r="D33" s="2">
        <f>Ammonia!E33</f>
        <v>734.34140173193737</v>
      </c>
      <c r="E33" s="0">
        <v>1070.1639376261498</v>
      </c>
      <c r="F33" s="0">
        <v>1389.9875254247513</v>
      </c>
      <c r="G33" s="0">
        <v>1540.348664525879</v>
      </c>
      <c r="H33" s="0">
        <v>2422.2864369402059</v>
      </c>
      <c r="I33" s="0">
        <v>1131.4150005015183</v>
      </c>
      <c r="J33" s="0">
        <v>1821.9696331317884</v>
      </c>
      <c r="K33">
        <f t="shared" si="0"/>
        <v>224.18059806022194</v>
      </c>
      <c r="L33">
        <f t="shared" si="1"/>
        <v>437.68099044914146</v>
      </c>
      <c r="M33">
        <f t="shared" si="2"/>
        <v>767.62596456565871</v>
      </c>
      <c r="N33">
        <f t="shared" si="3"/>
        <v>1607.5667001983509</v>
      </c>
      <c r="O33">
        <f t="shared" si="4"/>
        <v>192.38061955890549</v>
      </c>
      <c r="P33">
        <f t="shared" si="5"/>
        <v>526.95166249992781</v>
      </c>
    </row>
    <row r="34" x14ac:dyDescent="0.3">
      <c r="A34">
        <f t="shared" si="6"/>
        <v>33</v>
      </c>
      <c r="B34" s="1" t="s">
        <v>77</v>
      </c>
      <c r="C34" s="2">
        <f>Ammonia!C34</f>
        <v>1020.5327272727274</v>
      </c>
      <c r="D34" s="2">
        <f>Ammonia!E34</f>
        <v>951.32336540346387</v>
      </c>
      <c r="E34" s="0">
        <v>1091.5582092877362</v>
      </c>
      <c r="F34" s="0">
        <v>1411.3817970863379</v>
      </c>
      <c r="G34" s="0">
        <v>1561.7429361874656</v>
      </c>
      <c r="H34" s="0">
        <v>2443.680708601792</v>
      </c>
      <c r="I34" s="0">
        <v>1152.8092721631047</v>
      </c>
      <c r="J34" s="0">
        <v>1843.363904793375</v>
      </c>
      <c r="K34">
        <f t="shared" si="0"/>
        <v>93.614715543572984</v>
      </c>
      <c r="L34">
        <f t="shared" si="1"/>
        <v>307.11510793249266</v>
      </c>
      <c r="M34">
        <f t="shared" si="2"/>
        <v>581.35197217523967</v>
      </c>
      <c r="N34">
        <f t="shared" si="3"/>
        <v>1421.2927078079315</v>
      </c>
      <c r="O34">
        <f t="shared" si="4"/>
        <v>97.619140871918987</v>
      </c>
      <c r="P34">
        <f t="shared" si="5"/>
        <v>432.19018381294143</v>
      </c>
    </row>
    <row r="35" x14ac:dyDescent="0.3">
      <c r="A35">
        <f t="shared" si="6"/>
        <v>34</v>
      </c>
      <c r="B35" s="1" t="s">
        <v>78</v>
      </c>
      <c r="C35" s="2">
        <f>Ammonia!C35</f>
        <v>1387.3704545454545</v>
      </c>
      <c r="D35" s="2">
        <f>Ammonia!E35</f>
        <v>1155.0212927348693</v>
      </c>
      <c r="E35" s="0">
        <v>1096.8210215567844</v>
      </c>
      <c r="F35" s="0">
        <v>1416.6446093553861</v>
      </c>
      <c r="G35" s="0">
        <v>1567.0057484565139</v>
      </c>
      <c r="H35" s="0">
        <v>2448.9435208708405</v>
      </c>
      <c r="I35" s="0">
        <v>1158.0720844321529</v>
      </c>
      <c r="J35" s="0">
        <v>1848.6267170624233</v>
      </c>
      <c r="K35">
        <f t="shared" si="0"/>
        <v>-38.851983429963219</v>
      </c>
      <c r="L35">
        <f t="shared" si="1"/>
        <v>174.64840895895648</v>
      </c>
      <c r="M35">
        <f t="shared" si="2"/>
        <v>392.36614830632811</v>
      </c>
      <c r="N35">
        <f t="shared" si="3"/>
        <v>1232.3068839390201</v>
      </c>
      <c r="O35">
        <f t="shared" si="4"/>
        <v>1.4780967525598629</v>
      </c>
      <c r="P35">
        <f t="shared" si="5"/>
        <v>336.04913969358233</v>
      </c>
    </row>
    <row r="36" x14ac:dyDescent="0.3">
      <c r="A36">
        <f t="shared" si="6"/>
        <v>35</v>
      </c>
      <c r="B36" s="1" t="s">
        <v>79</v>
      </c>
      <c r="C36" s="2">
        <f>Ammonia!C36</f>
        <v>1234.1118181818183</v>
      </c>
      <c r="D36" s="2">
        <f>Ammonia!E36</f>
        <v>1108.6347640285735</v>
      </c>
      <c r="E36" s="0">
        <v>1114.0708285564954</v>
      </c>
      <c r="F36" s="0">
        <v>1433.8944163550973</v>
      </c>
      <c r="G36" s="0">
        <v>1584.2555554562248</v>
      </c>
      <c r="H36" s="0">
        <v>2466.1933278705515</v>
      </c>
      <c r="I36" s="0">
        <v>1175.3218914318638</v>
      </c>
      <c r="J36" s="0">
        <v>1865.8765240621342</v>
      </c>
      <c r="K36">
        <f t="shared" si="0"/>
        <v>3.6288815273176711</v>
      </c>
      <c r="L36">
        <f t="shared" si="1"/>
        <v>217.12927391623751</v>
      </c>
      <c r="M36">
        <f t="shared" si="2"/>
        <v>452.9721823120488</v>
      </c>
      <c r="N36">
        <f t="shared" si="3"/>
        <v>1292.9129179447409</v>
      </c>
      <c r="O36">
        <f t="shared" si="4"/>
        <v>32.309654749656168</v>
      </c>
      <c r="P36">
        <f t="shared" si="5"/>
        <v>366.88069769067863</v>
      </c>
    </row>
    <row r="37" x14ac:dyDescent="0.3">
      <c r="A37">
        <f t="shared" si="6"/>
        <v>36</v>
      </c>
      <c r="B37" s="1" t="s">
        <v>80</v>
      </c>
      <c r="C37" s="2">
        <f>Ammonia!C37</f>
        <v>1699.2495454545456</v>
      </c>
      <c r="D37" s="2">
        <f>Ammonia!E37</f>
        <v>1395.4544161270351</v>
      </c>
      <c r="E37" s="0">
        <v>1135.0797871769553</v>
      </c>
      <c r="F37" s="0">
        <v>1454.903374975557</v>
      </c>
      <c r="G37" s="0">
        <v>1605.2645140766845</v>
      </c>
      <c r="H37" s="0">
        <v>2487.2022864910114</v>
      </c>
      <c r="I37" s="0">
        <v>1196.3308500523237</v>
      </c>
      <c r="J37" s="0">
        <v>1886.8854826825939</v>
      </c>
      <c r="K37">
        <f t="shared" si="0"/>
        <v>-173.81483908550052</v>
      </c>
      <c r="L37">
        <f t="shared" si="1"/>
        <v>39.685553303419155</v>
      </c>
      <c r="M37">
        <f t="shared" si="2"/>
        <v>199.81914090442797</v>
      </c>
      <c r="N37">
        <f t="shared" si="3"/>
        <v>1039.7598765371201</v>
      </c>
      <c r="O37">
        <f t="shared" si="4"/>
        <v>-96.474595966429902</v>
      </c>
      <c r="P37">
        <f t="shared" si="5"/>
        <v>238.09644697459242</v>
      </c>
    </row>
    <row r="38" x14ac:dyDescent="0.3">
      <c r="A38">
        <f t="shared" si="6"/>
        <v>37</v>
      </c>
      <c r="B38" s="1" t="s">
        <v>81</v>
      </c>
      <c r="C38" s="2">
        <f>Ammonia!C38</f>
        <v>1262.7081818181821</v>
      </c>
      <c r="D38" s="2">
        <f>Ammonia!E38</f>
        <v>1161.2883707235815</v>
      </c>
      <c r="E38" s="0">
        <v>1269.6276032868686</v>
      </c>
      <c r="F38" s="0">
        <v>1638.9154324187289</v>
      </c>
      <c r="G38" s="0">
        <v>1812.5315782028702</v>
      </c>
      <c r="H38" s="0">
        <v>2830.8707433846662</v>
      </c>
      <c r="I38" s="0">
        <v>1340.3518178357581</v>
      </c>
      <c r="J38" s="0">
        <v>2137.7083322075741</v>
      </c>
      <c r="K38">
        <f t="shared" si="0"/>
        <v>72.322585155732426</v>
      </c>
      <c r="L38">
        <f t="shared" si="1"/>
        <v>318.8431653505657</v>
      </c>
      <c r="M38">
        <f t="shared" si="2"/>
        <v>620.23162617075116</v>
      </c>
      <c r="N38">
        <f t="shared" si="3"/>
        <v>1590.078450153414</v>
      </c>
      <c r="O38">
        <f t="shared" si="4"/>
        <v>86.755546081480915</v>
      </c>
      <c r="P38">
        <f t="shared" si="5"/>
        <v>473.07168676550032</v>
      </c>
    </row>
    <row r="39" x14ac:dyDescent="0.3">
      <c r="A39">
        <f t="shared" si="6"/>
        <v>38</v>
      </c>
      <c r="B39" s="1" t="s">
        <v>82</v>
      </c>
      <c r="C39" s="2">
        <f>Ammonia!C39</f>
        <v>1216.6859090909093</v>
      </c>
      <c r="D39" s="2">
        <f>Ammonia!E39</f>
        <v>1100.4830029064969</v>
      </c>
      <c r="E39" s="0">
        <v>1251.2594486799851</v>
      </c>
      <c r="F39" s="0">
        <v>1620.5472778118451</v>
      </c>
      <c r="G39" s="0">
        <v>1794.1634235959864</v>
      </c>
      <c r="H39" s="0">
        <v>2812.5025887777824</v>
      </c>
      <c r="I39" s="0">
        <v>1321.9836632288748</v>
      </c>
      <c r="J39" s="0">
        <v>2119.3401776006908</v>
      </c>
      <c r="K39">
        <f t="shared" si="0"/>
        <v>100.6518329596049</v>
      </c>
      <c r="L39">
        <f t="shared" si="1"/>
        <v>347.172413154438</v>
      </c>
      <c r="M39">
        <f t="shared" si="2"/>
        <v>660.64801970427561</v>
      </c>
      <c r="N39">
        <f t="shared" si="3"/>
        <v>1630.4948436869386</v>
      </c>
      <c r="O39">
        <f t="shared" si="4"/>
        <v>107.31621139650088</v>
      </c>
      <c r="P39">
        <f t="shared" si="5"/>
        <v>493.63235208052026</v>
      </c>
    </row>
    <row r="40" x14ac:dyDescent="0.3">
      <c r="A40">
        <f t="shared" si="6"/>
        <v>39</v>
      </c>
      <c r="B40" s="1" t="s">
        <v>83</v>
      </c>
      <c r="C40" s="2">
        <f>Ammonia!C40</f>
        <v>1894.062272727273</v>
      </c>
      <c r="D40" s="2">
        <f>Ammonia!E40</f>
        <v>1572.3064645957954</v>
      </c>
      <c r="E40" s="0">
        <v>1309.0470069699454</v>
      </c>
      <c r="F40" s="0">
        <v>1678.3348361018056</v>
      </c>
      <c r="G40" s="0">
        <v>1851.9509818859469</v>
      </c>
      <c r="H40" s="0">
        <v>2870.290147067743</v>
      </c>
      <c r="I40" s="0">
        <v>1379.7712215188349</v>
      </c>
      <c r="J40" s="0">
        <v>2177.1277358906514</v>
      </c>
      <c r="K40">
        <f t="shared" si="0"/>
        <v>-175.74062591845797</v>
      </c>
      <c r="L40">
        <f t="shared" si="1"/>
        <v>70.779954276375307</v>
      </c>
      <c r="M40">
        <f t="shared" si="2"/>
        <v>266.32811170490618</v>
      </c>
      <c r="N40">
        <f t="shared" si="3"/>
        <v>1236.1749356875691</v>
      </c>
      <c r="O40">
        <f t="shared" si="4"/>
        <v>-93.282579010155317</v>
      </c>
      <c r="P40">
        <f t="shared" si="5"/>
        <v>293.03356167386431</v>
      </c>
    </row>
    <row r="41" x14ac:dyDescent="0.3">
      <c r="A41">
        <f t="shared" si="6"/>
        <v>40</v>
      </c>
      <c r="B41" s="1" t="s">
        <v>84</v>
      </c>
      <c r="C41" s="2">
        <f>Ammonia!C41</f>
        <v>1438.7545454545457</v>
      </c>
      <c r="D41" s="2">
        <f>Ammonia!E41</f>
        <v>1252.2667077671622</v>
      </c>
      <c r="E41" s="0">
        <v>1268.7489015955189</v>
      </c>
      <c r="F41" s="0">
        <v>1638.0367307273787</v>
      </c>
      <c r="G41" s="0">
        <v>1811.6528765115199</v>
      </c>
      <c r="H41" s="0">
        <v>2829.992041693316</v>
      </c>
      <c r="I41" s="0">
        <v>1339.4731161444083</v>
      </c>
      <c r="J41" s="0">
        <v>2136.8296305162244</v>
      </c>
      <c r="K41">
        <f t="shared" si="0"/>
        <v>11.002799618395651</v>
      </c>
      <c r="L41">
        <f t="shared" si="1"/>
        <v>257.52337981322864</v>
      </c>
      <c r="M41">
        <f t="shared" si="2"/>
        <v>532.74873213748356</v>
      </c>
      <c r="N41">
        <f t="shared" si="3"/>
        <v>1502.5955561201463</v>
      </c>
      <c r="O41">
        <f t="shared" si="4"/>
        <v>42.251166849440956</v>
      </c>
      <c r="P41">
        <f t="shared" si="5"/>
        <v>428.56730753346034</v>
      </c>
    </row>
    <row r="42" x14ac:dyDescent="0.3">
      <c r="A42">
        <f t="shared" si="6"/>
        <v>41</v>
      </c>
      <c r="B42" s="1" t="s">
        <v>85</v>
      </c>
      <c r="C42" s="2">
        <f>Ammonia!C42</f>
        <v>1303.3686363636366</v>
      </c>
      <c r="D42" s="2">
        <f>Ammonia!E42</f>
        <v>1191.7222975688703</v>
      </c>
      <c r="E42" s="0">
        <v>1274.1573809898709</v>
      </c>
      <c r="F42" s="0">
        <v>1643.4452101217312</v>
      </c>
      <c r="G42" s="0">
        <v>1817.0613559058725</v>
      </c>
      <c r="H42" s="0">
        <v>2835.4005210876685</v>
      </c>
      <c r="I42" s="0">
        <v>1344.8815955387604</v>
      </c>
      <c r="J42" s="0">
        <v>2142.2381099105764</v>
      </c>
      <c r="K42">
        <f t="shared" si="0"/>
        <v>55.030095741655963</v>
      </c>
      <c r="L42">
        <f t="shared" si="1"/>
        <v>301.5506759364892</v>
      </c>
      <c r="M42">
        <f t="shared" si="2"/>
        <v>595.56100794000201</v>
      </c>
      <c r="N42">
        <f t="shared" si="3"/>
        <v>1565.4078319226649</v>
      </c>
      <c r="O42">
        <f t="shared" si="4"/>
        <v>74.205086225721928</v>
      </c>
      <c r="P42">
        <f t="shared" si="5"/>
        <v>460.5212269097413</v>
      </c>
    </row>
    <row r="43" x14ac:dyDescent="0.3">
      <c r="A43">
        <f t="shared" si="6"/>
        <v>42</v>
      </c>
      <c r="B43" s="1" t="s">
        <v>86</v>
      </c>
      <c r="C43" s="2">
        <f>Ammonia!C43</f>
        <v>1499.5218181818184</v>
      </c>
      <c r="D43" s="2">
        <f>Ammonia!E43</f>
        <v>1333.0828562528118</v>
      </c>
      <c r="E43" s="0">
        <v>1293.2679680418526</v>
      </c>
      <c r="F43" s="0">
        <v>1662.5557971737126</v>
      </c>
      <c r="G43" s="0">
        <v>1836.1719429578538</v>
      </c>
      <c r="H43" s="0">
        <v>2854.5111081396503</v>
      </c>
      <c r="I43" s="0">
        <v>1363.9921825907422</v>
      </c>
      <c r="J43" s="0">
        <v>2161.3486969625583</v>
      </c>
      <c r="K43">
        <f t="shared" si="0"/>
        <v>-26.578697070066237</v>
      </c>
      <c r="L43">
        <f t="shared" si="1"/>
        <v>219.94188312476689</v>
      </c>
      <c r="M43">
        <f t="shared" si="2"/>
        <v>479.13246352861148</v>
      </c>
      <c r="N43">
        <f t="shared" si="3"/>
        <v>1448.9792875112748</v>
      </c>
      <c r="O43">
        <f t="shared" si="4"/>
        <v>14.975448807136846</v>
      </c>
      <c r="P43">
        <f t="shared" si="5"/>
        <v>401.29158949115623</v>
      </c>
    </row>
    <row r="44" x14ac:dyDescent="0.3">
      <c r="A44">
        <f t="shared" si="6"/>
        <v>43</v>
      </c>
      <c r="B44" s="1" t="s">
        <v>87</v>
      </c>
      <c r="C44" s="2">
        <f>Ammonia!C44</f>
        <v>2293.5177272727274</v>
      </c>
      <c r="D44" s="2">
        <f>Ammonia!E44</f>
        <v>1842.1057984548429</v>
      </c>
      <c r="E44" s="0">
        <v>1338.8852729596392</v>
      </c>
      <c r="F44" s="0">
        <v>1708.173102091499</v>
      </c>
      <c r="G44" s="0">
        <v>1881.7892478756403</v>
      </c>
      <c r="H44" s="0">
        <v>2900.1284130574363</v>
      </c>
      <c r="I44" s="0">
        <v>1409.6094875085287</v>
      </c>
      <c r="J44" s="0">
        <v>2206.9660018803443</v>
      </c>
      <c r="K44">
        <f t="shared" si="0"/>
        <v>-335.92825466969538</v>
      </c>
      <c r="L44">
        <f t="shared" si="1"/>
        <v>-89.407674474862418</v>
      </c>
      <c r="M44">
        <f t="shared" si="2"/>
        <v>37.793761353140368</v>
      </c>
      <c r="N44">
        <f t="shared" si="3"/>
        <v>1007.6405853358032</v>
      </c>
      <c r="O44">
        <f t="shared" si="4"/>
        <v>-209.54278631119874</v>
      </c>
      <c r="P44">
        <f t="shared" si="5"/>
        <v>176.77335437282042</v>
      </c>
    </row>
    <row r="45" x14ac:dyDescent="0.3">
      <c r="A45">
        <f t="shared" si="6"/>
        <v>44</v>
      </c>
      <c r="B45" s="1" t="s">
        <v>88</v>
      </c>
      <c r="C45" s="2">
        <f>Ammonia!C45</f>
        <v>3129.5145454545459</v>
      </c>
      <c r="D45" s="2">
        <f>Ammonia!E45</f>
        <v>2426.5781664323977</v>
      </c>
      <c r="E45" s="0">
        <v>1411.2912321147865</v>
      </c>
      <c r="F45" s="0">
        <v>1780.5790612466467</v>
      </c>
      <c r="G45" s="0">
        <v>1954.1952070307875</v>
      </c>
      <c r="H45" s="0">
        <v>2972.534372212584</v>
      </c>
      <c r="I45" s="0">
        <v>1482.0154466636759</v>
      </c>
      <c r="J45" s="0">
        <v>2279.3719610354919</v>
      </c>
      <c r="K45">
        <f t="shared" si="0"/>
        <v>-677.76163839626918</v>
      </c>
      <c r="L45">
        <f t="shared" si="1"/>
        <v>-431.24105820143592</v>
      </c>
      <c r="M45">
        <f t="shared" si="2"/>
        <v>-449.88853276343821</v>
      </c>
      <c r="N45">
        <f t="shared" si="3"/>
        <v>519.95829121922509</v>
      </c>
      <c r="O45">
        <f t="shared" si="4"/>
        <v>-457.63697663213264</v>
      </c>
      <c r="P45">
        <f t="shared" si="5"/>
        <v>-71.320835948113228</v>
      </c>
    </row>
    <row r="46" x14ac:dyDescent="0.3">
      <c r="A46">
        <f t="shared" si="6"/>
        <v>45</v>
      </c>
      <c r="B46" s="1" t="s">
        <v>89</v>
      </c>
      <c r="C46" s="2">
        <f>Ammonia!C46</f>
        <v>2640.6954545454546</v>
      </c>
      <c r="D46" s="2">
        <f>Ammonia!E46</f>
        <v>2066.9897389161329</v>
      </c>
      <c r="E46" s="0">
        <v>1359.9929093101432</v>
      </c>
      <c r="F46" s="0">
        <v>1729.2807384420034</v>
      </c>
      <c r="G46" s="0">
        <v>1902.8968842261447</v>
      </c>
      <c r="H46" s="0">
        <v>2921.2360494079408</v>
      </c>
      <c r="I46" s="0">
        <v>1430.7171238590327</v>
      </c>
      <c r="J46" s="0">
        <v>2228.0736382308492</v>
      </c>
      <c r="K46">
        <f t="shared" si="0"/>
        <v>-471.96050040453247</v>
      </c>
      <c r="L46">
        <f t="shared" si="1"/>
        <v>-225.43992020969921</v>
      </c>
      <c r="M46">
        <f t="shared" si="2"/>
        <v>-156.27890922856014</v>
      </c>
      <c r="N46">
        <f t="shared" si="3"/>
        <v>813.56791475410273</v>
      </c>
      <c r="O46">
        <f t="shared" si="4"/>
        <v>-308.27161582223846</v>
      </c>
      <c r="P46">
        <f t="shared" si="5"/>
        <v>78.044524861781142</v>
      </c>
    </row>
    <row r="47" x14ac:dyDescent="0.3">
      <c r="A47">
        <f t="shared" si="6"/>
        <v>46</v>
      </c>
      <c r="B47" s="1" t="s">
        <v>175</v>
      </c>
      <c r="C47" s="2">
        <f>Ammonia!C47</f>
        <v>1743.4845454545457</v>
      </c>
      <c r="D47" s="2">
        <f>Ammonia!E47</f>
        <v>1405.0858349741209</v>
      </c>
      <c r="E47" s="0">
        <v>1264.8863733051994</v>
      </c>
      <c r="F47" s="0">
        <v>1634.1742024370592</v>
      </c>
      <c r="G47" s="0">
        <v>1807.7903482212009</v>
      </c>
      <c r="H47" s="0">
        <v>2826.129513402997</v>
      </c>
      <c r="I47" s="0">
        <v>1335.6105878540889</v>
      </c>
      <c r="J47" s="0">
        <v>2132.9671022259049</v>
      </c>
      <c r="K47">
        <f t="shared" ref="K47:K48" si="7">(D47-E47)/($S$4-$S$2)</f>
        <v>-93.591095907157182</v>
      </c>
      <c r="L47">
        <f t="shared" ref="L47:L48" si="8">(D47-F47)/($S$4-$S$2)</f>
        <v>152.92948428767579</v>
      </c>
      <c r="M47">
        <f t="shared" ref="M47:M48" si="9">(D47-G47)/($S$5-$S$2)</f>
        <v>383.52810785436196</v>
      </c>
      <c r="N47">
        <f t="shared" ref="N47:N48" si="10">(D47-H47)/($S$5-$S$2)</f>
        <v>1353.3749318370249</v>
      </c>
      <c r="O47">
        <f t="shared" ref="O47:O48" si="11">(D47-I47)/($S$6-$S$2)</f>
        <v>-33.660487945751939</v>
      </c>
      <c r="P47">
        <f t="shared" ref="P47:P48" si="12">(D47-J47)/($S$6-$S$2)</f>
        <v>352.65565273826746</v>
      </c>
    </row>
    <row r="48" x14ac:dyDescent="0.3">
      <c r="A48">
        <f t="shared" si="6"/>
        <v>47</v>
      </c>
      <c r="B48" s="1" t="s">
        <v>176</v>
      </c>
      <c r="C48" s="2">
        <f>Ammonia!C48</f>
        <v>1596.0345454545457</v>
      </c>
      <c r="D48" s="2">
        <f>Ammonia!E48</f>
        <v>1343.9490069742142</v>
      </c>
      <c r="E48" s="0">
        <v>1273.1893994475281</v>
      </c>
      <c r="F48" s="0">
        <v>1642.4772285793883</v>
      </c>
      <c r="G48" s="0">
        <v>1816.0933743635296</v>
      </c>
      <c r="H48" s="0">
        <v>2834.4325395453257</v>
      </c>
      <c r="I48" s="0">
        <v>1343.9136139964176</v>
      </c>
      <c r="J48" s="0">
        <v>2141.2701283682336</v>
      </c>
      <c r="K48">
        <f t="shared" si="7"/>
        <v>-47.236053088575481</v>
      </c>
      <c r="L48">
        <f t="shared" si="8"/>
        <v>199.2845271062578</v>
      </c>
      <c r="M48">
        <f t="shared" si="9"/>
        <v>449.6613022755385</v>
      </c>
      <c r="N48">
        <f t="shared" si="10"/>
        <v>1419.5081262582014</v>
      </c>
      <c r="O48">
        <f t="shared" si="11"/>
        <v>-1.7147760560377253E-2</v>
      </c>
      <c r="P48">
        <f t="shared" si="12"/>
        <v>386.29899292345902</v>
      </c>
    </row>
  </sheetData>
  <conditionalFormatting sqref="E2:E48">
    <cfRule type="cellIs" dxfId="18" priority="4" operator="lessThan">
      <formula>1.05*D2</formula>
    </cfRule>
  </conditionalFormatting>
  <conditionalFormatting sqref="F2:J48">
    <cfRule type="cellIs" dxfId="17" priority="3" operator="lessThan">
      <formula>1.05*$D2</formula>
    </cfRule>
  </conditionalFormatting>
  <conditionalFormatting sqref="K2:P48">
    <cfRule type="cellIs" dxfId="16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01D5-12B8-40A2-A46E-B3DC23430E76}">
  <dimension ref="A1:H41"/>
  <sheetViews>
    <sheetView workbookViewId="0">
      <selection activeCell="I39" sqref="I39"/>
    </sheetView>
  </sheetViews>
  <sheetFormatPr defaultRowHeight="14.4" x14ac:dyDescent="0.3"/>
  <cols>
    <col min="2" max="2" width="9.5546875" bestFit="true" customWidth="true"/>
    <col min="3" max="4" width="12" bestFit="true" customWidth="true"/>
    <col min="5" max="5" width="8.33203125" style="1" bestFit="true" customWidth="true"/>
  </cols>
  <sheetData>
    <row r="1" x14ac:dyDescent="0.3">
      <c r="A1" s="1"/>
      <c r="B1" s="1" t="s">
        <v>90</v>
      </c>
      <c r="C1" s="1" t="s">
        <v>91</v>
      </c>
      <c r="D1" s="1" t="s">
        <v>92</v>
      </c>
    </row>
    <row r="2" x14ac:dyDescent="0.3">
      <c r="A2" s="1" t="s">
        <v>115</v>
      </c>
      <c r="B2" s="2">
        <f>AVERAGE(Ammonia!K2:K13)</f>
        <v>690.64954788371324</v>
      </c>
      <c r="C2" s="2">
        <f>B2-AVERAGE('Ammonia high low'!K2:K13)</f>
        <v>194.09126580810886</v>
      </c>
      <c r="D2" s="2">
        <f>AVERAGE('Ammonia high low'!L2:L13)-B2</f>
        <v>187.62155694783871</v>
      </c>
      <c r="E2" s="1" t="s">
        <v>1</v>
      </c>
    </row>
    <row r="3" x14ac:dyDescent="0.3">
      <c r="A3" s="1" t="s">
        <v>115</v>
      </c>
      <c r="B3" s="2">
        <f>AVERAGE(Ammonia!L2:L13)</f>
        <v>1377.136805293447</v>
      </c>
      <c r="C3" s="2">
        <f>B3-AVERAGE('Ammonia high low'!M2:M13)</f>
        <v>147.68188758376959</v>
      </c>
      <c r="D3" s="2">
        <f>AVERAGE('Ammonia high low'!N2:N13)-B3</f>
        <v>1126.0743928262466</v>
      </c>
      <c r="E3" s="1" t="s">
        <v>10</v>
      </c>
    </row>
    <row r="4" x14ac:dyDescent="0.3">
      <c r="A4" s="1" t="s">
        <v>115</v>
      </c>
      <c r="B4" s="2">
        <f>AVERAGE(Ammonia!V2:V13)</f>
        <v>93.537058522804614</v>
      </c>
      <c r="C4" s="2">
        <v>0</v>
      </c>
      <c r="D4" s="2">
        <v>0</v>
      </c>
      <c r="E4" s="1" t="s">
        <v>110</v>
      </c>
    </row>
    <row r="5" x14ac:dyDescent="0.3">
      <c r="A5" s="1" t="s">
        <v>115</v>
      </c>
      <c r="B5" s="2">
        <v>0</v>
      </c>
      <c r="C5" s="2"/>
      <c r="D5" s="2"/>
    </row>
    <row r="6" x14ac:dyDescent="0.3">
      <c r="A6" s="1" t="s">
        <v>116</v>
      </c>
      <c r="B6" s="2">
        <f>AVERAGE(Ammonia!K14:K25)</f>
        <v>571.54688218423428</v>
      </c>
      <c r="C6" s="2">
        <f>B6-AVERAGE('Ammonia high low'!K14:K25)</f>
        <v>64.697088602703047</v>
      </c>
      <c r="D6" s="2">
        <f>AVERAGE('Ammonia high low'!L14:L25)-B6</f>
        <v>129.39417720540575</v>
      </c>
      <c r="E6" s="1" t="s">
        <v>1</v>
      </c>
    </row>
    <row r="7" x14ac:dyDescent="0.3">
      <c r="A7" s="1" t="s">
        <v>116</v>
      </c>
      <c r="B7" s="2">
        <f>AVERAGE(Ammonia!L14:L25)</f>
        <v>1387.8755840287758</v>
      </c>
      <c r="C7" s="2">
        <f>B7-AVERAGE('Ammonia high low'!M14:M25)</f>
        <v>166.14212353174139</v>
      </c>
      <c r="D7" s="2">
        <f>AVERAGE('Ammonia high low'!N14:N25)-B7</f>
        <v>978.39250524247564</v>
      </c>
      <c r="E7" s="1" t="s">
        <v>10</v>
      </c>
    </row>
    <row r="8" x14ac:dyDescent="0.3">
      <c r="A8" s="1" t="s">
        <v>116</v>
      </c>
      <c r="B8" s="2">
        <f>AVERAGE(Ammonia!V14:V25)</f>
        <v>86.794558653023941</v>
      </c>
      <c r="C8" s="2">
        <v>0</v>
      </c>
      <c r="D8" s="2">
        <v>0</v>
      </c>
      <c r="E8" s="1" t="s">
        <v>110</v>
      </c>
    </row>
    <row r="9" x14ac:dyDescent="0.3">
      <c r="A9" s="1" t="s">
        <v>116</v>
      </c>
      <c r="B9" s="2">
        <v>0</v>
      </c>
      <c r="C9" s="2"/>
      <c r="D9" s="2"/>
    </row>
    <row r="10" x14ac:dyDescent="0.3">
      <c r="A10" s="1" t="s">
        <v>75</v>
      </c>
      <c r="B10" s="2">
        <f>Ammonia!K32</f>
        <v>374.04405153848666</v>
      </c>
      <c r="C10" s="2">
        <f>B10-'Ammonia high low'!K32</f>
        <v>103.51534176432483</v>
      </c>
      <c r="D10" s="2">
        <f>-(B10-'Ammonia high low'!L32)</f>
        <v>109.98505062459498</v>
      </c>
      <c r="E10" s="1" t="s">
        <v>1</v>
      </c>
    </row>
    <row r="11" x14ac:dyDescent="0.3">
      <c r="A11" s="1" t="s">
        <v>75</v>
      </c>
      <c r="B11" s="2">
        <f>Ammonia!L32</f>
        <v>1009.1215121166069</v>
      </c>
      <c r="C11" s="2">
        <f>B11-'Ammonia high low'!M32</f>
        <v>175.37224150572717</v>
      </c>
      <c r="D11" s="2">
        <f>-B11+'Ammonia high low'!N32</f>
        <v>664.56849412696488</v>
      </c>
      <c r="E11" s="1" t="s">
        <v>10</v>
      </c>
    </row>
    <row r="12" x14ac:dyDescent="0.3">
      <c r="A12" s="1" t="s">
        <v>75</v>
      </c>
      <c r="B12" s="2">
        <f>Ammonia!V32</f>
        <v>130.55926120734037</v>
      </c>
      <c r="C12" s="2">
        <v>0</v>
      </c>
      <c r="D12" s="2">
        <v>0</v>
      </c>
      <c r="E12" s="1" t="s">
        <v>110</v>
      </c>
    </row>
    <row r="13" x14ac:dyDescent="0.3">
      <c r="A13" s="1" t="s">
        <v>75</v>
      </c>
      <c r="B13" s="2">
        <v>0</v>
      </c>
      <c r="C13" s="2"/>
      <c r="D13" s="2"/>
    </row>
    <row r="14" x14ac:dyDescent="0.3">
      <c r="A14" s="1" t="s">
        <v>78</v>
      </c>
      <c r="B14" s="2">
        <f>Ammonia!K35</f>
        <v>64.663358334361476</v>
      </c>
      <c r="C14" s="2">
        <f>B14-'Ammonia high low'!K35</f>
        <v>103.51534176432469</v>
      </c>
      <c r="D14" s="2">
        <f>-(B14-'Ammonia high low'!L35)</f>
        <v>109.985050624595</v>
      </c>
      <c r="E14" s="1" t="s">
        <v>1</v>
      </c>
    </row>
    <row r="15" x14ac:dyDescent="0.3">
      <c r="A15" s="1" t="s">
        <v>78</v>
      </c>
      <c r="B15" s="2">
        <f>Ammonia!L35</f>
        <v>567.73838981205529</v>
      </c>
      <c r="C15" s="2">
        <f>B15-'Ammonia high low'!M35</f>
        <v>175.37224150572717</v>
      </c>
      <c r="D15" s="2">
        <f>-B15+'Ammonia high low'!N35</f>
        <v>664.56849412696477</v>
      </c>
      <c r="E15" s="1" t="s">
        <v>10</v>
      </c>
    </row>
    <row r="16" x14ac:dyDescent="0.3">
      <c r="A16" s="1" t="s">
        <v>78</v>
      </c>
      <c r="B16" s="2">
        <f>Ammonia!V35</f>
        <v>200.32154613874178</v>
      </c>
      <c r="C16" s="2">
        <v>0</v>
      </c>
      <c r="D16" s="2">
        <v>0</v>
      </c>
      <c r="E16" s="1" t="s">
        <v>110</v>
      </c>
    </row>
    <row r="17" x14ac:dyDescent="0.3">
      <c r="A17" s="1" t="s">
        <v>78</v>
      </c>
      <c r="B17" s="2">
        <v>0</v>
      </c>
      <c r="C17" s="2"/>
      <c r="D17" s="2"/>
    </row>
    <row r="18" x14ac:dyDescent="0.3">
      <c r="A18" s="1" t="s">
        <v>81</v>
      </c>
      <c r="B18" s="2">
        <f>Ammonia!K38</f>
        <v>191.84771494716662</v>
      </c>
      <c r="C18" s="2">
        <f>B18-'Ammonia high low'!K38</f>
        <v>119.5251297914342</v>
      </c>
      <c r="D18" s="2">
        <f>-(B18-'Ammonia high low'!L38)</f>
        <v>126.99545040339908</v>
      </c>
      <c r="E18" s="1" t="s">
        <v>1</v>
      </c>
    </row>
    <row r="19" x14ac:dyDescent="0.3">
      <c r="A19" s="1" t="s">
        <v>81</v>
      </c>
      <c r="B19" s="2">
        <f>Ammonia!L38</f>
        <v>822.72711689240555</v>
      </c>
      <c r="C19" s="2">
        <f>B19-'Ammonia high low'!M38</f>
        <v>202.49549072165439</v>
      </c>
      <c r="D19" s="2">
        <f>-B19+'Ammonia high low'!N38</f>
        <v>767.35133326100845</v>
      </c>
      <c r="E19" s="1" t="s">
        <v>10</v>
      </c>
    </row>
    <row r="20" x14ac:dyDescent="0.3">
      <c r="A20" s="1" t="s">
        <v>81</v>
      </c>
      <c r="B20" s="2">
        <f>Ammonia!V38</f>
        <v>194.04403769229725</v>
      </c>
      <c r="C20" s="2">
        <v>0</v>
      </c>
      <c r="D20" s="2">
        <v>0</v>
      </c>
      <c r="E20" s="1" t="s">
        <v>110</v>
      </c>
    </row>
    <row r="21" x14ac:dyDescent="0.3">
      <c r="A21" s="1" t="s">
        <v>81</v>
      </c>
      <c r="B21" s="2">
        <v>0</v>
      </c>
      <c r="C21" s="2"/>
      <c r="D21" s="2"/>
    </row>
    <row r="22" x14ac:dyDescent="0.3">
      <c r="A22" s="1" t="s">
        <v>84</v>
      </c>
      <c r="B22" s="2">
        <f>Ammonia!K41</f>
        <v>130.52792940982985</v>
      </c>
      <c r="C22" s="2">
        <f>B22-'Ammonia high low'!K41</f>
        <v>119.5251297914342</v>
      </c>
      <c r="D22" s="2">
        <f>-(B22-'Ammonia high low'!L41)</f>
        <v>126.99545040339879</v>
      </c>
      <c r="E22" s="1" t="s">
        <v>1</v>
      </c>
    </row>
    <row r="23" x14ac:dyDescent="0.3">
      <c r="A23" s="1" t="s">
        <v>84</v>
      </c>
      <c r="B23" s="2">
        <f>Ammonia!L41</f>
        <v>735.2442228591384</v>
      </c>
      <c r="C23" s="2">
        <f>B23-'Ammonia high low'!M41</f>
        <v>202.49549072165485</v>
      </c>
      <c r="D23" s="2">
        <f>-B23+'Ammonia high low'!N41</f>
        <v>767.35133326100788</v>
      </c>
      <c r="E23" s="1" t="s">
        <v>10</v>
      </c>
    </row>
    <row r="24" x14ac:dyDescent="0.3">
      <c r="A24" s="1" t="s">
        <v>84</v>
      </c>
      <c r="B24" s="2">
        <f>Ammonia!V41</f>
        <v>212.91633385186105</v>
      </c>
      <c r="C24" s="2">
        <v>0</v>
      </c>
      <c r="D24" s="2">
        <v>0</v>
      </c>
      <c r="E24" s="1" t="s">
        <v>110</v>
      </c>
    </row>
    <row r="25" x14ac:dyDescent="0.3">
      <c r="A25" s="1" t="s">
        <v>84</v>
      </c>
      <c r="B25" s="2">
        <v>0</v>
      </c>
      <c r="C25" s="2"/>
      <c r="D25" s="2"/>
    </row>
    <row r="26" x14ac:dyDescent="0.3">
      <c r="A26" s="1" t="s">
        <v>87</v>
      </c>
      <c r="B26" s="2">
        <f>Ammonia!K44</f>
        <v>-216.40312487826148</v>
      </c>
      <c r="C26" s="2">
        <f>B26-'Ammonia high low'!K44</f>
        <v>119.5251297914339</v>
      </c>
      <c r="D26" s="2">
        <f>-(B26-'Ammonia high low'!L44)</f>
        <v>126.99545040339906</v>
      </c>
      <c r="E26" s="1" t="s">
        <v>1</v>
      </c>
      <c r="F26" s="14"/>
    </row>
    <row r="27" x14ac:dyDescent="0.3">
      <c r="A27" s="1" t="s">
        <v>87</v>
      </c>
      <c r="B27" s="2">
        <f>Ammonia!L44</f>
        <v>240.28925207479523</v>
      </c>
      <c r="C27" s="2">
        <f>B27-'Ammonia high low'!M44</f>
        <v>202.49549072165485</v>
      </c>
      <c r="D27" s="2">
        <f>-B27+'Ammonia high low'!N44</f>
        <v>767.35133326100799</v>
      </c>
      <c r="E27" s="1" t="s">
        <v>10</v>
      </c>
    </row>
    <row r="28" x14ac:dyDescent="0.3">
      <c r="A28" s="1" t="s">
        <v>87</v>
      </c>
      <c r="B28" s="2">
        <f>Ammonia!V44</f>
        <v>259.57715707762446</v>
      </c>
      <c r="C28" s="2">
        <v>0</v>
      </c>
      <c r="D28" s="2">
        <v>0</v>
      </c>
      <c r="E28" s="1" t="s">
        <v>110</v>
      </c>
    </row>
    <row r="29" x14ac:dyDescent="0.3">
      <c r="A29" s="1" t="s">
        <v>87</v>
      </c>
      <c r="B29" s="2">
        <v>0</v>
      </c>
      <c r="C29" s="2"/>
      <c r="D29" s="2"/>
    </row>
    <row r="30" x14ac:dyDescent="0.3">
      <c r="A30" s="1" t="s">
        <v>88</v>
      </c>
      <c r="B30" s="2">
        <f>Ammonia!K45</f>
        <v>-558.23650860483497</v>
      </c>
      <c r="C30" s="2">
        <f>B30-'Ammonia high low'!K45</f>
        <v>119.52512979143421</v>
      </c>
      <c r="D30" s="2">
        <f>-(B30-'Ammonia high low'!L45)</f>
        <v>126.99545040339905</v>
      </c>
      <c r="E30" s="1" t="s">
        <v>1</v>
      </c>
    </row>
    <row r="31" x14ac:dyDescent="0.3">
      <c r="A31" s="1" t="s">
        <v>88</v>
      </c>
      <c r="B31" s="2">
        <f>Ammonia!L45</f>
        <v>-247.39304204178333</v>
      </c>
      <c r="C31" s="2">
        <f>B31-'Ammonia high low'!M45</f>
        <v>202.49549072165487</v>
      </c>
      <c r="D31" s="2">
        <f>-B31+'Ammonia high low'!N45</f>
        <v>767.35133326100845</v>
      </c>
      <c r="E31" s="1" t="s">
        <v>10</v>
      </c>
    </row>
    <row r="32" x14ac:dyDescent="0.3">
      <c r="A32" s="1" t="s">
        <v>88</v>
      </c>
      <c r="B32" s="2">
        <f>Ammonia!V45</f>
        <v>302.91104699868481</v>
      </c>
      <c r="C32" s="2">
        <v>0</v>
      </c>
      <c r="D32" s="2">
        <v>0</v>
      </c>
      <c r="E32" s="1" t="s">
        <v>110</v>
      </c>
    </row>
    <row r="33" x14ac:dyDescent="0.3">
      <c r="A33" s="1" t="s">
        <v>88</v>
      </c>
      <c r="B33" s="2">
        <v>0</v>
      </c>
      <c r="C33" s="2"/>
      <c r="D33" s="2"/>
    </row>
    <row r="34" x14ac:dyDescent="0.3">
      <c r="A34" s="1" t="s">
        <v>89</v>
      </c>
      <c r="B34" s="2">
        <f>Ammonia!K46</f>
        <v>-352.43537061309826</v>
      </c>
      <c r="C34" s="2">
        <f>B34-'Ammonia high low'!K46</f>
        <v>119.52512979143421</v>
      </c>
      <c r="D34" s="2">
        <f>-(B34-'Ammonia high low'!L46)</f>
        <v>126.99545040339905</v>
      </c>
      <c r="E34" s="1" t="s">
        <v>1</v>
      </c>
      <c r="G34" s="14"/>
    </row>
    <row r="35" x14ac:dyDescent="0.3">
      <c r="A35" s="1" t="s">
        <v>89</v>
      </c>
      <c r="B35" s="2">
        <f>Ammonia!L46</f>
        <v>46.216581493094743</v>
      </c>
      <c r="C35" s="2">
        <f>B35-'Ammonia high low'!M46</f>
        <v>202.49549072165487</v>
      </c>
      <c r="D35" s="2">
        <f>-B35+'Ammonia high low'!N46</f>
        <v>767.35133326100799</v>
      </c>
      <c r="E35" s="1" t="s">
        <v>10</v>
      </c>
    </row>
    <row r="36" x14ac:dyDescent="0.3">
      <c r="A36" s="1" t="s">
        <v>89</v>
      </c>
      <c r="B36" s="2">
        <f>Ammonia!V46</f>
        <v>282.9896331966587</v>
      </c>
      <c r="C36" s="2">
        <v>0</v>
      </c>
      <c r="D36" s="2">
        <v>0</v>
      </c>
      <c r="E36" s="1" t="s">
        <v>110</v>
      </c>
    </row>
    <row r="37" x14ac:dyDescent="0.3">
      <c r="A37" s="1" t="s">
        <v>89</v>
      </c>
      <c r="B37" s="2">
        <v>0</v>
      </c>
      <c r="C37" s="2"/>
      <c r="D37" s="2"/>
    </row>
    <row r="38" x14ac:dyDescent="0.3">
      <c r="A38" s="1" t="s">
        <v>176</v>
      </c>
      <c r="B38" s="2">
        <f>Ammonia!K48</f>
        <v>72.289076702858722</v>
      </c>
      <c r="C38" s="2">
        <f>B38-'Ammonia high low'!K48</f>
        <v>119.52512979143421</v>
      </c>
      <c r="D38" s="2">
        <f>-(B38-'Ammonia high low'!L48)</f>
        <v>126.99545040339908</v>
      </c>
      <c r="E38" s="1" t="s">
        <v>1</v>
      </c>
      <c r="F38" s="14"/>
      <c r="G38" s="14"/>
      <c r="H38" s="14"/>
    </row>
    <row r="39" x14ac:dyDescent="0.3">
      <c r="A39" s="1" t="s">
        <v>176</v>
      </c>
      <c r="B39" s="2">
        <f>Ammonia!L48</f>
        <v>652.15679299719295</v>
      </c>
      <c r="C39" s="2">
        <f>B39-'Ammonia high low'!M48</f>
        <v>202.49549072165445</v>
      </c>
      <c r="D39" s="2">
        <f>-(B39-'Ammonia high low'!N48)</f>
        <v>767.35133326100845</v>
      </c>
      <c r="E39" s="1" t="s">
        <v>10</v>
      </c>
      <c r="F39" s="14"/>
      <c r="G39" s="14"/>
      <c r="H39" s="14"/>
    </row>
    <row r="40" x14ac:dyDescent="0.3">
      <c r="A40" s="1" t="s">
        <v>176</v>
      </c>
      <c r="B40" s="2">
        <f>Ammonia!V48</f>
        <v>226.61845502199594</v>
      </c>
      <c r="C40" s="2">
        <v>0</v>
      </c>
      <c r="D40" s="2">
        <v>0</v>
      </c>
      <c r="E40" s="1" t="s">
        <v>110</v>
      </c>
    </row>
    <row r="41" x14ac:dyDescent="0.3">
      <c r="A41" s="1" t="s">
        <v>176</v>
      </c>
      <c r="B41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DBFD-0A3D-4592-9606-547561A08A51}">
  <sheetPr codeName="Sheet4"/>
  <dimension ref="A1:T48"/>
  <sheetViews>
    <sheetView tabSelected="true" zoomScale="130" zoomScaleNormal="130" workbookViewId="0">
      <pane ySplit="1" topLeftCell="A2" activePane="bottomLeft" state="frozen"/>
      <selection pane="bottomLeft" activeCell="N2" sqref="N2"/>
    </sheetView>
  </sheetViews>
  <sheetFormatPr defaultRowHeight="14.4" x14ac:dyDescent="0.3"/>
  <cols>
    <col min="3" max="3" width="9.6640625" bestFit="true" customWidth="true"/>
    <col min="4" max="4" width="9.6640625" customWidth="true"/>
    <col min="5" max="5" width="11.7109375" bestFit="true" customWidth="true"/>
    <col min="8" max="8" width="11.7109375" customWidth="true"/>
    <col min="9" max="9" width="11.7109375" bestFit="true" customWidth="true"/>
    <col min="12" max="12" width="11.6640625" customWidth="true"/>
    <col min="13" max="13" width="16.5546875" bestFit="true" customWidth="true"/>
    <col min="14" max="14" width="11.7109375" bestFit="true" customWidth="true"/>
    <col min="15" max="15" width="11.6640625" customWidth="true"/>
    <col min="16" max="16" width="11.6640625" bestFit="true" customWidth="true"/>
    <col min="17" max="18" width="11.6640625" customWidth="true"/>
    <col min="6" max="6" width="11.7109375" bestFit="true" customWidth="true"/>
    <col min="7" max="7" width="11.7109375" bestFit="true" customWidth="true"/>
    <col min="10" max="11" width="11.6640625" bestFit="true" customWidth="true"/>
    <col min="19" max="19" width="11.7109375" customWidth="true"/>
    <col min="20" max="56" width="11.6640625" customWidth="true"/>
  </cols>
  <sheetData>
    <row r="1" x14ac:dyDescent="0.3">
      <c r="A1" t="s">
        <v>107</v>
      </c>
      <c r="B1" t="s">
        <v>44</v>
      </c>
      <c r="C1" t="s">
        <v>0</v>
      </c>
      <c r="D1" s="1" t="s">
        <v>112</v>
      </c>
      <c r="E1" s="1" t="s">
        <v>5</v>
      </c>
      <c r="F1" s="1" t="s">
        <v>105</v>
      </c>
      <c r="G1" s="1" t="s">
        <v>7</v>
      </c>
      <c r="H1" s="1" t="s">
        <v>28</v>
      </c>
      <c r="I1" s="1" t="s">
        <v>29</v>
      </c>
      <c r="J1" t="s">
        <v>106</v>
      </c>
      <c r="K1" t="s">
        <v>27</v>
      </c>
      <c r="L1" t="s">
        <v>30</v>
      </c>
      <c r="M1" t="s">
        <v>31</v>
      </c>
      <c r="N1" s="1" t="s">
        <v>179</v>
      </c>
      <c r="P1" s="1" t="s">
        <v>3</v>
      </c>
      <c r="Q1" s="1" t="s">
        <v>4</v>
      </c>
      <c r="S1" s="1" t="s">
        <v>110</v>
      </c>
      <c r="T1" s="1" t="s">
        <v>109</v>
      </c>
    </row>
    <row r="2" x14ac:dyDescent="0.3">
      <c r="A2">
        <v>1</v>
      </c>
      <c r="B2" s="1" t="s">
        <v>45</v>
      </c>
      <c r="C2" s="2">
        <v>326.17727272727274</v>
      </c>
      <c r="D2" s="13">
        <v>419.11764705882354</v>
      </c>
      <c r="E2" s="0">
        <v>309.37649845256874</v>
      </c>
      <c r="F2" s="0">
        <v>332.25222889282134</v>
      </c>
      <c r="G2" s="0">
        <v>1717.5180686350016</v>
      </c>
      <c r="H2" s="0">
        <v>2161.1110686350012</v>
      </c>
      <c r="I2" s="0">
        <v>1723.8070686350015</v>
      </c>
      <c r="J2" s="1">
        <f>(E2-F2)/($Q$3-$Q$2)</f>
        <v>9.2839815098427749</v>
      </c>
      <c r="K2" s="1">
        <f>(E2-G2)/($Q$4-$Q$2)</f>
        <v>1612.9914893269563</v>
      </c>
      <c r="L2" s="1">
        <f>(E2-H2)/($Q$5-$Q$2)</f>
        <v>7496.9010938560004</v>
      </c>
      <c r="M2" s="1">
        <f>(E2-I2)/($Q$6-$Q$2)</f>
        <v>1040.0224780753181</v>
      </c>
      <c r="N2" s="0">
        <v>1325.3713087110232</v>
      </c>
      <c r="P2" s="1" t="s">
        <v>5</v>
      </c>
      <c r="Q2" s="1">
        <v>0.67400000000000004</v>
      </c>
      <c r="R2">
        <f>(S2-E2)/E2*100</f>
        <v>175.08725711228823</v>
      </c>
      <c r="S2" s="0">
        <v>851.05532374321217</v>
      </c>
      <c r="T2" s="1">
        <f>(E2-S2)/($Q$7-$Q$2)</f>
        <v>3043.1394679249624</v>
      </c>
    </row>
    <row r="3" x14ac:dyDescent="0.3">
      <c r="A3">
        <f>A2+1</f>
        <v>2</v>
      </c>
      <c r="B3" s="1" t="s">
        <v>46</v>
      </c>
      <c r="C3" s="2">
        <v>268.5377272727273</v>
      </c>
      <c r="D3" s="13">
        <v>400</v>
      </c>
      <c r="E3" s="0">
        <v>271.21327616768167</v>
      </c>
      <c r="F3" s="0">
        <v>331.58899489282135</v>
      </c>
      <c r="G3" s="0">
        <v>1706.5292713117103</v>
      </c>
      <c r="H3" s="0">
        <v>2150.1222713117104</v>
      </c>
      <c r="I3" s="0">
        <v>1712.8182713117103</v>
      </c>
      <c r="J3" s="1">
        <f t="shared" ref="J3:J46" si="0">(E3-F3)/($Q$3-$Q$2)</f>
        <v>24.503132599488506</v>
      </c>
      <c r="K3" s="1">
        <f t="shared" ref="K3:K46" si="1">(E3-G3)/($Q$4-$Q$2)</f>
        <v>1644.1191238763215</v>
      </c>
      <c r="L3" s="1">
        <f t="shared" ref="L3:L46" si="2">(E3-H3)/($Q$5-$Q$2)</f>
        <v>7606.9190086802764</v>
      </c>
      <c r="M3" s="1">
        <f t="shared" ref="M3:M46" si="3">(E3-I3)/($Q$6-$Q$2)</f>
        <v>1060.003672900021</v>
      </c>
      <c r="N3" s="0">
        <v>1245.4125113877321</v>
      </c>
      <c r="P3" s="1" t="s">
        <v>105</v>
      </c>
      <c r="Q3" s="1">
        <v>-1.79</v>
      </c>
      <c r="R3">
        <f t="shared" ref="R3:R48" si="4">(S3-E3)/E3*100</f>
        <v>193.76078868751853</v>
      </c>
      <c r="S3" s="0">
        <v>796.71825909543941</v>
      </c>
      <c r="T3" s="1">
        <f t="shared" ref="T3:T48" si="5">(E3-S3)/($Q$7-$Q$2)</f>
        <v>2952.2751849874021</v>
      </c>
    </row>
    <row r="4" x14ac:dyDescent="0.3">
      <c r="A4">
        <f t="shared" ref="A4:A48" si="6">A3+1</f>
        <v>3</v>
      </c>
      <c r="B4" s="1" t="s">
        <v>47</v>
      </c>
      <c r="C4" s="2">
        <v>231.45181818181817</v>
      </c>
      <c r="D4" s="13">
        <v>400</v>
      </c>
      <c r="E4" s="0">
        <v>246.07008663554501</v>
      </c>
      <c r="F4" s="0">
        <v>330.36301689282135</v>
      </c>
      <c r="G4" s="0">
        <v>1697.0729133440113</v>
      </c>
      <c r="H4" s="0">
        <v>2140.6659133440116</v>
      </c>
      <c r="I4" s="0">
        <v>1703.3619133440113</v>
      </c>
      <c r="J4" s="1">
        <f t="shared" si="0"/>
        <v>34.20979312389462</v>
      </c>
      <c r="K4" s="1">
        <f t="shared" si="1"/>
        <v>1662.0880031024815</v>
      </c>
      <c r="L4" s="1">
        <f t="shared" si="2"/>
        <v>7670.428448212414</v>
      </c>
      <c r="M4" s="1">
        <f t="shared" si="3"/>
        <v>1071.5381078738721</v>
      </c>
      <c r="N4" s="0">
        <v>1108.4661534200332</v>
      </c>
      <c r="P4" t="s">
        <v>7</v>
      </c>
      <c r="Q4" s="1">
        <v>-0.19900000000000001</v>
      </c>
      <c r="R4">
        <f t="shared" si="4"/>
        <v>208.59954002030457</v>
      </c>
      <c r="S4" s="0">
        <v>759.37115548485679</v>
      </c>
      <c r="T4" s="1">
        <f t="shared" si="5"/>
        <v>2883.7138699399534</v>
      </c>
    </row>
    <row r="5" x14ac:dyDescent="0.3">
      <c r="A5">
        <f t="shared" si="6"/>
        <v>4</v>
      </c>
      <c r="B5" s="1" t="s">
        <v>48</v>
      </c>
      <c r="C5" s="2">
        <v>219.83454545454546</v>
      </c>
      <c r="D5" s="13">
        <v>397.05882352941177</v>
      </c>
      <c r="E5" s="0">
        <v>238.94735160138174</v>
      </c>
      <c r="F5" s="0">
        <v>331.00213329282133</v>
      </c>
      <c r="G5" s="0">
        <v>1697.1651867517201</v>
      </c>
      <c r="H5" s="0">
        <v>2140.7581867517201</v>
      </c>
      <c r="I5" s="0">
        <v>1703.45418675172</v>
      </c>
      <c r="J5" s="1">
        <f t="shared" si="0"/>
        <v>37.359895166980351</v>
      </c>
      <c r="K5" s="1">
        <f t="shared" si="1"/>
        <v>1670.3526175834345</v>
      </c>
      <c r="L5" s="1">
        <f t="shared" si="2"/>
        <v>7699.6390087058217</v>
      </c>
      <c r="M5" s="1">
        <f t="shared" si="3"/>
        <v>1076.8432611399546</v>
      </c>
      <c r="N5" s="0">
        <v>1175.0204268277416</v>
      </c>
      <c r="P5" t="s">
        <v>28</v>
      </c>
      <c r="Q5" s="1">
        <v>0.42699999999999999</v>
      </c>
      <c r="R5">
        <f t="shared" si="4"/>
        <v>214.18074474583176</v>
      </c>
      <c r="S5" s="0">
        <v>750.72656881166233</v>
      </c>
      <c r="T5" s="1">
        <f t="shared" si="5"/>
        <v>2875.1641416307889</v>
      </c>
    </row>
    <row r="6" x14ac:dyDescent="0.3">
      <c r="A6">
        <f t="shared" si="6"/>
        <v>5</v>
      </c>
      <c r="B6" s="1" t="s">
        <v>49</v>
      </c>
      <c r="C6" s="2">
        <v>193.9190909090909</v>
      </c>
      <c r="D6" s="13">
        <v>394.11764705882354</v>
      </c>
      <c r="E6" s="0">
        <v>222.07192421747897</v>
      </c>
      <c r="F6" s="0">
        <v>331.08855469282133</v>
      </c>
      <c r="G6" s="0">
        <v>1693.3727197381472</v>
      </c>
      <c r="H6" s="0">
        <v>2136.9657197381471</v>
      </c>
      <c r="I6" s="0">
        <v>1699.6617197381472</v>
      </c>
      <c r="J6" s="1">
        <f t="shared" si="0"/>
        <v>44.243762368239601</v>
      </c>
      <c r="K6" s="1">
        <f t="shared" si="1"/>
        <v>1685.3388264841562</v>
      </c>
      <c r="L6" s="1">
        <f t="shared" si="2"/>
        <v>7752.6064595978451</v>
      </c>
      <c r="M6" s="1">
        <f t="shared" si="3"/>
        <v>1086.4630849416678</v>
      </c>
      <c r="N6" s="0">
        <v>1180.2149598141691</v>
      </c>
      <c r="P6" t="s">
        <v>29</v>
      </c>
      <c r="Q6" s="1">
        <v>-0.68600000000000005</v>
      </c>
      <c r="R6">
        <f t="shared" si="4"/>
        <v>227.57143241739809</v>
      </c>
      <c r="S6" s="0">
        <v>727.44418315607459</v>
      </c>
      <c r="T6" s="1">
        <f t="shared" si="5"/>
        <v>2839.1699940370531</v>
      </c>
    </row>
    <row r="7" x14ac:dyDescent="0.3">
      <c r="A7">
        <f t="shared" si="6"/>
        <v>6</v>
      </c>
      <c r="B7" s="1" t="s">
        <v>50</v>
      </c>
      <c r="C7" s="2">
        <v>160.40772727272727</v>
      </c>
      <c r="D7" s="13">
        <v>398.52941176470586</v>
      </c>
      <c r="E7" s="0">
        <v>199.77353777277719</v>
      </c>
      <c r="F7" s="0">
        <v>330.55294299282133</v>
      </c>
      <c r="G7" s="0">
        <v>1686.5360468757688</v>
      </c>
      <c r="H7" s="0">
        <v>2130.1290468757688</v>
      </c>
      <c r="I7" s="0">
        <v>1692.8250468757687</v>
      </c>
      <c r="J7" s="1">
        <f t="shared" si="0"/>
        <v>53.076057313329606</v>
      </c>
      <c r="K7" s="1">
        <f t="shared" si="1"/>
        <v>1703.0498386059469</v>
      </c>
      <c r="L7" s="1">
        <f t="shared" si="2"/>
        <v>7815.2044902955113</v>
      </c>
      <c r="M7" s="1">
        <f t="shared" si="3"/>
        <v>1097.8319919874937</v>
      </c>
      <c r="N7" s="0">
        <v>1117.6797869517907</v>
      </c>
      <c r="P7" s="1" t="s">
        <v>110</v>
      </c>
      <c r="Q7" s="1">
        <v>0.496</v>
      </c>
      <c r="R7">
        <f t="shared" si="4"/>
        <v>248.09666837959554</v>
      </c>
      <c r="S7" s="0">
        <v>695.40502929109027</v>
      </c>
      <c r="T7" s="1">
        <f t="shared" si="5"/>
        <v>2784.4465815635558</v>
      </c>
    </row>
    <row r="8" x14ac:dyDescent="0.3">
      <c r="A8">
        <f t="shared" si="6"/>
        <v>7</v>
      </c>
      <c r="B8" s="1" t="s">
        <v>51</v>
      </c>
      <c r="C8" s="2">
        <v>161.74818181818182</v>
      </c>
      <c r="D8" s="13">
        <v>344.11764705882354</v>
      </c>
      <c r="E8" s="0">
        <v>201.18323643056527</v>
      </c>
      <c r="F8" s="0">
        <v>331.27747589282137</v>
      </c>
      <c r="G8" s="0">
        <v>1688.908553790264</v>
      </c>
      <c r="H8" s="0">
        <v>2132.5015537902641</v>
      </c>
      <c r="I8" s="0">
        <v>1695.197553790264</v>
      </c>
      <c r="J8" s="1">
        <f t="shared" si="0"/>
        <v>52.797986794746791</v>
      </c>
      <c r="K8" s="1">
        <f t="shared" si="1"/>
        <v>1704.1527117522321</v>
      </c>
      <c r="L8" s="1">
        <f t="shared" si="2"/>
        <v>7819.1024994319769</v>
      </c>
      <c r="M8" s="1">
        <f t="shared" si="3"/>
        <v>1098.5399392350726</v>
      </c>
      <c r="N8" s="0">
        <v>1195.3967938662859</v>
      </c>
      <c r="R8">
        <f t="shared" si="4"/>
        <v>247.33790341764524</v>
      </c>
      <c r="S8" s="0">
        <v>698.78563544568965</v>
      </c>
      <c r="T8" s="1">
        <f t="shared" si="5"/>
        <v>2795.5190955905855</v>
      </c>
    </row>
    <row r="9" x14ac:dyDescent="0.3">
      <c r="A9">
        <f t="shared" si="6"/>
        <v>8</v>
      </c>
      <c r="B9" s="1" t="s">
        <v>52</v>
      </c>
      <c r="C9" s="2">
        <v>164.42909090909092</v>
      </c>
      <c r="D9" s="13">
        <v>341.1764705882353</v>
      </c>
      <c r="E9" s="0">
        <v>202.72169374614143</v>
      </c>
      <c r="F9" s="0">
        <v>330.98705979282136</v>
      </c>
      <c r="G9" s="0">
        <v>1688.4605676192543</v>
      </c>
      <c r="H9" s="0">
        <v>2132.053567619254</v>
      </c>
      <c r="I9" s="0">
        <v>1694.7495676192543</v>
      </c>
      <c r="J9" s="1">
        <f t="shared" si="0"/>
        <v>52.055749207256468</v>
      </c>
      <c r="K9" s="1">
        <f t="shared" si="1"/>
        <v>1701.877289659923</v>
      </c>
      <c r="L9" s="1">
        <f t="shared" si="2"/>
        <v>7811.0602181097656</v>
      </c>
      <c r="M9" s="1">
        <f t="shared" si="3"/>
        <v>1097.0793190243476</v>
      </c>
      <c r="N9" s="0">
        <v>1164.748307695276</v>
      </c>
      <c r="R9">
        <f t="shared" si="4"/>
        <v>245.47553091772591</v>
      </c>
      <c r="S9" s="0">
        <v>700.35384775488842</v>
      </c>
      <c r="T9" s="1">
        <f t="shared" si="5"/>
        <v>2795.6862584761056</v>
      </c>
    </row>
    <row r="10" x14ac:dyDescent="0.3">
      <c r="A10">
        <f t="shared" si="6"/>
        <v>9</v>
      </c>
      <c r="B10" s="1" t="s">
        <v>53</v>
      </c>
      <c r="C10" s="2">
        <v>188.11045454545456</v>
      </c>
      <c r="D10" s="13">
        <v>336.76470588235293</v>
      </c>
      <c r="E10" s="0">
        <v>218.12279670039737</v>
      </c>
      <c r="F10" s="0">
        <v>330.88154529282133</v>
      </c>
      <c r="G10" s="0">
        <v>1691.8468564420018</v>
      </c>
      <c r="H10" s="0">
        <v>2135.4398564420017</v>
      </c>
      <c r="I10" s="0">
        <v>1698.1358564420018</v>
      </c>
      <c r="J10" s="1">
        <f t="shared" si="0"/>
        <v>45.762479136535696</v>
      </c>
      <c r="K10" s="1">
        <f t="shared" si="1"/>
        <v>1688.1146159697644</v>
      </c>
      <c r="L10" s="1">
        <f t="shared" si="2"/>
        <v>7762.4172459174242</v>
      </c>
      <c r="M10" s="1">
        <f t="shared" si="3"/>
        <v>1088.2448968688266</v>
      </c>
      <c r="N10" s="0">
        <v>1157.1620965180236</v>
      </c>
      <c r="R10">
        <f t="shared" si="4"/>
        <v>230.79985253011509</v>
      </c>
      <c r="S10" s="0">
        <v>721.54988981947724</v>
      </c>
      <c r="T10" s="1">
        <f t="shared" si="5"/>
        <v>2828.2420961746052</v>
      </c>
    </row>
    <row r="11" x14ac:dyDescent="0.3">
      <c r="A11">
        <f t="shared" si="6"/>
        <v>10</v>
      </c>
      <c r="B11" s="1" t="s">
        <v>54</v>
      </c>
      <c r="C11" s="2">
        <v>226.08999999999997</v>
      </c>
      <c r="D11" s="13">
        <v>322.05882352941177</v>
      </c>
      <c r="E11" s="0">
        <v>243.0346120043927</v>
      </c>
      <c r="F11" s="0">
        <v>331.00012349282133</v>
      </c>
      <c r="G11" s="0">
        <v>1698.1368856860308</v>
      </c>
      <c r="H11" s="0">
        <v>2141.7298856860307</v>
      </c>
      <c r="I11" s="0">
        <v>1704.4258856860308</v>
      </c>
      <c r="J11" s="1">
        <f t="shared" si="0"/>
        <v>35.700288753420715</v>
      </c>
      <c r="K11" s="1">
        <f t="shared" si="1"/>
        <v>1666.7838186502154</v>
      </c>
      <c r="L11" s="1">
        <f t="shared" si="2"/>
        <v>7687.0253995207995</v>
      </c>
      <c r="M11" s="1">
        <f t="shared" si="3"/>
        <v>1074.5524071188515</v>
      </c>
      <c r="N11" s="0">
        <v>1175.7831257620528</v>
      </c>
      <c r="R11">
        <f t="shared" si="4"/>
        <v>211.23251319149051</v>
      </c>
      <c r="S11" s="0">
        <v>756.40273086645925</v>
      </c>
      <c r="T11" s="1">
        <f t="shared" si="5"/>
        <v>2884.0905554048677</v>
      </c>
    </row>
    <row r="12" x14ac:dyDescent="0.3">
      <c r="A12">
        <f t="shared" si="6"/>
        <v>11</v>
      </c>
      <c r="B12" s="1" t="s">
        <v>55</v>
      </c>
      <c r="C12" s="2">
        <v>230.11136363636368</v>
      </c>
      <c r="D12" s="13">
        <v>305.88235294117646</v>
      </c>
      <c r="E12" s="0">
        <v>245.96278797775696</v>
      </c>
      <c r="F12" s="0">
        <v>331.40710799282135</v>
      </c>
      <c r="G12" s="0">
        <v>1699.9804064295163</v>
      </c>
      <c r="H12" s="0">
        <v>2143.5734064295161</v>
      </c>
      <c r="I12" s="0">
        <v>1706.2694064295163</v>
      </c>
      <c r="J12" s="1">
        <f t="shared" si="0"/>
        <v>34.677077928191721</v>
      </c>
      <c r="K12" s="1">
        <f t="shared" si="1"/>
        <v>1665.5413727969751</v>
      </c>
      <c r="L12" s="1">
        <f t="shared" si="2"/>
        <v>7682.6340828006423</v>
      </c>
      <c r="M12" s="1">
        <f t="shared" si="3"/>
        <v>1073.7548665086465</v>
      </c>
      <c r="N12" s="0">
        <v>1219.9491465055382</v>
      </c>
      <c r="R12">
        <f t="shared" si="4"/>
        <v>209.50639142986992</v>
      </c>
      <c r="S12" s="0">
        <v>761.2705493302575</v>
      </c>
      <c r="T12" s="1">
        <f t="shared" si="5"/>
        <v>2894.9874233286537</v>
      </c>
    </row>
    <row r="13" x14ac:dyDescent="0.3">
      <c r="A13">
        <f t="shared" si="6"/>
        <v>12</v>
      </c>
      <c r="B13" s="1" t="s">
        <v>56</v>
      </c>
      <c r="C13" s="2">
        <v>206.43</v>
      </c>
      <c r="D13" s="13">
        <v>308.8235294117647</v>
      </c>
      <c r="E13" s="0">
        <v>229.815765023501</v>
      </c>
      <c r="F13" s="0">
        <v>330.49968329282137</v>
      </c>
      <c r="G13" s="0">
        <v>1693.5701176067687</v>
      </c>
      <c r="H13" s="0">
        <v>2137.1631176067685</v>
      </c>
      <c r="I13" s="0">
        <v>1699.8591176067687</v>
      </c>
      <c r="J13" s="1">
        <f t="shared" si="0"/>
        <v>40.861979817094308</v>
      </c>
      <c r="K13" s="1">
        <f t="shared" si="1"/>
        <v>1676.6945619510514</v>
      </c>
      <c r="L13" s="1">
        <f t="shared" si="2"/>
        <v>7722.0540590415676</v>
      </c>
      <c r="M13" s="1">
        <f t="shared" si="3"/>
        <v>1080.914229840638</v>
      </c>
      <c r="N13" s="0">
        <v>1119.1753576827907</v>
      </c>
      <c r="R13">
        <f t="shared" si="4"/>
        <v>220.71364085501165</v>
      </c>
      <c r="S13" s="0">
        <v>737.05050726566856</v>
      </c>
      <c r="T13" s="1">
        <f t="shared" si="5"/>
        <v>2849.6333833829631</v>
      </c>
    </row>
    <row r="14" x14ac:dyDescent="0.3">
      <c r="A14">
        <f t="shared" si="6"/>
        <v>13</v>
      </c>
      <c r="B14" s="1" t="s">
        <v>57</v>
      </c>
      <c r="C14" s="2">
        <v>162.19499999999999</v>
      </c>
      <c r="D14" s="13">
        <v>302.94117647058823</v>
      </c>
      <c r="E14" s="0">
        <v>199.40429230500035</v>
      </c>
      <c r="F14" s="0">
        <v>324.7143502861237</v>
      </c>
      <c r="G14" s="0">
        <v>1444.4934873768204</v>
      </c>
      <c r="H14" s="0">
        <v>2092.6214873768204</v>
      </c>
      <c r="I14" s="0">
        <v>1494.2924873768209</v>
      </c>
      <c r="J14" s="1">
        <f t="shared" si="0"/>
        <v>50.856354700131227</v>
      </c>
      <c r="K14" s="1">
        <f t="shared" si="1"/>
        <v>1426.2190092460712</v>
      </c>
      <c r="L14" s="1">
        <f t="shared" si="2"/>
        <v>7664.8469436106061</v>
      </c>
      <c r="M14" s="1">
        <f t="shared" si="3"/>
        <v>952.12367284692675</v>
      </c>
      <c r="N14" s="0">
        <v>1138.2172274528427</v>
      </c>
      <c r="R14">
        <f t="shared" si="4"/>
        <v>244.89178545077851</v>
      </c>
      <c r="S14" s="0">
        <v>687.72902399620511</v>
      </c>
      <c r="T14" s="1">
        <f t="shared" si="5"/>
        <v>2743.3973690517114</v>
      </c>
    </row>
    <row r="15" x14ac:dyDescent="0.3">
      <c r="A15">
        <f t="shared" si="6"/>
        <v>14</v>
      </c>
      <c r="B15" s="1" t="s">
        <v>58</v>
      </c>
      <c r="C15" s="2">
        <v>130.02409090909092</v>
      </c>
      <c r="D15" s="13">
        <v>298.52941176470586</v>
      </c>
      <c r="E15" s="0">
        <v>177.40930451808666</v>
      </c>
      <c r="F15" s="0">
        <v>323.4009459861237</v>
      </c>
      <c r="G15" s="0">
        <v>1435.5443214289371</v>
      </c>
      <c r="H15" s="0">
        <v>2083.6723214289373</v>
      </c>
      <c r="I15" s="0">
        <v>1485.3433214289375</v>
      </c>
      <c r="J15" s="1">
        <f t="shared" si="0"/>
        <v>59.249854491898155</v>
      </c>
      <c r="K15" s="1">
        <f t="shared" si="1"/>
        <v>1441.1626768738265</v>
      </c>
      <c r="L15" s="1">
        <f t="shared" si="2"/>
        <v>7717.6640360763167</v>
      </c>
      <c r="M15" s="1">
        <f t="shared" si="3"/>
        <v>961.71618890503737</v>
      </c>
      <c r="N15" s="0">
        <v>992.68656150495906</v>
      </c>
      <c r="R15">
        <f t="shared" si="4"/>
        <v>268.96907863087085</v>
      </c>
      <c r="S15" s="0">
        <v>654.58547628582028</v>
      </c>
      <c r="T15" s="1">
        <f t="shared" si="5"/>
        <v>2680.7650099310872</v>
      </c>
    </row>
    <row r="16" x14ac:dyDescent="0.3">
      <c r="A16">
        <f t="shared" si="6"/>
        <v>15</v>
      </c>
      <c r="B16" s="1" t="s">
        <v>59</v>
      </c>
      <c r="C16" s="2">
        <v>121.53454545454547</v>
      </c>
      <c r="D16" s="13">
        <v>300</v>
      </c>
      <c r="E16" s="0">
        <v>171.90543968542889</v>
      </c>
      <c r="F16" s="0">
        <v>323.4622448861237</v>
      </c>
      <c r="G16" s="0">
        <v>1434.4004443038014</v>
      </c>
      <c r="H16" s="0">
        <v>2082.5284443038013</v>
      </c>
      <c r="I16" s="0">
        <v>1484.1994443038018</v>
      </c>
      <c r="J16" s="1">
        <f t="shared" si="0"/>
        <v>61.508443669113156</v>
      </c>
      <c r="K16" s="1">
        <f t="shared" si="1"/>
        <v>1446.1569354162341</v>
      </c>
      <c r="L16" s="1">
        <f t="shared" si="2"/>
        <v>7735.3158081715465</v>
      </c>
      <c r="M16" s="1">
        <f t="shared" si="3"/>
        <v>964.92206221939171</v>
      </c>
      <c r="N16" s="0">
        <v>997.9171843798232</v>
      </c>
      <c r="R16">
        <f t="shared" si="4"/>
        <v>276.40284788199767</v>
      </c>
      <c r="S16" s="0">
        <v>647.05697064002413</v>
      </c>
      <c r="T16" s="1">
        <f t="shared" si="5"/>
        <v>2669.3906233404223</v>
      </c>
    </row>
    <row r="17" x14ac:dyDescent="0.3">
      <c r="A17">
        <f t="shared" si="6"/>
        <v>16</v>
      </c>
      <c r="B17" s="1" t="s">
        <v>60</v>
      </c>
      <c r="C17" s="2">
        <v>94.725454545454554</v>
      </c>
      <c r="D17" s="2"/>
      <c r="E17" s="0">
        <v>153.9774865296674</v>
      </c>
      <c r="F17" s="0">
        <v>322.91256458612366</v>
      </c>
      <c r="G17" s="0">
        <v>1428.5693060138983</v>
      </c>
      <c r="H17" s="0">
        <v>2076.6973060138985</v>
      </c>
      <c r="I17" s="0">
        <v>1478.3683060138987</v>
      </c>
      <c r="J17" s="1">
        <f t="shared" si="0"/>
        <v>68.561314146289064</v>
      </c>
      <c r="K17" s="1">
        <f t="shared" si="1"/>
        <v>1460.0135389280995</v>
      </c>
      <c r="L17" s="1">
        <f t="shared" si="2"/>
        <v>7784.2907671426337</v>
      </c>
      <c r="M17" s="1">
        <f t="shared" si="3"/>
        <v>973.81677903252296</v>
      </c>
      <c r="N17" s="0">
        <v>934.92454608992034</v>
      </c>
      <c r="R17">
        <f t="shared" si="4"/>
        <v>303.34717856845532</v>
      </c>
      <c r="S17" s="0">
        <v>621.06384754803685</v>
      </c>
      <c r="T17" s="1">
        <f t="shared" si="5"/>
        <v>2624.0806798784793</v>
      </c>
    </row>
    <row r="18" x14ac:dyDescent="0.3">
      <c r="A18">
        <f t="shared" si="6"/>
        <v>17</v>
      </c>
      <c r="B18" s="1" t="s">
        <v>61</v>
      </c>
      <c r="C18" s="2">
        <v>70.597272727272724</v>
      </c>
      <c r="D18" s="2"/>
      <c r="E18" s="0">
        <v>138.24733068948214</v>
      </c>
      <c r="F18" s="0">
        <v>322.96783408612367</v>
      </c>
      <c r="G18" s="0">
        <v>1424.9631815529858</v>
      </c>
      <c r="H18" s="0">
        <v>2073.0911815529857</v>
      </c>
      <c r="I18" s="0">
        <v>1474.7621815529862</v>
      </c>
      <c r="J18" s="1">
        <f t="shared" si="0"/>
        <v>74.967736768117504</v>
      </c>
      <c r="K18" s="1">
        <f t="shared" si="1"/>
        <v>1473.9013182858002</v>
      </c>
      <c r="L18" s="1">
        <f t="shared" si="2"/>
        <v>7833.375914427138</v>
      </c>
      <c r="M18" s="1">
        <f t="shared" si="3"/>
        <v>982.7315079878706</v>
      </c>
      <c r="N18" s="0">
        <v>937.06592162900813</v>
      </c>
      <c r="R18">
        <f t="shared" si="4"/>
        <v>333.50705852785325</v>
      </c>
      <c r="S18" s="0">
        <v>599.31193676524822</v>
      </c>
      <c r="T18" s="1">
        <f t="shared" si="5"/>
        <v>2590.2505959312693</v>
      </c>
    </row>
    <row r="19" x14ac:dyDescent="0.3">
      <c r="A19">
        <f t="shared" si="6"/>
        <v>18</v>
      </c>
      <c r="B19" s="1" t="s">
        <v>62</v>
      </c>
      <c r="C19" s="2">
        <v>78.193181818181827</v>
      </c>
      <c r="D19" s="2"/>
      <c r="E19" s="0">
        <v>143.85084975028121</v>
      </c>
      <c r="F19" s="0">
        <v>323.83506278612367</v>
      </c>
      <c r="G19" s="0">
        <v>1428.7393874017914</v>
      </c>
      <c r="H19" s="0">
        <v>2076.8673874017918</v>
      </c>
      <c r="I19" s="0">
        <v>1478.5383874017919</v>
      </c>
      <c r="J19" s="1">
        <f t="shared" si="0"/>
        <v>73.045541004806196</v>
      </c>
      <c r="K19" s="1">
        <f t="shared" si="1"/>
        <v>1471.8081760040209</v>
      </c>
      <c r="L19" s="1">
        <f t="shared" si="2"/>
        <v>7825.9778852287864</v>
      </c>
      <c r="M19" s="1">
        <f t="shared" si="3"/>
        <v>981.38789533199304</v>
      </c>
      <c r="N19" s="0">
        <v>1031.0256274778137</v>
      </c>
      <c r="R19">
        <f t="shared" si="4"/>
        <v>323.21662057019205</v>
      </c>
      <c r="S19" s="0">
        <v>608.80070497464465</v>
      </c>
      <c r="T19" s="1">
        <f t="shared" si="5"/>
        <v>2612.0778383391198</v>
      </c>
    </row>
    <row r="20" x14ac:dyDescent="0.3">
      <c r="A20">
        <f t="shared" si="6"/>
        <v>19</v>
      </c>
      <c r="B20" s="1" t="s">
        <v>63</v>
      </c>
      <c r="C20" s="2">
        <v>80.427272727272737</v>
      </c>
      <c r="D20" s="2"/>
      <c r="E20" s="0">
        <v>145.595274179928</v>
      </c>
      <c r="F20" s="0">
        <v>324.22094438612368</v>
      </c>
      <c r="G20" s="0">
        <v>1430.2405655926168</v>
      </c>
      <c r="H20" s="0">
        <v>2078.368565592617</v>
      </c>
      <c r="I20" s="0">
        <v>1480.0395655926172</v>
      </c>
      <c r="J20" s="1">
        <f t="shared" si="0"/>
        <v>72.494184336930061</v>
      </c>
      <c r="K20" s="1">
        <f t="shared" si="1"/>
        <v>1471.5295434280513</v>
      </c>
      <c r="L20" s="1">
        <f t="shared" si="2"/>
        <v>7824.9930826424634</v>
      </c>
      <c r="M20" s="1">
        <f t="shared" si="3"/>
        <v>981.20903780344781</v>
      </c>
      <c r="N20" s="0">
        <v>1072.654805668639</v>
      </c>
      <c r="R20">
        <f t="shared" si="4"/>
        <v>320.33098396404722</v>
      </c>
      <c r="S20" s="0">
        <v>611.98204856564371</v>
      </c>
      <c r="T20" s="1">
        <f t="shared" si="5"/>
        <v>2620.1504178972787</v>
      </c>
    </row>
    <row r="21" x14ac:dyDescent="0.3">
      <c r="A21">
        <f t="shared" si="6"/>
        <v>20</v>
      </c>
      <c r="B21" s="1" t="s">
        <v>64</v>
      </c>
      <c r="C21" s="2">
        <v>127.78999999999999</v>
      </c>
      <c r="D21" s="2"/>
      <c r="E21" s="0">
        <v>176.90956008843986</v>
      </c>
      <c r="F21" s="0">
        <v>324.70530618612366</v>
      </c>
      <c r="G21" s="0">
        <v>1439.0891432381122</v>
      </c>
      <c r="H21" s="0">
        <v>2087.2171432381119</v>
      </c>
      <c r="I21" s="0">
        <v>1488.8881432381122</v>
      </c>
      <c r="J21" s="1">
        <f t="shared" si="0"/>
        <v>59.982039812371674</v>
      </c>
      <c r="K21" s="1">
        <f t="shared" si="1"/>
        <v>1445.7956278919501</v>
      </c>
      <c r="L21" s="1">
        <f t="shared" si="2"/>
        <v>7734.038798176809</v>
      </c>
      <c r="M21" s="1">
        <f t="shared" si="3"/>
        <v>964.69013466887668</v>
      </c>
      <c r="N21" s="0">
        <v>1131.8723833141339</v>
      </c>
      <c r="R21">
        <f t="shared" si="4"/>
        <v>271.06538073276062</v>
      </c>
      <c r="S21" s="0">
        <v>656.45013269482138</v>
      </c>
      <c r="T21" s="1">
        <f t="shared" si="5"/>
        <v>2694.0481607100078</v>
      </c>
    </row>
    <row r="22" x14ac:dyDescent="0.3">
      <c r="A22">
        <f t="shared" si="6"/>
        <v>21</v>
      </c>
      <c r="B22" s="1" t="s">
        <v>65</v>
      </c>
      <c r="C22" s="2">
        <v>176.49318181818182</v>
      </c>
      <c r="D22" s="2"/>
      <c r="E22" s="0">
        <v>209.39378465473979</v>
      </c>
      <c r="F22" s="0">
        <v>325.58861328612369</v>
      </c>
      <c r="G22" s="0">
        <v>1449.338227798102</v>
      </c>
      <c r="H22" s="0">
        <v>2097.4662277981024</v>
      </c>
      <c r="I22" s="0">
        <v>1499.1372277981025</v>
      </c>
      <c r="J22" s="1">
        <f t="shared" si="0"/>
        <v>47.156992139360348</v>
      </c>
      <c r="K22" s="1">
        <f t="shared" si="1"/>
        <v>1420.3258226155351</v>
      </c>
      <c r="L22" s="1">
        <f t="shared" si="2"/>
        <v>7644.0179884346644</v>
      </c>
      <c r="M22" s="1">
        <f t="shared" si="3"/>
        <v>948.34076701717834</v>
      </c>
      <c r="N22" s="0">
        <v>1233.9769678741238</v>
      </c>
      <c r="R22">
        <f t="shared" si="4"/>
        <v>235.88715354578608</v>
      </c>
      <c r="S22" s="0">
        <v>703.32682297859844</v>
      </c>
      <c r="T22" s="1">
        <f t="shared" si="5"/>
        <v>2774.9047096845984</v>
      </c>
    </row>
    <row r="23" x14ac:dyDescent="0.3">
      <c r="A23">
        <f t="shared" si="6"/>
        <v>22</v>
      </c>
      <c r="B23" s="1" t="s">
        <v>66</v>
      </c>
      <c r="C23" s="2">
        <v>218.49409090909091</v>
      </c>
      <c r="D23" s="2"/>
      <c r="E23" s="0">
        <v>236.12747593209937</v>
      </c>
      <c r="F23" s="0">
        <v>324.61185048612367</v>
      </c>
      <c r="G23" s="0">
        <v>1452.9867777856168</v>
      </c>
      <c r="H23" s="0">
        <v>2101.1147777856163</v>
      </c>
      <c r="I23" s="0">
        <v>1502.7857777856168</v>
      </c>
      <c r="J23" s="1">
        <f t="shared" si="0"/>
        <v>35.910866296276097</v>
      </c>
      <c r="K23" s="1">
        <f t="shared" si="1"/>
        <v>1393.8823618024255</v>
      </c>
      <c r="L23" s="1">
        <f t="shared" si="2"/>
        <v>7550.5558779494604</v>
      </c>
      <c r="M23" s="1">
        <f t="shared" si="3"/>
        <v>931.36639842170393</v>
      </c>
      <c r="N23" s="0">
        <v>1136.0515178616386</v>
      </c>
      <c r="R23">
        <f t="shared" si="4"/>
        <v>212.78125494457879</v>
      </c>
      <c r="S23" s="0">
        <v>738.56248248937868</v>
      </c>
      <c r="T23" s="1">
        <f t="shared" si="5"/>
        <v>2822.6685761644894</v>
      </c>
    </row>
    <row r="24" x14ac:dyDescent="0.3">
      <c r="A24">
        <f t="shared" si="6"/>
        <v>23</v>
      </c>
      <c r="B24" s="1" t="s">
        <v>67</v>
      </c>
      <c r="C24" s="2">
        <v>216.26000000000002</v>
      </c>
      <c r="D24" s="2"/>
      <c r="E24" s="0">
        <v>235.0253715024526</v>
      </c>
      <c r="F24" s="0">
        <v>325.09822208612371</v>
      </c>
      <c r="G24" s="0">
        <v>1454.0895995947913</v>
      </c>
      <c r="H24" s="0">
        <v>2102.2175995947914</v>
      </c>
      <c r="I24" s="0">
        <v>1503.8885995947917</v>
      </c>
      <c r="J24" s="1">
        <f t="shared" si="0"/>
        <v>36.55554000960678</v>
      </c>
      <c r="K24" s="1">
        <f t="shared" si="1"/>
        <v>1396.4080505066881</v>
      </c>
      <c r="L24" s="1">
        <f t="shared" si="2"/>
        <v>7559.4827048272809</v>
      </c>
      <c r="M24" s="1">
        <f t="shared" si="3"/>
        <v>932.98766771495514</v>
      </c>
      <c r="N24" s="0">
        <v>1187.7323396708134</v>
      </c>
      <c r="R24">
        <f t="shared" si="4"/>
        <v>214.00232842124387</v>
      </c>
      <c r="S24" s="0">
        <v>737.98513889837966</v>
      </c>
      <c r="T24" s="1">
        <f t="shared" si="5"/>
        <v>2825.6166707636344</v>
      </c>
    </row>
    <row r="25" x14ac:dyDescent="0.3">
      <c r="A25">
        <f t="shared" si="6"/>
        <v>24</v>
      </c>
      <c r="B25" s="1" t="s">
        <v>68</v>
      </c>
      <c r="C25" s="2">
        <v>261.83545454545458</v>
      </c>
      <c r="D25" s="2"/>
      <c r="E25" s="0">
        <v>265.16626586724703</v>
      </c>
      <c r="F25" s="0">
        <v>325.57554958612366</v>
      </c>
      <c r="G25" s="0">
        <v>1462.6378346876263</v>
      </c>
      <c r="H25" s="0">
        <v>2110.765834687626</v>
      </c>
      <c r="I25" s="0">
        <v>1512.4368346876263</v>
      </c>
      <c r="J25" s="1">
        <f t="shared" si="0"/>
        <v>24.516754756037592</v>
      </c>
      <c r="K25" s="1">
        <f t="shared" si="1"/>
        <v>1371.674191088636</v>
      </c>
      <c r="L25" s="1">
        <f t="shared" si="2"/>
        <v>7472.0630316614515</v>
      </c>
      <c r="M25" s="1">
        <f t="shared" si="3"/>
        <v>917.11071236792577</v>
      </c>
      <c r="N25" s="0">
        <v>1245.9180747636483</v>
      </c>
      <c r="R25">
        <f t="shared" si="4"/>
        <v>194.46006097384304</v>
      </c>
      <c r="S25" s="0">
        <v>780.8087481547584</v>
      </c>
      <c r="T25" s="1">
        <f t="shared" si="5"/>
        <v>2896.867878019726</v>
      </c>
    </row>
    <row r="26" x14ac:dyDescent="0.3">
      <c r="A26">
        <f t="shared" si="6"/>
        <v>25</v>
      </c>
      <c r="B26" s="1" t="s">
        <v>69</v>
      </c>
      <c r="C26" s="2">
        <v>324.83681818181822</v>
      </c>
      <c r="D26" s="2"/>
      <c r="E26" s="0">
        <v>324.05649427753929</v>
      </c>
      <c r="F26" s="0">
        <v>386.73566337805357</v>
      </c>
      <c r="G26" s="0">
        <v>1489.6898321795004</v>
      </c>
      <c r="H26" s="0">
        <v>2028.0168321795002</v>
      </c>
      <c r="I26" s="0">
        <v>1723.5988321795001</v>
      </c>
      <c r="J26" s="1">
        <f t="shared" si="0"/>
        <v>25.437974472611319</v>
      </c>
      <c r="K26" s="1">
        <f t="shared" si="1"/>
        <v>1335.2042816746405</v>
      </c>
      <c r="L26" s="1">
        <f t="shared" si="2"/>
        <v>6898.6248498055083</v>
      </c>
      <c r="M26" s="1">
        <f t="shared" si="3"/>
        <v>1029.0752484573241</v>
      </c>
      <c r="N26" s="0">
        <v>1418.4340722555219</v>
      </c>
      <c r="R26">
        <f t="shared" si="4"/>
        <v>190.12733626222584</v>
      </c>
      <c r="S26" s="0">
        <v>940.17647483217706</v>
      </c>
      <c r="T26" s="1">
        <f t="shared" si="5"/>
        <v>3461.3482053631328</v>
      </c>
    </row>
    <row r="27" x14ac:dyDescent="0.3">
      <c r="A27">
        <f t="shared" si="6"/>
        <v>26</v>
      </c>
      <c r="B27" s="1" t="s">
        <v>70</v>
      </c>
      <c r="C27" s="2">
        <v>275.24000000000007</v>
      </c>
      <c r="D27" s="2"/>
      <c r="E27" s="0">
        <v>291.3367039393807</v>
      </c>
      <c r="F27" s="0">
        <v>386.32566417805356</v>
      </c>
      <c r="G27" s="0">
        <v>1480.7140763431803</v>
      </c>
      <c r="H27" s="0">
        <v>2019.0410763431801</v>
      </c>
      <c r="I27" s="0">
        <v>1714.6230763431799</v>
      </c>
      <c r="J27" s="1">
        <f t="shared" si="0"/>
        <v>38.550714382578271</v>
      </c>
      <c r="K27" s="1">
        <f t="shared" si="1"/>
        <v>1362.4024884350511</v>
      </c>
      <c r="L27" s="1">
        <f t="shared" si="2"/>
        <v>6994.7545441449356</v>
      </c>
      <c r="M27" s="1">
        <f t="shared" si="3"/>
        <v>1046.5340973557347</v>
      </c>
      <c r="N27" s="0">
        <v>1366.822316419202</v>
      </c>
      <c r="R27">
        <f t="shared" si="4"/>
        <v>206.82747316932551</v>
      </c>
      <c r="S27" s="0">
        <v>893.90104711200058</v>
      </c>
      <c r="T27" s="1">
        <f t="shared" si="5"/>
        <v>3385.1929391720205</v>
      </c>
    </row>
    <row r="28" x14ac:dyDescent="0.3">
      <c r="A28">
        <f t="shared" si="6"/>
        <v>27</v>
      </c>
      <c r="B28" s="1" t="s">
        <v>71</v>
      </c>
      <c r="C28" s="2">
        <v>273.89954545454549</v>
      </c>
      <c r="D28" s="2"/>
      <c r="E28" s="0">
        <v>290.34732528159259</v>
      </c>
      <c r="F28" s="0">
        <v>386.17191447805357</v>
      </c>
      <c r="G28" s="0">
        <v>1480.045569428685</v>
      </c>
      <c r="H28" s="0">
        <v>2018.3725694286848</v>
      </c>
      <c r="I28" s="0">
        <v>1713.9545694286846</v>
      </c>
      <c r="J28" s="1">
        <f t="shared" si="0"/>
        <v>38.889849511550722</v>
      </c>
      <c r="K28" s="1">
        <f t="shared" si="1"/>
        <v>1362.7700391146532</v>
      </c>
      <c r="L28" s="1">
        <f t="shared" si="2"/>
        <v>6996.0536200287115</v>
      </c>
      <c r="M28" s="1">
        <f t="shared" si="3"/>
        <v>1046.7700324610969</v>
      </c>
      <c r="N28" s="0">
        <v>1350.1653095047068</v>
      </c>
      <c r="R28">
        <f t="shared" si="4"/>
        <v>207.29556061592081</v>
      </c>
      <c r="S28" s="0">
        <v>892.22444095740116</v>
      </c>
      <c r="T28" s="1">
        <f t="shared" si="5"/>
        <v>3381.3321105382497</v>
      </c>
    </row>
    <row r="29" x14ac:dyDescent="0.3">
      <c r="A29">
        <f t="shared" si="6"/>
        <v>28</v>
      </c>
      <c r="B29" s="1" t="s">
        <v>72</v>
      </c>
      <c r="C29" s="2">
        <v>319.47500000000002</v>
      </c>
      <c r="D29" s="2"/>
      <c r="E29" s="0">
        <v>320.61623964638704</v>
      </c>
      <c r="F29" s="0">
        <v>386.82308967805358</v>
      </c>
      <c r="G29" s="0">
        <v>1489.1128045215198</v>
      </c>
      <c r="H29" s="0">
        <v>2027.4398045215196</v>
      </c>
      <c r="I29" s="0">
        <v>1723.0218045215195</v>
      </c>
      <c r="J29" s="1">
        <f t="shared" si="0"/>
        <v>26.869663162202329</v>
      </c>
      <c r="K29" s="1">
        <f t="shared" si="1"/>
        <v>1338.4840376576549</v>
      </c>
      <c r="L29" s="1">
        <f t="shared" si="2"/>
        <v>6910.2168618426404</v>
      </c>
      <c r="M29" s="1">
        <f t="shared" si="3"/>
        <v>1031.1805624081856</v>
      </c>
      <c r="N29" s="0">
        <v>1426.9485445975413</v>
      </c>
      <c r="R29">
        <f t="shared" si="4"/>
        <v>191.80276434083063</v>
      </c>
      <c r="S29" s="0">
        <v>935.56705021377957</v>
      </c>
      <c r="T29" s="1">
        <f t="shared" si="5"/>
        <v>3454.7798346482718</v>
      </c>
    </row>
    <row r="30" x14ac:dyDescent="0.3">
      <c r="A30">
        <f t="shared" si="6"/>
        <v>29</v>
      </c>
      <c r="B30" s="1" t="s">
        <v>73</v>
      </c>
      <c r="C30" s="2">
        <v>398.11500000000001</v>
      </c>
      <c r="D30" s="2"/>
      <c r="E30" s="0">
        <v>371.99312756995391</v>
      </c>
      <c r="F30" s="0">
        <v>386.78992797805353</v>
      </c>
      <c r="G30" s="0">
        <v>1501.3048768385684</v>
      </c>
      <c r="H30" s="0">
        <v>2039.6318768385681</v>
      </c>
      <c r="I30" s="0">
        <v>1735.213876838568</v>
      </c>
      <c r="J30" s="1">
        <f t="shared" si="0"/>
        <v>6.0051949708196481</v>
      </c>
      <c r="K30" s="1">
        <f t="shared" si="1"/>
        <v>1293.598796413075</v>
      </c>
      <c r="L30" s="1">
        <f t="shared" si="2"/>
        <v>6751.5738836785986</v>
      </c>
      <c r="M30" s="1">
        <f t="shared" si="3"/>
        <v>1002.368197991628</v>
      </c>
      <c r="N30" s="0">
        <v>1435.6921169145903</v>
      </c>
      <c r="R30">
        <f t="shared" si="4"/>
        <v>170.677297506684</v>
      </c>
      <c r="S30" s="0">
        <v>1006.9009446169426</v>
      </c>
      <c r="T30" s="1">
        <f t="shared" si="5"/>
        <v>3566.8978485785874</v>
      </c>
    </row>
    <row r="31" x14ac:dyDescent="0.3">
      <c r="A31">
        <f t="shared" si="6"/>
        <v>30</v>
      </c>
      <c r="B31" s="1" t="s">
        <v>74</v>
      </c>
      <c r="C31" s="2">
        <v>460.22272727272735</v>
      </c>
      <c r="D31" s="2"/>
      <c r="E31" s="0">
        <v>414.12767871413462</v>
      </c>
      <c r="F31" s="0">
        <v>388.88011997805353</v>
      </c>
      <c r="G31" s="0">
        <v>1517.2520305435098</v>
      </c>
      <c r="H31" s="0">
        <v>2055.5790305435098</v>
      </c>
      <c r="I31" s="0">
        <v>1751.1610305435095</v>
      </c>
      <c r="J31" s="1">
        <f t="shared" si="0"/>
        <v>-10.246574162370573</v>
      </c>
      <c r="K31" s="1">
        <f t="shared" si="1"/>
        <v>1263.6017775823314</v>
      </c>
      <c r="L31" s="1">
        <f t="shared" si="2"/>
        <v>6645.5520316978736</v>
      </c>
      <c r="M31" s="1">
        <f t="shared" si="3"/>
        <v>983.11275869806968</v>
      </c>
      <c r="N31" s="0">
        <v>1668.9992706195319</v>
      </c>
      <c r="R31">
        <f t="shared" si="4"/>
        <v>158.26737777288497</v>
      </c>
      <c r="S31" s="0">
        <v>1069.5566964467134</v>
      </c>
      <c r="T31" s="1">
        <f t="shared" si="5"/>
        <v>3682.1854928796552</v>
      </c>
    </row>
    <row r="32" x14ac:dyDescent="0.3">
      <c r="A32">
        <f t="shared" si="6"/>
        <v>31</v>
      </c>
      <c r="B32" s="1" t="s">
        <v>75</v>
      </c>
      <c r="C32" s="2">
        <v>558.96954545454548</v>
      </c>
      <c r="D32" s="2"/>
      <c r="E32" s="0">
        <v>479.20120650452259</v>
      </c>
      <c r="F32" s="0">
        <v>389.59962837805352</v>
      </c>
      <c r="G32" s="0">
        <v>1534.8337065779851</v>
      </c>
      <c r="H32" s="0">
        <v>2073.1607065779849</v>
      </c>
      <c r="I32" s="0">
        <v>1768.7427065779848</v>
      </c>
      <c r="J32" s="1">
        <f t="shared" si="0"/>
        <v>-36.364276837041018</v>
      </c>
      <c r="K32" s="1">
        <f t="shared" si="1"/>
        <v>1209.2010310119847</v>
      </c>
      <c r="L32" s="1">
        <f t="shared" si="2"/>
        <v>6453.2773282326398</v>
      </c>
      <c r="M32" s="1">
        <f t="shared" si="3"/>
        <v>948.19227946578098</v>
      </c>
      <c r="N32" s="0">
        <v>1761.4029466540073</v>
      </c>
      <c r="R32">
        <f t="shared" si="4"/>
        <v>142.36201149003281</v>
      </c>
      <c r="S32" s="0">
        <v>1161.4016831688668</v>
      </c>
      <c r="T32" s="1">
        <f t="shared" si="5"/>
        <v>3832.5869475524946</v>
      </c>
    </row>
    <row r="33" x14ac:dyDescent="0.3">
      <c r="A33">
        <f t="shared" si="6"/>
        <v>32</v>
      </c>
      <c r="B33" s="1" t="s">
        <v>76</v>
      </c>
      <c r="C33" s="2">
        <v>689.4404545454546</v>
      </c>
      <c r="D33" s="2"/>
      <c r="E33" s="0">
        <v>564.59312919589479</v>
      </c>
      <c r="F33" s="0">
        <v>389.75237317805357</v>
      </c>
      <c r="G33" s="0">
        <v>1555.6817129221793</v>
      </c>
      <c r="H33" s="0">
        <v>2094.0087129221788</v>
      </c>
      <c r="I33" s="0">
        <v>1789.5907129221789</v>
      </c>
      <c r="J33" s="1">
        <f t="shared" si="0"/>
        <v>-70.958099033214779</v>
      </c>
      <c r="K33" s="1">
        <f t="shared" si="1"/>
        <v>1135.267564405824</v>
      </c>
      <c r="L33" s="1">
        <f t="shared" si="2"/>
        <v>6191.965926017343</v>
      </c>
      <c r="M33" s="1">
        <f t="shared" si="3"/>
        <v>900.73351744579713</v>
      </c>
      <c r="N33" s="0">
        <v>1798.1349529982015</v>
      </c>
      <c r="R33">
        <f t="shared" si="4"/>
        <v>126.7777064001358</v>
      </c>
      <c r="S33" s="0">
        <v>1280.3713488832057</v>
      </c>
      <c r="T33" s="1">
        <f t="shared" si="5"/>
        <v>4021.2259532994981</v>
      </c>
    </row>
    <row r="34" x14ac:dyDescent="0.3">
      <c r="A34">
        <f t="shared" si="6"/>
        <v>33</v>
      </c>
      <c r="B34" s="1" t="s">
        <v>77</v>
      </c>
      <c r="C34" s="2">
        <v>1020.5327272727274</v>
      </c>
      <c r="D34" s="2"/>
      <c r="E34" s="0">
        <v>784.37353766954857</v>
      </c>
      <c r="F34" s="0">
        <v>394.32768287805357</v>
      </c>
      <c r="G34" s="0">
        <v>1621.0889208024792</v>
      </c>
      <c r="H34" s="0">
        <v>2159.4159208024789</v>
      </c>
      <c r="I34" s="0">
        <v>1854.9979208024788</v>
      </c>
      <c r="J34" s="1">
        <f t="shared" si="0"/>
        <v>-158.29783067836649</v>
      </c>
      <c r="K34" s="1">
        <f t="shared" si="1"/>
        <v>958.43686498617478</v>
      </c>
      <c r="L34" s="1">
        <f t="shared" si="2"/>
        <v>5566.9732110644945</v>
      </c>
      <c r="M34" s="1">
        <f t="shared" si="3"/>
        <v>787.22381112715448</v>
      </c>
      <c r="N34" s="0">
        <v>2339.330660878501</v>
      </c>
      <c r="R34">
        <f t="shared" si="4"/>
        <v>103.31882610516108</v>
      </c>
      <c r="S34" s="0">
        <v>1594.7790690692495</v>
      </c>
      <c r="T34" s="1">
        <f t="shared" si="5"/>
        <v>4552.8400640432628</v>
      </c>
    </row>
    <row r="35" x14ac:dyDescent="0.3">
      <c r="A35">
        <f t="shared" si="6"/>
        <v>34</v>
      </c>
      <c r="B35" s="1" t="s">
        <v>78</v>
      </c>
      <c r="C35" s="2">
        <v>1387.3704545454545</v>
      </c>
      <c r="D35" s="2"/>
      <c r="E35" s="0">
        <v>1024.9777570175509</v>
      </c>
      <c r="F35" s="0">
        <v>395.45317087805353</v>
      </c>
      <c r="G35" s="0">
        <v>1681.7839797359834</v>
      </c>
      <c r="H35" s="0">
        <v>2220.1109797359832</v>
      </c>
      <c r="I35" s="0">
        <v>1915.692979735983</v>
      </c>
      <c r="J35" s="1">
        <f t="shared" si="0"/>
        <v>-255.48887424492588</v>
      </c>
      <c r="K35" s="1">
        <f t="shared" si="1"/>
        <v>752.35535248388612</v>
      </c>
      <c r="L35" s="1">
        <f t="shared" si="2"/>
        <v>4838.596043394462</v>
      </c>
      <c r="M35" s="1">
        <f t="shared" si="3"/>
        <v>654.93766376355302</v>
      </c>
      <c r="N35" s="0">
        <v>2517.0657198120052</v>
      </c>
      <c r="R35">
        <f t="shared" si="4"/>
        <v>88.429190144680049</v>
      </c>
      <c r="S35" s="0">
        <v>1931.3572867112775</v>
      </c>
      <c r="T35" s="1">
        <f t="shared" si="5"/>
        <v>5092.0198297400366</v>
      </c>
    </row>
    <row r="36" x14ac:dyDescent="0.3">
      <c r="A36">
        <f t="shared" si="6"/>
        <v>35</v>
      </c>
      <c r="B36" s="1" t="s">
        <v>79</v>
      </c>
      <c r="C36" s="2">
        <v>1234.1118181818183</v>
      </c>
      <c r="D36" s="2"/>
      <c r="E36" s="0">
        <v>927.52015714378138</v>
      </c>
      <c r="F36" s="0">
        <v>399.14215877805356</v>
      </c>
      <c r="G36" s="0">
        <v>1668.8433558453719</v>
      </c>
      <c r="H36" s="0">
        <v>2207.1703558453719</v>
      </c>
      <c r="I36" s="0">
        <v>1902.7523558453715</v>
      </c>
      <c r="J36" s="1">
        <f t="shared" si="0"/>
        <v>-214.43912271336353</v>
      </c>
      <c r="K36" s="1">
        <f t="shared" si="1"/>
        <v>849.16746701213117</v>
      </c>
      <c r="L36" s="1">
        <f t="shared" si="2"/>
        <v>5180.7700352291095</v>
      </c>
      <c r="M36" s="1">
        <f t="shared" si="3"/>
        <v>717.0824990452868</v>
      </c>
      <c r="N36" s="0">
        <v>2887.7445959213933</v>
      </c>
      <c r="R36">
        <f t="shared" si="4"/>
        <v>94.40626734425021</v>
      </c>
      <c r="S36" s="0">
        <v>1803.1573163687492</v>
      </c>
      <c r="T36" s="1">
        <f t="shared" si="5"/>
        <v>4919.3098832863352</v>
      </c>
    </row>
    <row r="37" x14ac:dyDescent="0.3">
      <c r="A37">
        <f t="shared" si="6"/>
        <v>36</v>
      </c>
      <c r="B37" s="1" t="s">
        <v>80</v>
      </c>
      <c r="C37" s="2">
        <v>1699.2495454545456</v>
      </c>
      <c r="D37" s="2"/>
      <c r="E37" s="0">
        <v>1234.8557513962423</v>
      </c>
      <c r="F37" s="0">
        <v>403.63506667805353</v>
      </c>
      <c r="G37" s="0">
        <v>1754.9552551751863</v>
      </c>
      <c r="H37" s="0">
        <v>2293.282255175186</v>
      </c>
      <c r="I37" s="0">
        <v>1988.8642551751859</v>
      </c>
      <c r="J37" s="1">
        <f t="shared" si="0"/>
        <v>-337.34605710965451</v>
      </c>
      <c r="K37" s="1">
        <f t="shared" si="1"/>
        <v>595.76117271356691</v>
      </c>
      <c r="L37" s="1">
        <f t="shared" si="2"/>
        <v>4285.1275456637386</v>
      </c>
      <c r="M37" s="1">
        <f t="shared" si="3"/>
        <v>554.41801748451735</v>
      </c>
      <c r="N37" s="0">
        <v>3441.075995251208</v>
      </c>
      <c r="R37">
        <f t="shared" si="4"/>
        <v>81.323174750007809</v>
      </c>
      <c r="S37" s="0">
        <v>2239.0796520147305</v>
      </c>
      <c r="T37" s="1">
        <f t="shared" si="5"/>
        <v>5641.7073068454374</v>
      </c>
    </row>
    <row r="38" x14ac:dyDescent="0.3">
      <c r="A38">
        <f t="shared" si="6"/>
        <v>37</v>
      </c>
      <c r="B38" s="1" t="s">
        <v>81</v>
      </c>
      <c r="C38" s="2">
        <v>1262.7081818181821</v>
      </c>
      <c r="D38" s="2"/>
      <c r="E38" s="0">
        <v>962.26814598119142</v>
      </c>
      <c r="F38" s="0">
        <v>457.29252742614233</v>
      </c>
      <c r="G38" s="0">
        <v>1890.8941960015923</v>
      </c>
      <c r="H38" s="0">
        <v>2512.479397272778</v>
      </c>
      <c r="I38" s="0">
        <v>2160.9797998151516</v>
      </c>
      <c r="J38" s="1">
        <f t="shared" si="0"/>
        <v>-204.94140363435434</v>
      </c>
      <c r="K38" s="1">
        <f t="shared" si="1"/>
        <v>1063.7182703555566</v>
      </c>
      <c r="L38" s="1">
        <f t="shared" si="2"/>
        <v>6276.1589121116849</v>
      </c>
      <c r="M38" s="1">
        <f t="shared" si="3"/>
        <v>881.40562781908829</v>
      </c>
      <c r="N38" s="0">
        <v>2864.1652072640541</v>
      </c>
      <c r="R38">
        <f t="shared" si="4"/>
        <v>99.938334403378121</v>
      </c>
      <c r="S38" s="0">
        <v>1923.9429035690612</v>
      </c>
      <c r="T38" s="1">
        <f t="shared" si="5"/>
        <v>5402.6671774599408</v>
      </c>
    </row>
    <row r="39" x14ac:dyDescent="0.3">
      <c r="A39">
        <f t="shared" si="6"/>
        <v>38</v>
      </c>
      <c r="B39" s="1" t="s">
        <v>82</v>
      </c>
      <c r="C39" s="2">
        <v>1216.6859090909093</v>
      </c>
      <c r="D39" s="2"/>
      <c r="E39" s="0">
        <v>929.29403873046761</v>
      </c>
      <c r="F39" s="0">
        <v>453.3643733261423</v>
      </c>
      <c r="G39" s="0">
        <v>1871.9741252705924</v>
      </c>
      <c r="H39" s="0">
        <v>2493.5593265417783</v>
      </c>
      <c r="I39" s="0">
        <v>2142.0597290841515</v>
      </c>
      <c r="J39" s="1">
        <f t="shared" si="0"/>
        <v>-193.15327329720995</v>
      </c>
      <c r="K39" s="1">
        <f t="shared" si="1"/>
        <v>1079.8168230700169</v>
      </c>
      <c r="L39" s="1">
        <f t="shared" si="2"/>
        <v>6333.0578453899207</v>
      </c>
      <c r="M39" s="1">
        <f t="shared" si="3"/>
        <v>891.73947820123817</v>
      </c>
      <c r="N39" s="0">
        <v>2436.754636533055</v>
      </c>
      <c r="R39">
        <f t="shared" si="4"/>
        <v>101.27229355196337</v>
      </c>
      <c r="S39" s="0">
        <v>1870.4114255944828</v>
      </c>
      <c r="T39" s="1">
        <f t="shared" si="5"/>
        <v>5287.1763306967132</v>
      </c>
    </row>
    <row r="40" x14ac:dyDescent="0.3">
      <c r="A40">
        <f t="shared" si="6"/>
        <v>39</v>
      </c>
      <c r="B40" s="1" t="s">
        <v>83</v>
      </c>
      <c r="C40" s="2">
        <v>1894.062272727273</v>
      </c>
      <c r="D40" s="2"/>
      <c r="E40" s="0">
        <v>1381.1467337993734</v>
      </c>
      <c r="F40" s="0">
        <v>465.72263352614232</v>
      </c>
      <c r="G40" s="0">
        <v>2014.7389527288042</v>
      </c>
      <c r="H40" s="0">
        <v>2636.3241539999899</v>
      </c>
      <c r="I40" s="0">
        <v>2284.8245565423636</v>
      </c>
      <c r="J40" s="1">
        <f t="shared" si="0"/>
        <v>-371.5195212147853</v>
      </c>
      <c r="K40" s="1">
        <f t="shared" si="1"/>
        <v>725.7642828515817</v>
      </c>
      <c r="L40" s="1">
        <f t="shared" si="2"/>
        <v>5081.6899603263819</v>
      </c>
      <c r="M40" s="1">
        <f t="shared" si="3"/>
        <v>664.46898731102215</v>
      </c>
      <c r="N40" s="0">
        <v>3864.6604639912666</v>
      </c>
      <c r="R40">
        <f t="shared" si="4"/>
        <v>82.645503236718326</v>
      </c>
      <c r="S40" s="0">
        <v>2522.6024023853638</v>
      </c>
      <c r="T40" s="1">
        <f t="shared" si="5"/>
        <v>6412.6722954269108</v>
      </c>
    </row>
    <row r="41" x14ac:dyDescent="0.3">
      <c r="A41">
        <f t="shared" si="6"/>
        <v>40</v>
      </c>
      <c r="B41" s="1" t="s">
        <v>84</v>
      </c>
      <c r="C41" s="2">
        <v>1438.7545454545457</v>
      </c>
      <c r="D41" s="2"/>
      <c r="E41" s="0">
        <v>1077.1986030373582</v>
      </c>
      <c r="F41" s="0">
        <v>457.10461112614229</v>
      </c>
      <c r="G41" s="0">
        <v>1917.8484374386207</v>
      </c>
      <c r="H41" s="0">
        <v>2539.4336387098069</v>
      </c>
      <c r="I41" s="0">
        <v>2187.9340412521801</v>
      </c>
      <c r="J41" s="1">
        <f t="shared" si="0"/>
        <v>-251.66152269124021</v>
      </c>
      <c r="K41" s="1">
        <f t="shared" si="1"/>
        <v>962.94368201748284</v>
      </c>
      <c r="L41" s="1">
        <f t="shared" si="2"/>
        <v>5919.9799015078879</v>
      </c>
      <c r="M41" s="1">
        <f t="shared" si="3"/>
        <v>816.71723398148663</v>
      </c>
      <c r="N41" s="0">
        <v>2871.5779487010827</v>
      </c>
      <c r="O41" s="14"/>
      <c r="R41">
        <f t="shared" si="4"/>
        <v>93.399264784186485</v>
      </c>
      <c r="S41" s="0">
        <v>2083.2941785397784</v>
      </c>
      <c r="T41" s="1">
        <f t="shared" si="5"/>
        <v>5652.2223342832576</v>
      </c>
    </row>
    <row r="42" x14ac:dyDescent="0.3">
      <c r="A42">
        <f t="shared" si="6"/>
        <v>41</v>
      </c>
      <c r="B42" s="1" t="s">
        <v>85</v>
      </c>
      <c r="C42" s="2">
        <v>1303.3686363636366</v>
      </c>
      <c r="D42" s="2"/>
      <c r="E42" s="0">
        <v>989.55831860076296</v>
      </c>
      <c r="F42" s="0">
        <v>458.2612510261423</v>
      </c>
      <c r="G42" s="0">
        <v>1900.1412390746116</v>
      </c>
      <c r="H42" s="0">
        <v>2521.7264403457975</v>
      </c>
      <c r="I42" s="0">
        <v>2170.2268428881707</v>
      </c>
      <c r="J42" s="1">
        <f t="shared" si="0"/>
        <v>-215.62380989229734</v>
      </c>
      <c r="K42" s="1">
        <f t="shared" si="1"/>
        <v>1043.0503098211325</v>
      </c>
      <c r="L42" s="1">
        <f t="shared" si="2"/>
        <v>6203.1098046357665</v>
      </c>
      <c r="M42" s="1">
        <f t="shared" si="3"/>
        <v>868.13862079956448</v>
      </c>
      <c r="N42" s="0">
        <v>2974.1502503370743</v>
      </c>
      <c r="R42">
        <f t="shared" si="4"/>
        <v>98.449037314143794</v>
      </c>
      <c r="S42" s="0">
        <v>1963.768956925242</v>
      </c>
      <c r="T42" s="1">
        <f t="shared" si="5"/>
        <v>5473.0934737330272</v>
      </c>
    </row>
    <row r="43" x14ac:dyDescent="0.3">
      <c r="A43">
        <f t="shared" si="6"/>
        <v>42</v>
      </c>
      <c r="B43" s="1" t="s">
        <v>86</v>
      </c>
      <c r="C43" s="2">
        <v>1499.5218181818184</v>
      </c>
      <c r="D43" s="2"/>
      <c r="E43" s="0">
        <v>1120.779115523751</v>
      </c>
      <c r="F43" s="0">
        <v>462.34817932614231</v>
      </c>
      <c r="G43" s="0">
        <v>1943.0000842290674</v>
      </c>
      <c r="H43" s="0">
        <v>2564.5852855002536</v>
      </c>
      <c r="I43" s="0">
        <v>2213.0856880426268</v>
      </c>
      <c r="J43" s="1">
        <f t="shared" si="0"/>
        <v>-267.22034748279572</v>
      </c>
      <c r="K43" s="1">
        <f t="shared" si="1"/>
        <v>941.83387022373017</v>
      </c>
      <c r="L43" s="1">
        <f t="shared" si="2"/>
        <v>5845.3691092166082</v>
      </c>
      <c r="M43" s="1">
        <f t="shared" si="3"/>
        <v>803.16659744034973</v>
      </c>
      <c r="N43" s="0">
        <v>3442.0105954915293</v>
      </c>
      <c r="R43">
        <f t="shared" si="4"/>
        <v>92.200790894314295</v>
      </c>
      <c r="S43" s="0">
        <v>2154.1463242149498</v>
      </c>
      <c r="T43" s="1">
        <f t="shared" si="5"/>
        <v>5805.4337566921267</v>
      </c>
    </row>
    <row r="44" x14ac:dyDescent="0.3">
      <c r="A44">
        <f t="shared" si="6"/>
        <v>43</v>
      </c>
      <c r="B44" s="1" t="s">
        <v>87</v>
      </c>
      <c r="C44" s="2">
        <v>2293.5177272727274</v>
      </c>
      <c r="D44" s="2"/>
      <c r="E44" s="0">
        <v>1646.9410138202186</v>
      </c>
      <c r="F44" s="0">
        <v>472.10374852614234</v>
      </c>
      <c r="G44" s="0">
        <v>2096.2220132483567</v>
      </c>
      <c r="H44" s="0">
        <v>2717.8072145195424</v>
      </c>
      <c r="I44" s="0">
        <v>2366.3076170619161</v>
      </c>
      <c r="J44" s="1">
        <f t="shared" si="0"/>
        <v>-476.80083818753093</v>
      </c>
      <c r="K44" s="1">
        <f t="shared" si="1"/>
        <v>514.64032007805054</v>
      </c>
      <c r="L44" s="1">
        <f t="shared" si="2"/>
        <v>4335.4906910903792</v>
      </c>
      <c r="M44" s="1">
        <f t="shared" si="3"/>
        <v>528.9460317953658</v>
      </c>
      <c r="N44" s="0">
        <v>4609.7185245108176</v>
      </c>
      <c r="R44">
        <f t="shared" si="4"/>
        <v>76.357198714648874</v>
      </c>
      <c r="S44" s="0">
        <v>2904.4990364559758</v>
      </c>
      <c r="T44" s="1">
        <f t="shared" si="5"/>
        <v>7064.9327114368361</v>
      </c>
    </row>
    <row r="45" x14ac:dyDescent="0.3">
      <c r="A45">
        <f t="shared" si="6"/>
        <v>44</v>
      </c>
      <c r="B45" s="1" t="s">
        <v>88</v>
      </c>
      <c r="C45" s="2">
        <v>3129.5145454545459</v>
      </c>
      <c r="D45" s="2"/>
      <c r="E45" s="0">
        <v>2204.7746233940466</v>
      </c>
      <c r="F45" s="0">
        <v>487.58825262614232</v>
      </c>
      <c r="G45" s="0">
        <v>2273.1114922551606</v>
      </c>
      <c r="H45" s="0">
        <v>2894.6966935263463</v>
      </c>
      <c r="I45" s="0">
        <v>2543.1970960687199</v>
      </c>
      <c r="J45" s="1">
        <f t="shared" si="0"/>
        <v>-696.91005307138971</v>
      </c>
      <c r="K45" s="1">
        <f t="shared" si="1"/>
        <v>78.278200299099652</v>
      </c>
      <c r="L45" s="1">
        <f t="shared" si="2"/>
        <v>2793.2067616692289</v>
      </c>
      <c r="M45" s="1">
        <f t="shared" si="3"/>
        <v>248.84005343725983</v>
      </c>
      <c r="N45" s="0">
        <v>6396.8485035176227</v>
      </c>
      <c r="R45">
        <f t="shared" si="4"/>
        <v>68.275993783728183</v>
      </c>
      <c r="S45" s="0">
        <v>3710.1064082077824</v>
      </c>
      <c r="T45" s="1">
        <f t="shared" si="5"/>
        <v>8456.9201394030079</v>
      </c>
    </row>
    <row r="46" x14ac:dyDescent="0.3">
      <c r="A46">
        <f t="shared" si="6"/>
        <v>45</v>
      </c>
      <c r="B46" s="1" t="s">
        <v>89</v>
      </c>
      <c r="C46" s="2">
        <v>2640.6954545454546</v>
      </c>
      <c r="D46" s="2"/>
      <c r="E46" s="0">
        <v>1877.1901861873291</v>
      </c>
      <c r="F46" s="0">
        <v>476.61775932614233</v>
      </c>
      <c r="G46" s="0">
        <v>2163.9603041025985</v>
      </c>
      <c r="H46" s="0">
        <v>2785.5455053737846</v>
      </c>
      <c r="I46" s="0">
        <v>2434.0459079161578</v>
      </c>
      <c r="J46" s="1">
        <f t="shared" si="0"/>
        <v>-568.41413427807913</v>
      </c>
      <c r="K46" s="1">
        <f t="shared" si="1"/>
        <v>328.48810757762811</v>
      </c>
      <c r="L46" s="1">
        <f t="shared" si="2"/>
        <v>3677.5518995403049</v>
      </c>
      <c r="M46" s="1">
        <f t="shared" si="3"/>
        <v>409.45273656531521</v>
      </c>
      <c r="N46" s="0">
        <v>5146.8708153650596</v>
      </c>
      <c r="R46">
        <f t="shared" si="4"/>
        <v>72.243337637742727</v>
      </c>
      <c r="S46" s="0">
        <v>3233.3350304972128</v>
      </c>
      <c r="T46" s="1">
        <f t="shared" si="5"/>
        <v>7618.7912601678836</v>
      </c>
    </row>
    <row r="47" x14ac:dyDescent="0.3">
      <c r="A47">
        <f t="shared" si="6"/>
        <v>46</v>
      </c>
      <c r="B47" s="1" t="s">
        <v>175</v>
      </c>
      <c r="C47" s="2">
        <v>1743.4845454545457</v>
      </c>
      <c r="E47" s="0">
        <v>1275.7703912411798</v>
      </c>
      <c r="F47" s="0">
        <v>456.27858332614232</v>
      </c>
      <c r="G47" s="0">
        <v>1963.0103426671833</v>
      </c>
      <c r="H47" s="0">
        <v>2584.5955439383692</v>
      </c>
      <c r="I47" s="0">
        <v>2233.0959464807429</v>
      </c>
      <c r="J47" s="1">
        <f t="shared" ref="J47:J48" si="7">(E47-F47)/($Q$3-$Q$2)</f>
        <v>-332.58596100447949</v>
      </c>
      <c r="K47" s="1">
        <f t="shared" ref="K47:K48" si="8">(E47-G47)/($Q$4-$Q$2)</f>
        <v>787.21643920504403</v>
      </c>
      <c r="L47" s="1">
        <f t="shared" ref="L47:L48" si="9">(E47-H47)/($Q$5-$Q$2)</f>
        <v>5298.8872578833571</v>
      </c>
      <c r="M47" s="1">
        <f t="shared" ref="M47:M48" si="10">(E47-I47)/($Q$6-$Q$2)</f>
        <v>703.91584944085514</v>
      </c>
      <c r="N47" s="0">
        <v>2830.8408539296456</v>
      </c>
      <c r="R47">
        <f t="shared" si="4"/>
        <v>84.800545657618514</v>
      </c>
      <c r="S47" s="0">
        <v>2357.6306443520348</v>
      </c>
      <c r="T47" s="1">
        <f t="shared" si="5"/>
        <v>6077.8665905104199</v>
      </c>
    </row>
    <row r="48" x14ac:dyDescent="0.3">
      <c r="A48">
        <f t="shared" si="6"/>
        <v>47</v>
      </c>
      <c r="B48" s="1" t="s">
        <v>176</v>
      </c>
      <c r="C48" s="2">
        <v>1596.0345454545457</v>
      </c>
      <c r="E48" s="0">
        <v>1180.7005188844921</v>
      </c>
      <c r="F48" s="0">
        <v>458.0542416261423</v>
      </c>
      <c r="G48" s="0">
        <v>1945.2655820727175</v>
      </c>
      <c r="H48" s="0">
        <v>2566.8507833439039</v>
      </c>
      <c r="I48" s="0">
        <v>2215.3511858862771</v>
      </c>
      <c r="J48" s="1">
        <f t="shared" si="7"/>
        <v>-293.28176836783678</v>
      </c>
      <c r="K48" s="1">
        <f t="shared" si="8"/>
        <v>875.7904503874289</v>
      </c>
      <c r="L48" s="1">
        <f t="shared" si="9"/>
        <v>5611.9443905239332</v>
      </c>
      <c r="M48" s="1">
        <f t="shared" si="10"/>
        <v>760.77254926601836</v>
      </c>
      <c r="N48" s="0">
        <v>2997.7475933351793</v>
      </c>
      <c r="R48">
        <f t="shared" si="4"/>
        <v>88.785803994735659</v>
      </c>
      <c r="S48" s="0">
        <v>2228.9949673461042</v>
      </c>
      <c r="T48" s="1">
        <f t="shared" si="5"/>
        <v>5889.2946542787176</v>
      </c>
    </row>
  </sheetData>
  <conditionalFormatting sqref="F2:I48">
    <cfRule type="cellIs" dxfId="15" priority="6" operator="lessThan">
      <formula>1.05*$E2</formula>
    </cfRule>
  </conditionalFormatting>
  <conditionalFormatting sqref="J2:M46">
    <cfRule type="cellIs" dxfId="14" priority="3" operator="lessThan">
      <formula>0</formula>
    </cfRule>
  </conditionalFormatting>
  <conditionalFormatting sqref="J47:M48">
    <cfRule type="cellIs" dxfId="13" priority="2" operator="lessThan">
      <formula>0</formula>
    </cfRule>
  </conditionalFormatting>
  <conditionalFormatting sqref="F47:I48">
    <cfRule type="cellIs" dxfId="12" priority="1" operator="lessThan">
      <formula>1.05*$E47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5F79-2603-4E5C-A9F7-713E8D37F39C}">
  <sheetPr codeName="Sheet5"/>
  <dimension ref="A1:R48"/>
  <sheetViews>
    <sheetView zoomScale="120" zoomScaleNormal="120" workbookViewId="0">
      <selection activeCell="J45" sqref="J45"/>
    </sheetView>
  </sheetViews>
  <sheetFormatPr defaultRowHeight="14.4" x14ac:dyDescent="0.3"/>
  <cols>
    <col min="1" max="1" width="7.44140625" bestFit="true" customWidth="true"/>
    <col min="2" max="2" width="9.44140625" bestFit="true" customWidth="true"/>
    <col min="3" max="6" width="8.109375" bestFit="true" customWidth="true"/>
    <col min="7" max="7" width="8.44140625" bestFit="true" customWidth="true"/>
    <col min="8" max="8" width="10" bestFit="true" customWidth="true"/>
  </cols>
  <sheetData>
    <row r="1" ht="49.2" x14ac:dyDescent="0.3">
      <c r="A1" s="10"/>
      <c r="B1" s="11" t="s">
        <v>113</v>
      </c>
      <c r="C1" s="11" t="s">
        <v>5</v>
      </c>
      <c r="D1" s="11" t="s">
        <v>1</v>
      </c>
      <c r="E1" s="11" t="s">
        <v>10</v>
      </c>
      <c r="F1" s="11" t="s">
        <v>11</v>
      </c>
      <c r="G1" s="11" t="s">
        <v>9</v>
      </c>
      <c r="H1" s="12" t="s">
        <v>114</v>
      </c>
      <c r="K1" s="10"/>
      <c r="L1" s="11"/>
      <c r="M1" s="11"/>
      <c r="N1" s="11"/>
      <c r="O1" s="11"/>
      <c r="P1" s="11"/>
      <c r="Q1" s="11"/>
      <c r="R1" s="12"/>
    </row>
    <row r="2" x14ac:dyDescent="0.3">
      <c r="A2" s="1" t="str">
        <f>Ammonia!B2</f>
        <v>Jan '19</v>
      </c>
      <c r="B2" s="2">
        <f>Methanol!C2</f>
        <v>326.17727272727274</v>
      </c>
      <c r="C2" s="2">
        <f>Methanol!E2</f>
        <v>309.37649845256874</v>
      </c>
      <c r="D2" s="2">
        <f>Methanol!G2</f>
        <v>1717.5180686350016</v>
      </c>
      <c r="E2" s="2">
        <f>Methanol!H2</f>
        <v>2161.1110686350012</v>
      </c>
      <c r="F2" s="2">
        <f>Methanol!I2</f>
        <v>1723.8070686350015</v>
      </c>
      <c r="G2" s="2">
        <f>Methanol!F2</f>
        <v>332.25222889282134</v>
      </c>
      <c r="H2" s="2">
        <f>Methanol!S2</f>
        <v>851.05532374321217</v>
      </c>
      <c r="J2" s="14"/>
      <c r="K2" s="2"/>
      <c r="L2" s="2"/>
      <c r="M2" s="2"/>
      <c r="N2" s="2"/>
      <c r="O2" s="2"/>
      <c r="P2" s="2"/>
      <c r="Q2" s="2"/>
      <c r="R2" s="2"/>
    </row>
    <row r="3" x14ac:dyDescent="0.3">
      <c r="A3" s="1" t="str">
        <f>Ammonia!B3</f>
        <v>Feb '19</v>
      </c>
      <c r="B3" s="2">
        <f>Methanol!C3</f>
        <v>268.5377272727273</v>
      </c>
      <c r="C3" s="2">
        <f>Methanol!E3</f>
        <v>271.21327616768167</v>
      </c>
      <c r="D3" s="2">
        <f>Methanol!G3</f>
        <v>1706.5292713117103</v>
      </c>
      <c r="E3" s="2">
        <f>Methanol!H3</f>
        <v>2150.1222713117104</v>
      </c>
      <c r="F3" s="2">
        <f>Methanol!I3</f>
        <v>1712.8182713117103</v>
      </c>
      <c r="G3" s="2">
        <f>Methanol!F3</f>
        <v>331.58899489282135</v>
      </c>
      <c r="H3" s="2">
        <f>Methanol!S3</f>
        <v>796.71825909543941</v>
      </c>
      <c r="K3" s="1"/>
      <c r="L3" s="2"/>
      <c r="M3" s="2"/>
      <c r="N3" s="2"/>
      <c r="O3" s="2"/>
      <c r="P3" s="2"/>
      <c r="Q3" s="2"/>
      <c r="R3" s="2"/>
    </row>
    <row r="4" x14ac:dyDescent="0.3">
      <c r="A4" s="1" t="str">
        <f>Ammonia!B4</f>
        <v>Mar '19</v>
      </c>
      <c r="B4" s="2">
        <f>Methanol!C4</f>
        <v>231.45181818181817</v>
      </c>
      <c r="C4" s="2">
        <f>Methanol!E4</f>
        <v>246.07008663554501</v>
      </c>
      <c r="D4" s="2">
        <f>Methanol!G4</f>
        <v>1697.0729133440113</v>
      </c>
      <c r="E4" s="2">
        <f>Methanol!H4</f>
        <v>2140.6659133440116</v>
      </c>
      <c r="F4" s="2">
        <f>Methanol!I4</f>
        <v>1703.3619133440113</v>
      </c>
      <c r="G4" s="2">
        <f>Methanol!F4</f>
        <v>330.36301689282135</v>
      </c>
      <c r="H4" s="2">
        <f>Methanol!S4</f>
        <v>759.37115548485679</v>
      </c>
      <c r="K4" s="1"/>
      <c r="L4" s="2"/>
      <c r="M4" s="2"/>
      <c r="N4" s="2"/>
      <c r="O4" s="2"/>
      <c r="P4" s="2"/>
      <c r="Q4" s="2"/>
      <c r="R4" s="2"/>
    </row>
    <row r="5" x14ac:dyDescent="0.3">
      <c r="A5" s="1" t="str">
        <f>Ammonia!B5</f>
        <v>Apr '19</v>
      </c>
      <c r="B5" s="2">
        <f>Methanol!C5</f>
        <v>219.83454545454546</v>
      </c>
      <c r="C5" s="2">
        <f>Methanol!E5</f>
        <v>238.94735160138174</v>
      </c>
      <c r="D5" s="2">
        <f>Methanol!G5</f>
        <v>1697.1651867517201</v>
      </c>
      <c r="E5" s="2">
        <f>Methanol!H5</f>
        <v>2140.7581867517201</v>
      </c>
      <c r="F5" s="2">
        <f>Methanol!I5</f>
        <v>1703.45418675172</v>
      </c>
      <c r="G5" s="2">
        <f>Methanol!F5</f>
        <v>331.00213329282133</v>
      </c>
      <c r="H5" s="2">
        <f>Methanol!S5</f>
        <v>750.72656881166233</v>
      </c>
      <c r="K5" s="1"/>
      <c r="L5" s="2"/>
      <c r="M5" s="2"/>
      <c r="N5" s="2"/>
      <c r="O5" s="2"/>
      <c r="P5" s="2"/>
      <c r="Q5" s="2"/>
      <c r="R5" s="2"/>
    </row>
    <row r="6" x14ac:dyDescent="0.3">
      <c r="A6" s="1" t="str">
        <f>Ammonia!B6</f>
        <v>May '19</v>
      </c>
      <c r="B6" s="2">
        <f>Methanol!C6</f>
        <v>193.9190909090909</v>
      </c>
      <c r="C6" s="2">
        <f>Methanol!E6</f>
        <v>222.07192421747897</v>
      </c>
      <c r="D6" s="2">
        <f>Methanol!G6</f>
        <v>1693.3727197381472</v>
      </c>
      <c r="E6" s="2">
        <f>Methanol!H6</f>
        <v>2136.9657197381471</v>
      </c>
      <c r="F6" s="2">
        <f>Methanol!I6</f>
        <v>1699.6617197381472</v>
      </c>
      <c r="G6" s="2">
        <f>Methanol!F6</f>
        <v>331.08855469282133</v>
      </c>
      <c r="H6" s="2">
        <f>Methanol!S6</f>
        <v>727.44418315607459</v>
      </c>
      <c r="K6" s="1"/>
      <c r="L6" s="2"/>
      <c r="M6" s="2"/>
      <c r="N6" s="2"/>
      <c r="O6" s="2"/>
      <c r="P6" s="2"/>
      <c r="Q6" s="2"/>
      <c r="R6" s="2"/>
    </row>
    <row r="7" x14ac:dyDescent="0.3">
      <c r="A7" s="1" t="str">
        <f>Ammonia!B7</f>
        <v>Jun '19</v>
      </c>
      <c r="B7" s="2">
        <f>Methanol!C7</f>
        <v>160.40772727272727</v>
      </c>
      <c r="C7" s="2">
        <f>Methanol!E7</f>
        <v>199.77353777277719</v>
      </c>
      <c r="D7" s="2">
        <f>Methanol!G7</f>
        <v>1686.5360468757688</v>
      </c>
      <c r="E7" s="2">
        <f>Methanol!H7</f>
        <v>2130.1290468757688</v>
      </c>
      <c r="F7" s="2">
        <f>Methanol!I7</f>
        <v>1692.8250468757687</v>
      </c>
      <c r="G7" s="2">
        <f>Methanol!F7</f>
        <v>330.55294299282133</v>
      </c>
      <c r="H7" s="2">
        <f>Methanol!S7</f>
        <v>695.40502929109027</v>
      </c>
      <c r="K7" s="1"/>
      <c r="L7" s="2"/>
      <c r="M7" s="2"/>
      <c r="N7" s="2"/>
      <c r="O7" s="2"/>
      <c r="P7" s="2"/>
      <c r="Q7" s="2"/>
      <c r="R7" s="2"/>
    </row>
    <row r="8" x14ac:dyDescent="0.3">
      <c r="A8" s="1" t="str">
        <f>Ammonia!B8</f>
        <v>Jul '19</v>
      </c>
      <c r="B8" s="2">
        <f>Methanol!C8</f>
        <v>161.74818181818182</v>
      </c>
      <c r="C8" s="2">
        <f>Methanol!E8</f>
        <v>201.18323643056527</v>
      </c>
      <c r="D8" s="2">
        <f>Methanol!G8</f>
        <v>1688.908553790264</v>
      </c>
      <c r="E8" s="2">
        <f>Methanol!H8</f>
        <v>2132.5015537902641</v>
      </c>
      <c r="F8" s="2">
        <f>Methanol!I8</f>
        <v>1695.197553790264</v>
      </c>
      <c r="G8" s="2">
        <f>Methanol!F8</f>
        <v>331.27747589282137</v>
      </c>
      <c r="H8" s="2">
        <f>Methanol!S8</f>
        <v>698.78563544568965</v>
      </c>
      <c r="K8" s="1"/>
      <c r="L8" s="2"/>
      <c r="M8" s="2"/>
      <c r="N8" s="2"/>
      <c r="O8" s="2"/>
      <c r="P8" s="2"/>
      <c r="Q8" s="2"/>
      <c r="R8" s="2"/>
    </row>
    <row r="9" x14ac:dyDescent="0.3">
      <c r="A9" s="1" t="str">
        <f>Ammonia!B9</f>
        <v>Aug '19</v>
      </c>
      <c r="B9" s="2">
        <f>Methanol!C9</f>
        <v>164.42909090909092</v>
      </c>
      <c r="C9" s="2">
        <f>Methanol!E9</f>
        <v>202.72169374614143</v>
      </c>
      <c r="D9" s="2">
        <f>Methanol!G9</f>
        <v>1688.4605676192543</v>
      </c>
      <c r="E9" s="2">
        <f>Methanol!H9</f>
        <v>2132.053567619254</v>
      </c>
      <c r="F9" s="2">
        <f>Methanol!I9</f>
        <v>1694.7495676192543</v>
      </c>
      <c r="G9" s="2">
        <f>Methanol!F9</f>
        <v>330.98705979282136</v>
      </c>
      <c r="H9" s="2">
        <f>Methanol!S9</f>
        <v>700.35384775488842</v>
      </c>
      <c r="K9" s="1"/>
      <c r="L9" s="2"/>
      <c r="M9" s="2"/>
      <c r="N9" s="2"/>
      <c r="O9" s="2"/>
      <c r="P9" s="2"/>
      <c r="Q9" s="2"/>
      <c r="R9" s="2"/>
    </row>
    <row r="10" x14ac:dyDescent="0.3">
      <c r="A10" s="1" t="str">
        <f>Ammonia!B10</f>
        <v>Sep '19</v>
      </c>
      <c r="B10" s="2">
        <f>Methanol!C10</f>
        <v>188.11045454545456</v>
      </c>
      <c r="C10" s="2">
        <f>Methanol!E10</f>
        <v>218.12279670039737</v>
      </c>
      <c r="D10" s="2">
        <f>Methanol!G10</f>
        <v>1691.8468564420018</v>
      </c>
      <c r="E10" s="2">
        <f>Methanol!H10</f>
        <v>2135.4398564420017</v>
      </c>
      <c r="F10" s="2">
        <f>Methanol!I10</f>
        <v>1698.1358564420018</v>
      </c>
      <c r="G10" s="2">
        <f>Methanol!F10</f>
        <v>330.88154529282133</v>
      </c>
      <c r="H10" s="2">
        <f>Methanol!S10</f>
        <v>721.54988981947724</v>
      </c>
      <c r="K10" s="1"/>
      <c r="L10" s="2"/>
      <c r="M10" s="2"/>
      <c r="N10" s="2"/>
      <c r="O10" s="2"/>
      <c r="P10" s="2"/>
      <c r="Q10" s="2"/>
      <c r="R10" s="2"/>
    </row>
    <row r="11" x14ac:dyDescent="0.3">
      <c r="A11" s="1" t="str">
        <f>Ammonia!B11</f>
        <v>Oct '19</v>
      </c>
      <c r="B11" s="2">
        <f>Methanol!C11</f>
        <v>226.08999999999997</v>
      </c>
      <c r="C11" s="2">
        <f>Methanol!E11</f>
        <v>243.0346120043927</v>
      </c>
      <c r="D11" s="2">
        <f>Methanol!G11</f>
        <v>1698.1368856860308</v>
      </c>
      <c r="E11" s="2">
        <f>Methanol!H11</f>
        <v>2141.7298856860307</v>
      </c>
      <c r="F11" s="2">
        <f>Methanol!I11</f>
        <v>1704.4258856860308</v>
      </c>
      <c r="G11" s="2">
        <f>Methanol!F11</f>
        <v>331.00012349282133</v>
      </c>
      <c r="H11" s="2">
        <f>Methanol!S11</f>
        <v>756.40273086645925</v>
      </c>
      <c r="K11" s="1"/>
      <c r="L11" s="2"/>
      <c r="M11" s="2"/>
      <c r="N11" s="2"/>
      <c r="O11" s="2"/>
      <c r="P11" s="2"/>
      <c r="Q11" s="2"/>
      <c r="R11" s="2"/>
    </row>
    <row r="12" x14ac:dyDescent="0.3">
      <c r="A12" s="1" t="str">
        <f>Ammonia!B12</f>
        <v>Nov '19</v>
      </c>
      <c r="B12" s="2">
        <f>Methanol!C12</f>
        <v>230.11136363636368</v>
      </c>
      <c r="C12" s="2">
        <f>Methanol!E12</f>
        <v>245.96278797775696</v>
      </c>
      <c r="D12" s="2">
        <f>Methanol!G12</f>
        <v>1699.9804064295163</v>
      </c>
      <c r="E12" s="2">
        <f>Methanol!H12</f>
        <v>2143.5734064295161</v>
      </c>
      <c r="F12" s="2">
        <f>Methanol!I12</f>
        <v>1706.2694064295163</v>
      </c>
      <c r="G12" s="2">
        <f>Methanol!F12</f>
        <v>331.40710799282135</v>
      </c>
      <c r="H12" s="2">
        <f>Methanol!S12</f>
        <v>761.2705493302575</v>
      </c>
      <c r="K12" s="1"/>
      <c r="L12" s="2"/>
      <c r="M12" s="2"/>
      <c r="N12" s="2"/>
      <c r="O12" s="2"/>
      <c r="P12" s="2"/>
      <c r="Q12" s="2"/>
      <c r="R12" s="2"/>
    </row>
    <row r="13" x14ac:dyDescent="0.3">
      <c r="A13" s="1" t="str">
        <f>Ammonia!B13</f>
        <v>Dec '19</v>
      </c>
      <c r="B13" s="2">
        <f>Methanol!C13</f>
        <v>206.43</v>
      </c>
      <c r="C13" s="2">
        <f>Methanol!E13</f>
        <v>229.815765023501</v>
      </c>
      <c r="D13" s="2">
        <f>Methanol!G13</f>
        <v>1693.5701176067687</v>
      </c>
      <c r="E13" s="2">
        <f>Methanol!H13</f>
        <v>2137.1631176067685</v>
      </c>
      <c r="F13" s="2">
        <f>Methanol!I13</f>
        <v>1699.8591176067687</v>
      </c>
      <c r="G13" s="2">
        <f>Methanol!F13</f>
        <v>330.49968329282137</v>
      </c>
      <c r="H13" s="2">
        <f>Methanol!S13</f>
        <v>737.05050726566856</v>
      </c>
      <c r="K13" s="1"/>
      <c r="L13" s="2"/>
      <c r="M13" s="2"/>
      <c r="N13" s="2"/>
      <c r="O13" s="2"/>
      <c r="P13" s="2"/>
      <c r="Q13" s="2"/>
      <c r="R13" s="2"/>
    </row>
    <row r="14" x14ac:dyDescent="0.3">
      <c r="A14" s="1" t="str">
        <f>Ammonia!B14</f>
        <v>Jan '20</v>
      </c>
      <c r="B14" s="2">
        <f>Methanol!C14</f>
        <v>162.19499999999999</v>
      </c>
      <c r="C14" s="2">
        <f>Methanol!E14</f>
        <v>199.40429230500035</v>
      </c>
      <c r="D14" s="2">
        <f>Methanol!G14</f>
        <v>1444.4934873768204</v>
      </c>
      <c r="E14" s="2">
        <f>Methanol!H14</f>
        <v>2092.6214873768204</v>
      </c>
      <c r="F14" s="2">
        <f>Methanol!I14</f>
        <v>1494.2924873768209</v>
      </c>
      <c r="G14" s="2">
        <f>Methanol!F14</f>
        <v>324.7143502861237</v>
      </c>
      <c r="H14" s="2">
        <f>Methanol!S14</f>
        <v>687.72902399620511</v>
      </c>
      <c r="K14" s="1"/>
      <c r="L14" s="2"/>
      <c r="M14" s="2"/>
      <c r="N14" s="2"/>
      <c r="O14" s="2"/>
      <c r="P14" s="2"/>
      <c r="Q14" s="2"/>
      <c r="R14" s="2"/>
    </row>
    <row r="15" x14ac:dyDescent="0.3">
      <c r="A15" s="1" t="str">
        <f>Ammonia!B15</f>
        <v>Feb '20</v>
      </c>
      <c r="B15" s="2">
        <f>Methanol!C15</f>
        <v>130.02409090909092</v>
      </c>
      <c r="C15" s="2">
        <f>Methanol!E15</f>
        <v>177.40930451808666</v>
      </c>
      <c r="D15" s="2">
        <f>Methanol!G15</f>
        <v>1435.5443214289371</v>
      </c>
      <c r="E15" s="2">
        <f>Methanol!H15</f>
        <v>2083.6723214289373</v>
      </c>
      <c r="F15" s="2">
        <f>Methanol!I15</f>
        <v>1485.3433214289375</v>
      </c>
      <c r="G15" s="2">
        <f>Methanol!F15</f>
        <v>323.4009459861237</v>
      </c>
      <c r="H15" s="2">
        <f>Methanol!S15</f>
        <v>654.58547628582028</v>
      </c>
      <c r="K15" s="1"/>
      <c r="L15" s="2"/>
      <c r="M15" s="2"/>
      <c r="N15" s="2"/>
      <c r="O15" s="2"/>
      <c r="P15" s="2"/>
      <c r="Q15" s="2"/>
      <c r="R15" s="2"/>
    </row>
    <row r="16" x14ac:dyDescent="0.3">
      <c r="A16" s="1" t="str">
        <f>Ammonia!B16</f>
        <v>Mar '20</v>
      </c>
      <c r="B16" s="2">
        <f>Methanol!C16</f>
        <v>121.53454545454547</v>
      </c>
      <c r="C16" s="2">
        <f>Methanol!E16</f>
        <v>171.90543968542889</v>
      </c>
      <c r="D16" s="2">
        <f>Methanol!G16</f>
        <v>1434.4004443038014</v>
      </c>
      <c r="E16" s="2">
        <f>Methanol!H16</f>
        <v>2082.5284443038013</v>
      </c>
      <c r="F16" s="2">
        <f>Methanol!I16</f>
        <v>1484.1994443038018</v>
      </c>
      <c r="G16" s="2">
        <f>Methanol!F16</f>
        <v>323.4622448861237</v>
      </c>
      <c r="H16" s="2">
        <f>Methanol!S16</f>
        <v>647.05697064002413</v>
      </c>
      <c r="K16" s="1"/>
      <c r="L16" s="2"/>
      <c r="M16" s="2"/>
      <c r="N16" s="2"/>
      <c r="O16" s="2"/>
      <c r="P16" s="2"/>
      <c r="Q16" s="2"/>
      <c r="R16" s="2"/>
    </row>
    <row r="17" x14ac:dyDescent="0.3">
      <c r="A17" s="1" t="str">
        <f>Ammonia!B17</f>
        <v>Apr '20</v>
      </c>
      <c r="B17" s="2">
        <f>Methanol!C17</f>
        <v>94.725454545454554</v>
      </c>
      <c r="C17" s="2">
        <f>Methanol!E17</f>
        <v>153.9774865296674</v>
      </c>
      <c r="D17" s="2">
        <f>Methanol!G17</f>
        <v>1428.5693060138983</v>
      </c>
      <c r="E17" s="2">
        <f>Methanol!H17</f>
        <v>2076.6973060138985</v>
      </c>
      <c r="F17" s="2">
        <f>Methanol!I17</f>
        <v>1478.3683060138987</v>
      </c>
      <c r="G17" s="2">
        <f>Methanol!F17</f>
        <v>322.91256458612366</v>
      </c>
      <c r="H17" s="2">
        <f>Methanol!S17</f>
        <v>621.06384754803685</v>
      </c>
      <c r="K17" s="1"/>
      <c r="L17" s="2"/>
      <c r="M17" s="2"/>
      <c r="N17" s="2"/>
      <c r="O17" s="2"/>
      <c r="P17" s="2"/>
      <c r="Q17" s="2"/>
      <c r="R17" s="2"/>
    </row>
    <row r="18" x14ac:dyDescent="0.3">
      <c r="A18" s="1" t="str">
        <f>Ammonia!B18</f>
        <v>May '20</v>
      </c>
      <c r="B18" s="2">
        <f>Methanol!C18</f>
        <v>70.597272727272724</v>
      </c>
      <c r="C18" s="2">
        <f>Methanol!E18</f>
        <v>138.24733068948214</v>
      </c>
      <c r="D18" s="2">
        <f>Methanol!G18</f>
        <v>1424.9631815529858</v>
      </c>
      <c r="E18" s="2">
        <f>Methanol!H18</f>
        <v>2073.0911815529857</v>
      </c>
      <c r="F18" s="2">
        <f>Methanol!I18</f>
        <v>1474.7621815529862</v>
      </c>
      <c r="G18" s="2">
        <f>Methanol!F18</f>
        <v>322.96783408612367</v>
      </c>
      <c r="H18" s="2">
        <f>Methanol!S18</f>
        <v>599.31193676524822</v>
      </c>
      <c r="K18" s="1"/>
      <c r="L18" s="2"/>
      <c r="M18" s="2"/>
      <c r="N18" s="2"/>
      <c r="O18" s="2"/>
      <c r="P18" s="2"/>
      <c r="Q18" s="2"/>
      <c r="R18" s="2"/>
    </row>
    <row r="19" x14ac:dyDescent="0.3">
      <c r="A19" s="1" t="str">
        <f>Ammonia!B19</f>
        <v>Jun '20</v>
      </c>
      <c r="B19" s="2">
        <f>Methanol!C19</f>
        <v>78.193181818181827</v>
      </c>
      <c r="C19" s="2">
        <f>Methanol!E19</f>
        <v>143.85084975028121</v>
      </c>
      <c r="D19" s="2">
        <f>Methanol!G19</f>
        <v>1428.7393874017914</v>
      </c>
      <c r="E19" s="2">
        <f>Methanol!H19</f>
        <v>2076.8673874017918</v>
      </c>
      <c r="F19" s="2">
        <f>Methanol!I19</f>
        <v>1478.5383874017919</v>
      </c>
      <c r="G19" s="2">
        <f>Methanol!F19</f>
        <v>323.83506278612367</v>
      </c>
      <c r="H19" s="2">
        <f>Methanol!S19</f>
        <v>608.80070497464465</v>
      </c>
      <c r="K19" s="1"/>
      <c r="L19" s="2"/>
      <c r="M19" s="2"/>
      <c r="N19" s="2"/>
      <c r="O19" s="2"/>
      <c r="P19" s="2"/>
      <c r="Q19" s="2"/>
      <c r="R19" s="2"/>
    </row>
    <row r="20" x14ac:dyDescent="0.3">
      <c r="A20" s="1" t="str">
        <f>Ammonia!B20</f>
        <v>Jul '20</v>
      </c>
      <c r="B20" s="2">
        <f>Methanol!C20</f>
        <v>80.427272727272737</v>
      </c>
      <c r="C20" s="2">
        <f>Methanol!E20</f>
        <v>145.595274179928</v>
      </c>
      <c r="D20" s="2">
        <f>Methanol!G20</f>
        <v>1430.2405655926168</v>
      </c>
      <c r="E20" s="2">
        <f>Methanol!H20</f>
        <v>2078.368565592617</v>
      </c>
      <c r="F20" s="2">
        <f>Methanol!I20</f>
        <v>1480.0395655926172</v>
      </c>
      <c r="G20" s="2">
        <f>Methanol!F20</f>
        <v>324.22094438612368</v>
      </c>
      <c r="H20" s="2">
        <f>Methanol!S20</f>
        <v>611.98204856564371</v>
      </c>
      <c r="K20" s="1"/>
      <c r="L20" s="2"/>
      <c r="M20" s="2"/>
      <c r="N20" s="2"/>
      <c r="O20" s="2"/>
      <c r="P20" s="2"/>
      <c r="Q20" s="2"/>
      <c r="R20" s="2"/>
    </row>
    <row r="21" x14ac:dyDescent="0.3">
      <c r="A21" s="1" t="str">
        <f>Ammonia!B21</f>
        <v>Aug '20</v>
      </c>
      <c r="B21" s="2">
        <f>Methanol!C21</f>
        <v>127.78999999999999</v>
      </c>
      <c r="C21" s="2">
        <f>Methanol!E21</f>
        <v>176.90956008843986</v>
      </c>
      <c r="D21" s="2">
        <f>Methanol!G21</f>
        <v>1439.0891432381122</v>
      </c>
      <c r="E21" s="2">
        <f>Methanol!H21</f>
        <v>2087.2171432381119</v>
      </c>
      <c r="F21" s="2">
        <f>Methanol!I21</f>
        <v>1488.8881432381122</v>
      </c>
      <c r="G21" s="2">
        <f>Methanol!F21</f>
        <v>324.70530618612366</v>
      </c>
      <c r="H21" s="2">
        <f>Methanol!S21</f>
        <v>656.45013269482138</v>
      </c>
      <c r="K21" s="1"/>
      <c r="L21" s="2"/>
      <c r="M21" s="2"/>
      <c r="N21" s="2"/>
      <c r="O21" s="2"/>
      <c r="P21" s="2"/>
      <c r="Q21" s="2"/>
      <c r="R21" s="2"/>
    </row>
    <row r="22" x14ac:dyDescent="0.3">
      <c r="A22" s="1" t="str">
        <f>Ammonia!B22</f>
        <v>Sep '20</v>
      </c>
      <c r="B22" s="2">
        <f>Methanol!C22</f>
        <v>176.49318181818182</v>
      </c>
      <c r="C22" s="2">
        <f>Methanol!E22</f>
        <v>209.39378465473979</v>
      </c>
      <c r="D22" s="2">
        <f>Methanol!G22</f>
        <v>1449.338227798102</v>
      </c>
      <c r="E22" s="2">
        <f>Methanol!H22</f>
        <v>2097.4662277981024</v>
      </c>
      <c r="F22" s="2">
        <f>Methanol!I22</f>
        <v>1499.1372277981025</v>
      </c>
      <c r="G22" s="2">
        <f>Methanol!F22</f>
        <v>325.58861328612369</v>
      </c>
      <c r="H22" s="2">
        <f>Methanol!S22</f>
        <v>703.32682297859844</v>
      </c>
      <c r="K22" s="1"/>
      <c r="L22" s="2"/>
      <c r="M22" s="2"/>
      <c r="N22" s="2"/>
      <c r="O22" s="2"/>
      <c r="P22" s="2"/>
      <c r="Q22" s="2"/>
      <c r="R22" s="2"/>
    </row>
    <row r="23" x14ac:dyDescent="0.3">
      <c r="A23" s="1" t="str">
        <f>Ammonia!B23</f>
        <v>Oct '20</v>
      </c>
      <c r="B23" s="2">
        <f>Methanol!C23</f>
        <v>218.49409090909091</v>
      </c>
      <c r="C23" s="2">
        <f>Methanol!E23</f>
        <v>236.12747593209937</v>
      </c>
      <c r="D23" s="2">
        <f>Methanol!G23</f>
        <v>1452.9867777856168</v>
      </c>
      <c r="E23" s="2">
        <f>Methanol!H23</f>
        <v>2101.1147777856163</v>
      </c>
      <c r="F23" s="2">
        <f>Methanol!I23</f>
        <v>1502.7857777856168</v>
      </c>
      <c r="G23" s="2">
        <f>Methanol!F23</f>
        <v>324.61185048612367</v>
      </c>
      <c r="H23" s="2">
        <f>Methanol!S23</f>
        <v>738.56248248937868</v>
      </c>
      <c r="K23" s="1"/>
      <c r="L23" s="2"/>
      <c r="M23" s="2"/>
      <c r="N23" s="2"/>
      <c r="O23" s="2"/>
      <c r="P23" s="2"/>
      <c r="Q23" s="2"/>
      <c r="R23" s="2"/>
    </row>
    <row r="24" x14ac:dyDescent="0.3">
      <c r="A24" s="1" t="str">
        <f>Ammonia!B24</f>
        <v>Nov '20</v>
      </c>
      <c r="B24" s="2">
        <f>Methanol!C24</f>
        <v>216.26000000000002</v>
      </c>
      <c r="C24" s="2">
        <f>Methanol!E24</f>
        <v>235.0253715024526</v>
      </c>
      <c r="D24" s="2">
        <f>Methanol!G24</f>
        <v>1454.0895995947913</v>
      </c>
      <c r="E24" s="2">
        <f>Methanol!H24</f>
        <v>2102.2175995947914</v>
      </c>
      <c r="F24" s="2">
        <f>Methanol!I24</f>
        <v>1503.8885995947917</v>
      </c>
      <c r="G24" s="2">
        <f>Methanol!F24</f>
        <v>325.09822208612371</v>
      </c>
      <c r="H24" s="2">
        <f>Methanol!S24</f>
        <v>737.98513889837966</v>
      </c>
      <c r="K24" s="1"/>
      <c r="L24" s="2"/>
      <c r="M24" s="2"/>
      <c r="N24" s="2"/>
      <c r="O24" s="2"/>
      <c r="P24" s="2"/>
      <c r="Q24" s="2"/>
      <c r="R24" s="2"/>
    </row>
    <row r="25" x14ac:dyDescent="0.3">
      <c r="A25" s="1" t="str">
        <f>Ammonia!B25</f>
        <v>Dec '20</v>
      </c>
      <c r="B25" s="2">
        <f>Methanol!C25</f>
        <v>261.83545454545458</v>
      </c>
      <c r="C25" s="2">
        <f>Methanol!E25</f>
        <v>265.16626586724703</v>
      </c>
      <c r="D25" s="2">
        <f>Methanol!G25</f>
        <v>1462.6378346876263</v>
      </c>
      <c r="E25" s="2">
        <f>Methanol!H25</f>
        <v>2110.765834687626</v>
      </c>
      <c r="F25" s="2">
        <f>Methanol!I25</f>
        <v>1512.4368346876263</v>
      </c>
      <c r="G25" s="2">
        <f>Methanol!F25</f>
        <v>325.57554958612366</v>
      </c>
      <c r="H25" s="2">
        <f>Methanol!S25</f>
        <v>780.8087481547584</v>
      </c>
      <c r="K25" s="1"/>
      <c r="L25" s="2"/>
      <c r="M25" s="2"/>
      <c r="N25" s="2"/>
      <c r="O25" s="2"/>
      <c r="P25" s="2"/>
      <c r="Q25" s="2"/>
      <c r="R25" s="2"/>
    </row>
    <row r="26" x14ac:dyDescent="0.3">
      <c r="A26" s="1" t="str">
        <f>Ammonia!B26</f>
        <v>Jan '21</v>
      </c>
      <c r="B26" s="2">
        <f>Methanol!C26</f>
        <v>324.83681818181822</v>
      </c>
      <c r="C26" s="2">
        <f>Methanol!E26</f>
        <v>324.05649427753929</v>
      </c>
      <c r="D26" s="2">
        <f>Methanol!G26</f>
        <v>1489.6898321795004</v>
      </c>
      <c r="E26" s="2">
        <f>Methanol!H26</f>
        <v>2028.0168321795002</v>
      </c>
      <c r="F26" s="2">
        <f>Methanol!I26</f>
        <v>1723.5988321795001</v>
      </c>
      <c r="G26" s="2">
        <f>Methanol!F26</f>
        <v>386.73566337805357</v>
      </c>
      <c r="H26" s="2">
        <f>Methanol!S26</f>
        <v>940.17647483217706</v>
      </c>
      <c r="K26" s="1"/>
      <c r="L26" s="2"/>
      <c r="M26" s="2"/>
      <c r="N26" s="2"/>
      <c r="O26" s="2"/>
      <c r="P26" s="2"/>
      <c r="Q26" s="2"/>
      <c r="R26" s="2"/>
    </row>
    <row r="27" x14ac:dyDescent="0.3">
      <c r="A27" s="1" t="str">
        <f>Ammonia!B27</f>
        <v>Feb '21</v>
      </c>
      <c r="B27" s="2">
        <f>Methanol!C27</f>
        <v>275.24000000000007</v>
      </c>
      <c r="C27" s="2">
        <f>Methanol!E27</f>
        <v>291.3367039393807</v>
      </c>
      <c r="D27" s="2">
        <f>Methanol!G27</f>
        <v>1480.7140763431803</v>
      </c>
      <c r="E27" s="2">
        <f>Methanol!H27</f>
        <v>2019.0410763431801</v>
      </c>
      <c r="F27" s="2">
        <f>Methanol!I27</f>
        <v>1714.6230763431799</v>
      </c>
      <c r="G27" s="2">
        <f>Methanol!F27</f>
        <v>386.32566417805356</v>
      </c>
      <c r="H27" s="2">
        <f>Methanol!S27</f>
        <v>893.90104711200058</v>
      </c>
      <c r="K27" s="1"/>
      <c r="L27" s="2"/>
      <c r="M27" s="2"/>
      <c r="N27" s="2"/>
      <c r="O27" s="2"/>
      <c r="P27" s="2"/>
      <c r="Q27" s="2"/>
      <c r="R27" s="2"/>
    </row>
    <row r="28" x14ac:dyDescent="0.3">
      <c r="A28" s="1" t="str">
        <f>Ammonia!B28</f>
        <v>Mar '21</v>
      </c>
      <c r="B28" s="2">
        <f>Methanol!C28</f>
        <v>273.89954545454549</v>
      </c>
      <c r="C28" s="2">
        <f>Methanol!E28</f>
        <v>290.34732528159259</v>
      </c>
      <c r="D28" s="2">
        <f>Methanol!G28</f>
        <v>1480.045569428685</v>
      </c>
      <c r="E28" s="2">
        <f>Methanol!H28</f>
        <v>2018.3725694286848</v>
      </c>
      <c r="F28" s="2">
        <f>Methanol!I28</f>
        <v>1713.9545694286846</v>
      </c>
      <c r="G28" s="2">
        <f>Methanol!F28</f>
        <v>386.17191447805357</v>
      </c>
      <c r="H28" s="2">
        <f>Methanol!S28</f>
        <v>892.22444095740116</v>
      </c>
      <c r="K28" s="1"/>
      <c r="L28" s="2"/>
      <c r="M28" s="2"/>
      <c r="N28" s="2"/>
      <c r="O28" s="2"/>
      <c r="P28" s="2"/>
      <c r="Q28" s="2"/>
      <c r="R28" s="2"/>
    </row>
    <row r="29" x14ac:dyDescent="0.3">
      <c r="A29" s="1" t="str">
        <f>Ammonia!B29</f>
        <v>Apr '21</v>
      </c>
      <c r="B29" s="2">
        <f>Methanol!C29</f>
        <v>319.47500000000002</v>
      </c>
      <c r="C29" s="2">
        <f>Methanol!E29</f>
        <v>320.61623964638704</v>
      </c>
      <c r="D29" s="2">
        <f>Methanol!G29</f>
        <v>1489.1128045215198</v>
      </c>
      <c r="E29" s="2">
        <f>Methanol!H29</f>
        <v>2027.4398045215196</v>
      </c>
      <c r="F29" s="2">
        <f>Methanol!I29</f>
        <v>1723.0218045215195</v>
      </c>
      <c r="G29" s="2">
        <f>Methanol!F29</f>
        <v>386.82308967805358</v>
      </c>
      <c r="H29" s="2">
        <f>Methanol!S29</f>
        <v>935.56705021377957</v>
      </c>
      <c r="K29" s="1"/>
      <c r="L29" s="2"/>
      <c r="M29" s="2"/>
      <c r="N29" s="2"/>
      <c r="O29" s="2"/>
      <c r="P29" s="2"/>
      <c r="Q29" s="2"/>
      <c r="R29" s="2"/>
    </row>
    <row r="30" x14ac:dyDescent="0.3">
      <c r="A30" s="1" t="str">
        <f>Ammonia!B30</f>
        <v>May '21</v>
      </c>
      <c r="B30" s="2">
        <f>Methanol!C30</f>
        <v>398.11500000000001</v>
      </c>
      <c r="C30" s="2">
        <f>Methanol!E30</f>
        <v>371.99312756995391</v>
      </c>
      <c r="D30" s="2">
        <f>Methanol!G30</f>
        <v>1501.3048768385684</v>
      </c>
      <c r="E30" s="2">
        <f>Methanol!H30</f>
        <v>2039.6318768385681</v>
      </c>
      <c r="F30" s="2">
        <f>Methanol!I30</f>
        <v>1735.213876838568</v>
      </c>
      <c r="G30" s="2">
        <f>Methanol!F30</f>
        <v>386.78992797805353</v>
      </c>
      <c r="H30" s="2">
        <f>Methanol!S30</f>
        <v>1006.9009446169426</v>
      </c>
      <c r="K30" s="1"/>
      <c r="L30" s="2"/>
      <c r="M30" s="2"/>
      <c r="N30" s="2"/>
      <c r="O30" s="2"/>
      <c r="P30" s="2"/>
      <c r="Q30" s="2"/>
      <c r="R30" s="2"/>
    </row>
    <row r="31" x14ac:dyDescent="0.3">
      <c r="A31" s="1" t="str">
        <f>Ammonia!B31</f>
        <v>Jun '21</v>
      </c>
      <c r="B31" s="2">
        <f>Methanol!C31</f>
        <v>460.22272727272735</v>
      </c>
      <c r="C31" s="2">
        <f>Methanol!E31</f>
        <v>414.12767871413462</v>
      </c>
      <c r="D31" s="2">
        <f>Methanol!G31</f>
        <v>1517.2520305435098</v>
      </c>
      <c r="E31" s="2">
        <f>Methanol!H31</f>
        <v>2055.5790305435098</v>
      </c>
      <c r="F31" s="2">
        <f>Methanol!I31</f>
        <v>1751.1610305435095</v>
      </c>
      <c r="G31" s="2">
        <f>Methanol!F31</f>
        <v>388.88011997805353</v>
      </c>
      <c r="H31" s="2">
        <f>Methanol!S31</f>
        <v>1069.5566964467134</v>
      </c>
      <c r="K31" s="1"/>
      <c r="L31" s="2"/>
      <c r="M31" s="2"/>
      <c r="N31" s="2"/>
      <c r="O31" s="2"/>
      <c r="P31" s="2"/>
      <c r="Q31" s="2"/>
      <c r="R31" s="2"/>
    </row>
    <row r="32" x14ac:dyDescent="0.3">
      <c r="A32" s="1" t="str">
        <f>Ammonia!B32</f>
        <v>Jul '21</v>
      </c>
      <c r="B32" s="2">
        <f>Methanol!C32</f>
        <v>558.96954545454548</v>
      </c>
      <c r="C32" s="2">
        <f>Methanol!E32</f>
        <v>479.20120650452259</v>
      </c>
      <c r="D32" s="2">
        <f>Methanol!G32</f>
        <v>1534.8337065779851</v>
      </c>
      <c r="E32" s="2">
        <f>Methanol!H32</f>
        <v>2073.1607065779849</v>
      </c>
      <c r="F32" s="2">
        <f>Methanol!I32</f>
        <v>1768.7427065779848</v>
      </c>
      <c r="G32" s="2">
        <f>Methanol!F32</f>
        <v>389.59962837805352</v>
      </c>
      <c r="H32" s="2">
        <f>Methanol!S32</f>
        <v>1161.4016831688668</v>
      </c>
      <c r="K32" s="1"/>
      <c r="L32" s="2"/>
      <c r="M32" s="2"/>
      <c r="N32" s="2"/>
      <c r="O32" s="2"/>
      <c r="P32" s="2"/>
      <c r="Q32" s="2"/>
      <c r="R32" s="2"/>
    </row>
    <row r="33" x14ac:dyDescent="0.3">
      <c r="A33" s="1" t="str">
        <f>Ammonia!B33</f>
        <v>Aug '21</v>
      </c>
      <c r="B33" s="2">
        <f>Methanol!C33</f>
        <v>689.4404545454546</v>
      </c>
      <c r="C33" s="2">
        <f>Methanol!E33</f>
        <v>564.59312919589479</v>
      </c>
      <c r="D33" s="2">
        <f>Methanol!G33</f>
        <v>1555.6817129221793</v>
      </c>
      <c r="E33" s="2">
        <f>Methanol!H33</f>
        <v>2094.0087129221788</v>
      </c>
      <c r="F33" s="2">
        <f>Methanol!I33</f>
        <v>1789.5907129221789</v>
      </c>
      <c r="G33" s="2">
        <f>Methanol!F33</f>
        <v>389.75237317805357</v>
      </c>
      <c r="H33" s="2">
        <f>Methanol!S33</f>
        <v>1280.3713488832057</v>
      </c>
      <c r="K33" s="1"/>
      <c r="L33" s="2"/>
      <c r="M33" s="2"/>
      <c r="N33" s="2"/>
      <c r="O33" s="2"/>
      <c r="P33" s="2"/>
      <c r="Q33" s="2"/>
      <c r="R33" s="2"/>
    </row>
    <row r="34" x14ac:dyDescent="0.3">
      <c r="A34" s="1" t="str">
        <f>Ammonia!B34</f>
        <v>Sep '21</v>
      </c>
      <c r="B34" s="2">
        <f>Methanol!C34</f>
        <v>1020.5327272727274</v>
      </c>
      <c r="C34" s="2">
        <f>Methanol!E34</f>
        <v>784.37353766954857</v>
      </c>
      <c r="D34" s="2">
        <f>Methanol!G34</f>
        <v>1621.0889208024792</v>
      </c>
      <c r="E34" s="2">
        <f>Methanol!H34</f>
        <v>2159.4159208024789</v>
      </c>
      <c r="F34" s="2">
        <f>Methanol!I34</f>
        <v>1854.9979208024788</v>
      </c>
      <c r="G34" s="2">
        <f>Methanol!F34</f>
        <v>394.32768287805357</v>
      </c>
      <c r="H34" s="2">
        <f>Methanol!S34</f>
        <v>1594.7790690692495</v>
      </c>
      <c r="K34" s="1"/>
      <c r="L34" s="2"/>
      <c r="M34" s="2"/>
      <c r="N34" s="2"/>
      <c r="O34" s="2"/>
      <c r="P34" s="2"/>
      <c r="Q34" s="2"/>
      <c r="R34" s="2"/>
    </row>
    <row r="35" x14ac:dyDescent="0.3">
      <c r="A35" s="1" t="str">
        <f>Ammonia!B35</f>
        <v>Oct '21</v>
      </c>
      <c r="B35" s="2">
        <f>Methanol!C35</f>
        <v>1387.3704545454545</v>
      </c>
      <c r="C35" s="2">
        <f>Methanol!E35</f>
        <v>1024.9777570175509</v>
      </c>
      <c r="D35" s="2">
        <f>Methanol!G35</f>
        <v>1681.7839797359834</v>
      </c>
      <c r="E35" s="2">
        <f>Methanol!H35</f>
        <v>2220.1109797359832</v>
      </c>
      <c r="F35" s="2">
        <f>Methanol!I35</f>
        <v>1915.692979735983</v>
      </c>
      <c r="G35" s="2">
        <f>Methanol!F35</f>
        <v>395.45317087805353</v>
      </c>
      <c r="H35" s="2">
        <f>Methanol!S35</f>
        <v>1931.3572867112775</v>
      </c>
      <c r="K35" s="1"/>
      <c r="L35" s="2"/>
      <c r="M35" s="2"/>
      <c r="N35" s="2"/>
      <c r="O35" s="2"/>
      <c r="P35" s="2"/>
      <c r="Q35" s="2"/>
      <c r="R35" s="2"/>
    </row>
    <row r="36" x14ac:dyDescent="0.3">
      <c r="A36" s="1" t="str">
        <f>Ammonia!B36</f>
        <v>Nov '21</v>
      </c>
      <c r="B36" s="2">
        <f>Methanol!C36</f>
        <v>1234.1118181818183</v>
      </c>
      <c r="C36" s="2">
        <f>Methanol!E36</f>
        <v>927.52015714378138</v>
      </c>
      <c r="D36" s="2">
        <f>Methanol!G36</f>
        <v>1668.8433558453719</v>
      </c>
      <c r="E36" s="2">
        <f>Methanol!H36</f>
        <v>2207.1703558453719</v>
      </c>
      <c r="F36" s="2">
        <f>Methanol!I36</f>
        <v>1902.7523558453715</v>
      </c>
      <c r="G36" s="2">
        <f>Methanol!F36</f>
        <v>399.14215877805356</v>
      </c>
      <c r="H36" s="2">
        <f>Methanol!S36</f>
        <v>1803.1573163687492</v>
      </c>
      <c r="K36" s="1"/>
      <c r="L36" s="2"/>
      <c r="M36" s="2"/>
      <c r="N36" s="2"/>
      <c r="O36" s="2"/>
      <c r="P36" s="2"/>
      <c r="Q36" s="2"/>
      <c r="R36" s="2"/>
    </row>
    <row r="37" x14ac:dyDescent="0.3">
      <c r="A37" s="1" t="str">
        <f>Ammonia!B37</f>
        <v>Dec '21</v>
      </c>
      <c r="B37" s="2">
        <f>Methanol!C37</f>
        <v>1699.2495454545456</v>
      </c>
      <c r="C37" s="2">
        <f>Methanol!E37</f>
        <v>1234.8557513962423</v>
      </c>
      <c r="D37" s="2">
        <f>Methanol!G37</f>
        <v>1754.9552551751863</v>
      </c>
      <c r="E37" s="2">
        <f>Methanol!H37</f>
        <v>2293.282255175186</v>
      </c>
      <c r="F37" s="2">
        <f>Methanol!I37</f>
        <v>1988.8642551751859</v>
      </c>
      <c r="G37" s="2">
        <f>Methanol!F37</f>
        <v>403.63506667805353</v>
      </c>
      <c r="H37" s="2">
        <f>Methanol!S37</f>
        <v>2239.0796520147305</v>
      </c>
      <c r="K37" s="1"/>
      <c r="L37" s="2"/>
      <c r="M37" s="2"/>
      <c r="N37" s="2"/>
      <c r="O37" s="2"/>
      <c r="P37" s="2"/>
      <c r="Q37" s="2"/>
      <c r="R37" s="2"/>
    </row>
    <row r="38" x14ac:dyDescent="0.3">
      <c r="A38" s="1" t="str">
        <f>Ammonia!B38</f>
        <v>Jan '22</v>
      </c>
      <c r="B38" s="2">
        <f>Methanol!C38</f>
        <v>1262.7081818181821</v>
      </c>
      <c r="C38" s="2">
        <f>Methanol!E38</f>
        <v>962.26814598119142</v>
      </c>
      <c r="D38" s="2">
        <f>Methanol!G38</f>
        <v>1890.8941960015923</v>
      </c>
      <c r="E38" s="2">
        <f>Methanol!H38</f>
        <v>2512.479397272778</v>
      </c>
      <c r="F38" s="2">
        <f>Methanol!I38</f>
        <v>2160.9797998151516</v>
      </c>
      <c r="G38" s="2">
        <f>Methanol!F38</f>
        <v>457.29252742614233</v>
      </c>
      <c r="H38" s="2">
        <f>Methanol!S38</f>
        <v>1923.9429035690612</v>
      </c>
      <c r="K38" s="1"/>
      <c r="L38" s="2"/>
      <c r="M38" s="2"/>
      <c r="N38" s="2"/>
      <c r="O38" s="2"/>
      <c r="P38" s="2"/>
      <c r="Q38" s="2"/>
      <c r="R38" s="2"/>
    </row>
    <row r="39" x14ac:dyDescent="0.3">
      <c r="A39" s="1" t="str">
        <f>Ammonia!B39</f>
        <v>Feb '22</v>
      </c>
      <c r="B39" s="2">
        <f>Methanol!C39</f>
        <v>1216.6859090909093</v>
      </c>
      <c r="C39" s="2">
        <f>Methanol!E39</f>
        <v>929.29403873046761</v>
      </c>
      <c r="D39" s="2">
        <f>Methanol!G39</f>
        <v>1871.9741252705924</v>
      </c>
      <c r="E39" s="2">
        <f>Methanol!H39</f>
        <v>2493.5593265417783</v>
      </c>
      <c r="F39" s="2">
        <f>Methanol!I39</f>
        <v>2142.0597290841515</v>
      </c>
      <c r="G39" s="2">
        <f>Methanol!F39</f>
        <v>453.3643733261423</v>
      </c>
      <c r="H39" s="2">
        <f>Methanol!S39</f>
        <v>1870.4114255944828</v>
      </c>
      <c r="K39" s="1"/>
      <c r="L39" s="2"/>
      <c r="M39" s="2"/>
      <c r="N39" s="2"/>
      <c r="O39" s="2"/>
      <c r="P39" s="2"/>
      <c r="Q39" s="2"/>
      <c r="R39" s="2"/>
    </row>
    <row r="40" x14ac:dyDescent="0.3">
      <c r="A40" s="1" t="str">
        <f>Ammonia!B40</f>
        <v>Mar '22</v>
      </c>
      <c r="B40" s="2">
        <f>Methanol!C40</f>
        <v>1894.062272727273</v>
      </c>
      <c r="C40" s="2">
        <f>Methanol!E40</f>
        <v>1381.1467337993734</v>
      </c>
      <c r="D40" s="2">
        <f>Methanol!G40</f>
        <v>2014.7389527288042</v>
      </c>
      <c r="E40" s="2">
        <f>Methanol!H40</f>
        <v>2636.3241539999899</v>
      </c>
      <c r="F40" s="2">
        <f>Methanol!I40</f>
        <v>2284.8245565423636</v>
      </c>
      <c r="G40" s="2">
        <f>Methanol!F40</f>
        <v>465.72263352614232</v>
      </c>
      <c r="H40" s="2">
        <f>Methanol!S40</f>
        <v>2522.6024023853638</v>
      </c>
      <c r="K40" s="1"/>
      <c r="L40" s="2"/>
      <c r="M40" s="2"/>
      <c r="N40" s="2"/>
      <c r="O40" s="2"/>
      <c r="P40" s="2"/>
      <c r="Q40" s="2"/>
      <c r="R40" s="2"/>
    </row>
    <row r="41" x14ac:dyDescent="0.3">
      <c r="A41" s="1" t="str">
        <f>Ammonia!B41</f>
        <v>Apr '22</v>
      </c>
      <c r="B41" s="2">
        <f>Methanol!C41</f>
        <v>1438.7545454545457</v>
      </c>
      <c r="C41" s="2">
        <f>Methanol!E41</f>
        <v>1077.1986030373582</v>
      </c>
      <c r="D41" s="2">
        <f>Methanol!G41</f>
        <v>1917.8484374386207</v>
      </c>
      <c r="E41" s="2">
        <f>Methanol!H41</f>
        <v>2539.4336387098069</v>
      </c>
      <c r="F41" s="2">
        <f>Methanol!I41</f>
        <v>2187.9340412521801</v>
      </c>
      <c r="G41" s="2">
        <f>Methanol!F41</f>
        <v>457.10461112614229</v>
      </c>
      <c r="H41" s="2">
        <f>Methanol!S41</f>
        <v>2083.2941785397784</v>
      </c>
      <c r="K41" s="1"/>
      <c r="L41" s="2"/>
      <c r="M41" s="2"/>
      <c r="N41" s="2"/>
      <c r="O41" s="2"/>
      <c r="P41" s="2"/>
      <c r="Q41" s="2"/>
      <c r="R41" s="2"/>
    </row>
    <row r="42" x14ac:dyDescent="0.3">
      <c r="A42" s="1" t="str">
        <f>Ammonia!B42</f>
        <v>May '22</v>
      </c>
      <c r="B42" s="2">
        <f>Methanol!C42</f>
        <v>1303.3686363636366</v>
      </c>
      <c r="C42" s="2">
        <f>Methanol!E42</f>
        <v>989.55831860076296</v>
      </c>
      <c r="D42" s="2">
        <f>Methanol!G42</f>
        <v>1900.1412390746116</v>
      </c>
      <c r="E42" s="2">
        <f>Methanol!H42</f>
        <v>2521.7264403457975</v>
      </c>
      <c r="F42" s="2">
        <f>Methanol!I42</f>
        <v>2170.2268428881707</v>
      </c>
      <c r="G42" s="2">
        <f>Methanol!F42</f>
        <v>458.2612510261423</v>
      </c>
      <c r="H42" s="2">
        <f>Methanol!S42</f>
        <v>1963.768956925242</v>
      </c>
      <c r="K42" s="1"/>
      <c r="L42" s="2"/>
      <c r="M42" s="2"/>
      <c r="N42" s="2"/>
      <c r="O42" s="2"/>
      <c r="P42" s="2"/>
      <c r="Q42" s="2"/>
      <c r="R42" s="2"/>
    </row>
    <row r="43" x14ac:dyDescent="0.3">
      <c r="A43" s="1" t="str">
        <f>Ammonia!B43</f>
        <v>Jun '22</v>
      </c>
      <c r="B43" s="2">
        <f>Methanol!C43</f>
        <v>1499.5218181818184</v>
      </c>
      <c r="C43" s="2">
        <f>Methanol!E43</f>
        <v>1120.779115523751</v>
      </c>
      <c r="D43" s="2">
        <f>Methanol!G43</f>
        <v>1943.0000842290674</v>
      </c>
      <c r="E43" s="2">
        <f>Methanol!H43</f>
        <v>2564.5852855002536</v>
      </c>
      <c r="F43" s="2">
        <f>Methanol!I43</f>
        <v>2213.0856880426268</v>
      </c>
      <c r="G43" s="2">
        <f>Methanol!F43</f>
        <v>462.34817932614231</v>
      </c>
      <c r="H43" s="2">
        <f>Methanol!S43</f>
        <v>2154.1463242149498</v>
      </c>
      <c r="K43" s="1"/>
      <c r="L43" s="2"/>
      <c r="M43" s="2"/>
      <c r="N43" s="2"/>
      <c r="O43" s="2"/>
      <c r="P43" s="2"/>
      <c r="Q43" s="2"/>
      <c r="R43" s="2"/>
    </row>
    <row r="44" x14ac:dyDescent="0.3">
      <c r="A44" s="1" t="str">
        <f>Ammonia!B44</f>
        <v>Jul '22</v>
      </c>
      <c r="B44" s="2">
        <f>Methanol!C44</f>
        <v>2293.5177272727274</v>
      </c>
      <c r="C44" s="2">
        <f>Methanol!E44</f>
        <v>1646.9410138202186</v>
      </c>
      <c r="D44" s="2">
        <f>Methanol!G44</f>
        <v>2096.2220132483567</v>
      </c>
      <c r="E44" s="2">
        <f>Methanol!H44</f>
        <v>2717.8072145195424</v>
      </c>
      <c r="F44" s="2">
        <f>Methanol!I44</f>
        <v>2366.3076170619161</v>
      </c>
      <c r="G44" s="2">
        <f>Methanol!F44</f>
        <v>472.10374852614234</v>
      </c>
      <c r="H44" s="2">
        <f>Methanol!S44</f>
        <v>2904.4990364559758</v>
      </c>
      <c r="K44" s="1"/>
      <c r="L44" s="2"/>
      <c r="M44" s="2"/>
      <c r="N44" s="2"/>
      <c r="O44" s="2"/>
      <c r="P44" s="2"/>
      <c r="Q44" s="2"/>
      <c r="R44" s="2"/>
    </row>
    <row r="45" x14ac:dyDescent="0.3">
      <c r="A45" s="1" t="str">
        <f>Ammonia!B45</f>
        <v>Aug '22</v>
      </c>
      <c r="B45" s="2">
        <f>Methanol!C45</f>
        <v>3129.5145454545459</v>
      </c>
      <c r="C45" s="2">
        <f>Methanol!E45</f>
        <v>2204.7746233940466</v>
      </c>
      <c r="D45" s="2">
        <f>Methanol!G45</f>
        <v>2273.1114922551606</v>
      </c>
      <c r="E45" s="2">
        <f>Methanol!H45</f>
        <v>2894.6966935263463</v>
      </c>
      <c r="F45" s="2">
        <f>Methanol!I45</f>
        <v>2543.1970960687199</v>
      </c>
      <c r="G45" s="2">
        <f>Methanol!F45</f>
        <v>487.58825262614232</v>
      </c>
      <c r="H45" s="2">
        <f>Methanol!S45</f>
        <v>3710.1064082077824</v>
      </c>
      <c r="J45">
        <f>(C45-D45)/C45*100</f>
        <v>-3.0994945304620618</v>
      </c>
      <c r="K45" s="1"/>
      <c r="L45" s="2"/>
      <c r="M45" s="2"/>
      <c r="N45" s="2"/>
      <c r="O45" s="2"/>
      <c r="P45" s="2"/>
      <c r="Q45" s="2"/>
      <c r="R45" s="2"/>
    </row>
    <row r="46" x14ac:dyDescent="0.3">
      <c r="A46" s="1" t="str">
        <f>Ammonia!B46</f>
        <v>Sep '22</v>
      </c>
      <c r="B46" s="2">
        <f>Methanol!C46</f>
        <v>2640.6954545454546</v>
      </c>
      <c r="C46" s="2">
        <f>Methanol!E46</f>
        <v>1877.1901861873291</v>
      </c>
      <c r="D46" s="2">
        <f>Methanol!G46</f>
        <v>2163.9603041025985</v>
      </c>
      <c r="E46" s="2">
        <f>Methanol!H46</f>
        <v>2785.5455053737846</v>
      </c>
      <c r="F46" s="2">
        <f>Methanol!I46</f>
        <v>2434.0459079161578</v>
      </c>
      <c r="G46" s="2">
        <f>Methanol!F46</f>
        <v>476.61775932614233</v>
      </c>
      <c r="H46" s="2">
        <f>Methanol!S46</f>
        <v>3233.3350304972128</v>
      </c>
      <c r="K46" s="1"/>
      <c r="L46" s="2"/>
      <c r="M46" s="2"/>
      <c r="N46" s="2"/>
      <c r="O46" s="2"/>
      <c r="P46" s="2"/>
      <c r="Q46" s="2"/>
      <c r="R46" s="2"/>
    </row>
    <row r="47" x14ac:dyDescent="0.3">
      <c r="A47" s="1" t="str">
        <f>Ammonia!B47</f>
        <v>Oct '22</v>
      </c>
      <c r="B47" s="2">
        <f>Methanol!C47</f>
        <v>1743.4845454545457</v>
      </c>
      <c r="C47" s="2">
        <f>Methanol!E47</f>
        <v>1275.7703912411798</v>
      </c>
      <c r="D47" s="2">
        <f>Methanol!G47</f>
        <v>1963.0103426671833</v>
      </c>
      <c r="E47" s="2">
        <f>Methanol!H47</f>
        <v>2584.5955439383692</v>
      </c>
      <c r="F47" s="2">
        <f>Methanol!I47</f>
        <v>2233.0959464807429</v>
      </c>
      <c r="G47" s="2">
        <f>Methanol!F47</f>
        <v>456.27858332614232</v>
      </c>
      <c r="H47" s="2">
        <f>Methanol!S47</f>
        <v>2357.6306443520348</v>
      </c>
    </row>
    <row r="48" x14ac:dyDescent="0.3">
      <c r="A48" s="1" t="str">
        <f>Ammonia!B48</f>
        <v>Nov '22</v>
      </c>
      <c r="B48" s="2">
        <f>Methanol!C48</f>
        <v>1596.0345454545457</v>
      </c>
      <c r="C48" s="2">
        <f>Methanol!E48</f>
        <v>1180.7005188844921</v>
      </c>
      <c r="D48" s="2">
        <f>Methanol!G48</f>
        <v>1945.2655820727175</v>
      </c>
      <c r="E48" s="2">
        <f>Methanol!H48</f>
        <v>2566.8507833439039</v>
      </c>
      <c r="F48" s="2">
        <f>Methanol!I48</f>
        <v>2215.3511858862771</v>
      </c>
      <c r="G48" s="2">
        <f>Methanol!F48</f>
        <v>458.0542416261423</v>
      </c>
      <c r="H48" s="2">
        <f>Methanol!S48</f>
        <v>2228.9949673461042</v>
      </c>
    </row>
  </sheetData>
  <conditionalFormatting sqref="G2:G48">
    <cfRule type="cellIs" dxfId="11" priority="11" operator="lessThan">
      <formula>1.05*C2</formula>
    </cfRule>
  </conditionalFormatting>
  <conditionalFormatting sqref="D2:D48">
    <cfRule type="cellIs" dxfId="10" priority="10" operator="lessThan">
      <formula>1.05*C2</formula>
    </cfRule>
  </conditionalFormatting>
  <conditionalFormatting sqref="E2:E48">
    <cfRule type="cellIs" dxfId="9" priority="9" operator="lessThan">
      <formula>1.05*C2</formula>
    </cfRule>
  </conditionalFormatting>
  <conditionalFormatting sqref="F2:F48">
    <cfRule type="cellIs" dxfId="8" priority="8" operator="lessThan">
      <formula>1.05*C2</formula>
    </cfRule>
  </conditionalFormatting>
  <conditionalFormatting sqref="Q2:Q46">
    <cfRule type="cellIs" dxfId="7" priority="6" operator="lessThan">
      <formula>1.05*M2</formula>
    </cfRule>
  </conditionalFormatting>
  <conditionalFormatting sqref="N2:N46">
    <cfRule type="cellIs" dxfId="6" priority="5" operator="lessThan">
      <formula>1.05*M2</formula>
    </cfRule>
  </conditionalFormatting>
  <conditionalFormatting sqref="O2:O46">
    <cfRule type="cellIs" dxfId="5" priority="4" operator="lessThan">
      <formula>1.05*M2</formula>
    </cfRule>
  </conditionalFormatting>
  <conditionalFormatting sqref="P2:P46">
    <cfRule type="cellIs" dxfId="4" priority="3" operator="lessThan">
      <formula>1.05*M2</formula>
    </cfRule>
  </conditionalFormatting>
  <conditionalFormatting sqref="R2:R46">
    <cfRule type="cellIs" dxfId="3" priority="2" operator="lessThan">
      <formula>1.05*M2</formula>
    </cfRule>
  </conditionalFormatting>
  <conditionalFormatting sqref="H2:H48">
    <cfRule type="cellIs" dxfId="2" priority="1" operator="lessThan">
      <formula>1.05*C2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25CC-2C3E-4F43-BA8F-3C1DF8144404}">
  <sheetPr codeName="Sheet6"/>
  <dimension ref="A1:S48"/>
  <sheetViews>
    <sheetView zoomScaleNormal="100" workbookViewId="0">
      <pane ySplit="1" topLeftCell="A8" activePane="bottomLeft" state="frozen"/>
      <selection pane="bottomLeft" activeCell="S16" sqref="S16"/>
    </sheetView>
  </sheetViews>
  <sheetFormatPr defaultRowHeight="14.4" x14ac:dyDescent="0.3"/>
  <cols>
    <col min="3" max="3" width="8" bestFit="true" customWidth="true"/>
    <col min="4" max="4" width="11.6640625" bestFit="true" customWidth="true"/>
    <col min="11" max="11" width="17.88671875" bestFit="true" customWidth="true"/>
    <col min="12" max="12" width="18.5546875" bestFit="true" customWidth="true"/>
    <col min="13" max="13" width="17.88671875" bestFit="true" customWidth="true"/>
    <col min="14" max="14" width="18.44140625" bestFit="true" customWidth="true"/>
    <col min="15" max="15" width="20" bestFit="true" customWidth="true"/>
    <col min="16" max="16" width="20.5546875" bestFit="true" customWidth="true"/>
    <col min="18" max="18" width="11.6640625" bestFit="true" customWidth="true"/>
    <col min="5" max="5" width="11.7109375" bestFit="true" customWidth="true"/>
    <col min="6" max="6" width="11.7109375" bestFit="true" customWidth="true"/>
    <col min="7" max="7" width="11.7109375" bestFit="true" customWidth="true"/>
    <col min="8" max="8" width="11.7109375" bestFit="true" customWidth="true"/>
    <col min="9" max="9" width="11.7109375" bestFit="true" customWidth="true"/>
    <col min="10" max="10" width="11.7109375" bestFit="true" customWidth="true"/>
  </cols>
  <sheetData>
    <row r="1" x14ac:dyDescent="0.3">
      <c r="A1" t="s">
        <v>107</v>
      </c>
      <c r="B1" s="1" t="s">
        <v>44</v>
      </c>
      <c r="C1" s="1" t="s">
        <v>0</v>
      </c>
      <c r="D1" s="1" t="s">
        <v>5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R1" s="1" t="s">
        <v>3</v>
      </c>
      <c r="S1" s="1" t="s">
        <v>4</v>
      </c>
    </row>
    <row r="2" x14ac:dyDescent="0.3">
      <c r="A2">
        <v>1</v>
      </c>
      <c r="B2" s="1" t="s">
        <v>45</v>
      </c>
      <c r="C2" s="2">
        <v>326.17727272727274</v>
      </c>
      <c r="D2">
        <f>Methanol!E2</f>
        <v>309.37649845256874</v>
      </c>
      <c r="E2" s="0">
        <v>1303.2430686350015</v>
      </c>
      <c r="F2" s="0">
        <v>2121.3430686350016</v>
      </c>
      <c r="G2" s="0">
        <v>1893.1360686350015</v>
      </c>
      <c r="H2" s="0">
        <v>3536.7860686350009</v>
      </c>
      <c r="I2" s="0">
        <v>1365.1830686350015</v>
      </c>
      <c r="J2" s="0">
        <v>2082.4310686350013</v>
      </c>
      <c r="K2">
        <f t="shared" ref="K2:K46" si="0">(D2-E2)/($S$3-$S$2)</f>
        <v>1138.4496794758679</v>
      </c>
      <c r="L2">
        <f t="shared" ref="L2:L46" si="1">(D2-F2)/($S$3-$S$2)</f>
        <v>2075.563081537724</v>
      </c>
      <c r="M2">
        <f t="shared" ref="M2:M46" si="2">(D2-G2)/($S$4-$S$2)</f>
        <v>6411.982065515921</v>
      </c>
      <c r="N2">
        <f t="shared" ref="N2:N46" si="3">(D2-H2)/($S$4-$S$2)</f>
        <v>13066.435506811464</v>
      </c>
      <c r="O2">
        <f t="shared" ref="O2:O46" si="4">(D2-I2)/($S$5-$S$2)</f>
        <v>776.32836042825932</v>
      </c>
      <c r="P2">
        <f t="shared" ref="P2:P46" si="5">(D2-J2)/($S$5-$S$2)</f>
        <v>1303.7165957223767</v>
      </c>
      <c r="R2" s="1" t="s">
        <v>5</v>
      </c>
      <c r="S2" s="1">
        <v>0.67400000000000004</v>
      </c>
    </row>
    <row r="3" x14ac:dyDescent="0.3">
      <c r="A3">
        <f>A2+1</f>
        <v>2</v>
      </c>
      <c r="B3" s="1" t="s">
        <v>46</v>
      </c>
      <c r="C3" s="2">
        <v>268.5377272727273</v>
      </c>
      <c r="D3">
        <f>Methanol!E3</f>
        <v>271.21327616768167</v>
      </c>
      <c r="E3" s="0">
        <v>1292.2542713117102</v>
      </c>
      <c r="F3" s="0">
        <v>2110.3542713117108</v>
      </c>
      <c r="G3" s="0">
        <v>1882.1472713117103</v>
      </c>
      <c r="H3" s="0">
        <v>3525.7972713117101</v>
      </c>
      <c r="I3" s="0">
        <v>1354.1942713117103</v>
      </c>
      <c r="J3" s="0">
        <v>2071.4422713117106</v>
      </c>
      <c r="K3">
        <f t="shared" si="0"/>
        <v>1169.5773140252331</v>
      </c>
      <c r="L3">
        <f t="shared" si="1"/>
        <v>2106.6907160870896</v>
      </c>
      <c r="M3">
        <f t="shared" si="2"/>
        <v>6521.9999803401952</v>
      </c>
      <c r="N3">
        <f t="shared" si="3"/>
        <v>13176.453421635741</v>
      </c>
      <c r="O3">
        <f t="shared" si="4"/>
        <v>796.30955525296213</v>
      </c>
      <c r="P3">
        <f t="shared" si="5"/>
        <v>1323.6977905470799</v>
      </c>
      <c r="R3" t="s">
        <v>7</v>
      </c>
      <c r="S3" s="1">
        <v>-0.19900000000000001</v>
      </c>
    </row>
    <row r="4" x14ac:dyDescent="0.3">
      <c r="A4">
        <f t="shared" ref="A4:A48" si="6">A3+1</f>
        <v>3</v>
      </c>
      <c r="B4" s="1" t="s">
        <v>47</v>
      </c>
      <c r="C4" s="2">
        <v>231.45181818181817</v>
      </c>
      <c r="D4">
        <f>Methanol!E4</f>
        <v>246.07008663554501</v>
      </c>
      <c r="E4" s="0">
        <v>1282.7979133440112</v>
      </c>
      <c r="F4" s="0">
        <v>2100.8979133440121</v>
      </c>
      <c r="G4" s="0">
        <v>1872.6909133440113</v>
      </c>
      <c r="H4" s="0">
        <v>3516.3409133440114</v>
      </c>
      <c r="I4" s="0">
        <v>1344.7379133440113</v>
      </c>
      <c r="J4" s="0">
        <v>2061.9859133440118</v>
      </c>
      <c r="K4">
        <f t="shared" si="0"/>
        <v>1187.5461932513931</v>
      </c>
      <c r="L4">
        <f t="shared" si="1"/>
        <v>2124.6595953132496</v>
      </c>
      <c r="M4">
        <f t="shared" si="2"/>
        <v>6585.5094198723318</v>
      </c>
      <c r="N4">
        <f t="shared" si="3"/>
        <v>13239.962861167876</v>
      </c>
      <c r="O4">
        <f t="shared" si="4"/>
        <v>807.84399022681339</v>
      </c>
      <c r="P4">
        <f t="shared" si="5"/>
        <v>1335.2322255209313</v>
      </c>
      <c r="R4" t="s">
        <v>28</v>
      </c>
      <c r="S4" s="1">
        <v>0.42699999999999999</v>
      </c>
    </row>
    <row r="5" x14ac:dyDescent="0.3">
      <c r="A5">
        <f t="shared" si="6"/>
        <v>4</v>
      </c>
      <c r="B5" s="1" t="s">
        <v>48</v>
      </c>
      <c r="C5" s="2">
        <v>219.83454545454546</v>
      </c>
      <c r="D5">
        <f>Methanol!E5</f>
        <v>238.94735160138174</v>
      </c>
      <c r="E5" s="0">
        <v>1282.89018675172</v>
      </c>
      <c r="F5" s="0">
        <v>2100.9901867517206</v>
      </c>
      <c r="G5" s="0">
        <v>1872.78318675172</v>
      </c>
      <c r="H5" s="0">
        <v>3516.4331867517199</v>
      </c>
      <c r="I5" s="0">
        <v>1344.83018675172</v>
      </c>
      <c r="J5" s="0">
        <v>2062.0781867517203</v>
      </c>
      <c r="K5">
        <f t="shared" si="0"/>
        <v>1195.8108077323461</v>
      </c>
      <c r="L5">
        <f t="shared" si="1"/>
        <v>2132.9242097942024</v>
      </c>
      <c r="M5">
        <f t="shared" si="2"/>
        <v>6614.7199803657404</v>
      </c>
      <c r="N5">
        <f t="shared" si="3"/>
        <v>13269.173421661284</v>
      </c>
      <c r="O5">
        <f t="shared" si="4"/>
        <v>813.14914349289575</v>
      </c>
      <c r="P5">
        <f t="shared" si="5"/>
        <v>1340.5373787870135</v>
      </c>
      <c r="R5" t="s">
        <v>29</v>
      </c>
      <c r="S5" s="1">
        <v>-0.68600000000000005</v>
      </c>
    </row>
    <row r="6" x14ac:dyDescent="0.3">
      <c r="A6">
        <f t="shared" si="6"/>
        <v>5</v>
      </c>
      <c r="B6" s="1" t="s">
        <v>49</v>
      </c>
      <c r="C6" s="2">
        <v>193.9190909090909</v>
      </c>
      <c r="D6">
        <f>Methanol!E6</f>
        <v>222.07192421747897</v>
      </c>
      <c r="E6" s="0">
        <v>1279.0977197381471</v>
      </c>
      <c r="F6" s="0">
        <v>2097.1977197381475</v>
      </c>
      <c r="G6" s="0">
        <v>1868.9907197381472</v>
      </c>
      <c r="H6" s="0">
        <v>3512.6407197381473</v>
      </c>
      <c r="I6" s="0">
        <v>1341.0377197381472</v>
      </c>
      <c r="J6" s="0">
        <v>2058.2857197381472</v>
      </c>
      <c r="K6">
        <f t="shared" si="0"/>
        <v>1210.7970166330679</v>
      </c>
      <c r="L6">
        <f t="shared" si="1"/>
        <v>2147.9104186949239</v>
      </c>
      <c r="M6">
        <f t="shared" si="2"/>
        <v>6667.6874312577647</v>
      </c>
      <c r="N6">
        <f t="shared" si="3"/>
        <v>13322.140872553309</v>
      </c>
      <c r="O6">
        <f t="shared" si="4"/>
        <v>822.76896729460896</v>
      </c>
      <c r="P6">
        <f t="shared" si="5"/>
        <v>1350.1572025887267</v>
      </c>
      <c r="R6" s="1" t="s">
        <v>110</v>
      </c>
      <c r="S6" s="1">
        <v>0.496</v>
      </c>
    </row>
    <row r="7" x14ac:dyDescent="0.3">
      <c r="A7">
        <f t="shared" si="6"/>
        <v>6</v>
      </c>
      <c r="B7" s="1" t="s">
        <v>50</v>
      </c>
      <c r="C7" s="2">
        <v>160.40772727272727</v>
      </c>
      <c r="D7">
        <f>Methanol!E7</f>
        <v>199.77353777277719</v>
      </c>
      <c r="E7" s="0">
        <v>1272.2610468757687</v>
      </c>
      <c r="F7" s="0">
        <v>2090.3610468757693</v>
      </c>
      <c r="G7" s="0">
        <v>1862.1540468757687</v>
      </c>
      <c r="H7" s="0">
        <v>3505.8040468757686</v>
      </c>
      <c r="I7" s="0">
        <v>1334.2010468757687</v>
      </c>
      <c r="J7" s="0">
        <v>2051.449046875769</v>
      </c>
      <c r="K7">
        <f t="shared" si="0"/>
        <v>1228.5080287548585</v>
      </c>
      <c r="L7">
        <f t="shared" si="1"/>
        <v>2165.621430816715</v>
      </c>
      <c r="M7">
        <f t="shared" si="2"/>
        <v>6730.28546195543</v>
      </c>
      <c r="N7">
        <f t="shared" si="3"/>
        <v>13384.738903250975</v>
      </c>
      <c r="O7">
        <f t="shared" si="4"/>
        <v>834.13787434043491</v>
      </c>
      <c r="P7">
        <f t="shared" si="5"/>
        <v>1361.5261096345528</v>
      </c>
    </row>
    <row r="8" x14ac:dyDescent="0.3">
      <c r="A8">
        <f t="shared" si="6"/>
        <v>7</v>
      </c>
      <c r="B8" s="1" t="s">
        <v>51</v>
      </c>
      <c r="C8" s="2">
        <v>161.74818181818182</v>
      </c>
      <c r="D8">
        <f>Methanol!E8</f>
        <v>201.18323643056527</v>
      </c>
      <c r="E8" s="0">
        <v>1274.6335537902639</v>
      </c>
      <c r="F8" s="0">
        <v>2092.7335537902645</v>
      </c>
      <c r="G8" s="0">
        <v>1864.526553790264</v>
      </c>
      <c r="H8" s="0">
        <v>3508.1765537902638</v>
      </c>
      <c r="I8" s="0">
        <v>1336.573553790264</v>
      </c>
      <c r="J8" s="0">
        <v>2053.8215537902643</v>
      </c>
      <c r="K8">
        <f t="shared" si="0"/>
        <v>1229.610901901144</v>
      </c>
      <c r="L8">
        <f t="shared" si="1"/>
        <v>2166.7243039630002</v>
      </c>
      <c r="M8">
        <f t="shared" si="2"/>
        <v>6734.1834710918956</v>
      </c>
      <c r="N8">
        <f t="shared" si="3"/>
        <v>13388.636912387441</v>
      </c>
      <c r="O8">
        <f t="shared" si="4"/>
        <v>834.84582158801368</v>
      </c>
      <c r="P8">
        <f t="shared" si="5"/>
        <v>1362.2340568821314</v>
      </c>
    </row>
    <row r="9" x14ac:dyDescent="0.3">
      <c r="A9">
        <f t="shared" si="6"/>
        <v>8</v>
      </c>
      <c r="B9" s="1" t="s">
        <v>52</v>
      </c>
      <c r="C9" s="2">
        <v>164.42909090909092</v>
      </c>
      <c r="D9">
        <f>Methanol!E9</f>
        <v>202.72169374614143</v>
      </c>
      <c r="E9" s="0">
        <v>1274.1855676192542</v>
      </c>
      <c r="F9" s="0">
        <v>2092.2855676192544</v>
      </c>
      <c r="G9" s="0">
        <v>1864.0785676192543</v>
      </c>
      <c r="H9" s="0">
        <v>3507.7285676192537</v>
      </c>
      <c r="I9" s="0">
        <v>1336.1255676192543</v>
      </c>
      <c r="J9" s="0">
        <v>2053.3735676192541</v>
      </c>
      <c r="K9">
        <f t="shared" si="0"/>
        <v>1227.3354798088349</v>
      </c>
      <c r="L9">
        <f t="shared" si="1"/>
        <v>2164.4488818706905</v>
      </c>
      <c r="M9">
        <f t="shared" si="2"/>
        <v>6726.1411897696862</v>
      </c>
      <c r="N9">
        <f t="shared" si="3"/>
        <v>13380.594631065229</v>
      </c>
      <c r="O9">
        <f t="shared" si="4"/>
        <v>833.38520137728881</v>
      </c>
      <c r="P9">
        <f t="shared" si="5"/>
        <v>1360.7734366714062</v>
      </c>
    </row>
    <row r="10" x14ac:dyDescent="0.3">
      <c r="A10">
        <f t="shared" si="6"/>
        <v>9</v>
      </c>
      <c r="B10" s="1" t="s">
        <v>53</v>
      </c>
      <c r="C10" s="2">
        <v>188.11045454545456</v>
      </c>
      <c r="D10">
        <f>Methanol!E10</f>
        <v>218.12279670039737</v>
      </c>
      <c r="E10" s="0">
        <v>1277.5718564420017</v>
      </c>
      <c r="F10" s="0">
        <v>2095.6718564420021</v>
      </c>
      <c r="G10" s="0">
        <v>1867.4648564420017</v>
      </c>
      <c r="H10" s="0">
        <v>3511.1148564420018</v>
      </c>
      <c r="I10" s="0">
        <v>1339.5118564420018</v>
      </c>
      <c r="J10" s="0">
        <v>2056.7598564420018</v>
      </c>
      <c r="K10">
        <f t="shared" si="0"/>
        <v>1213.5728061186762</v>
      </c>
      <c r="L10">
        <f t="shared" si="1"/>
        <v>2150.686208180532</v>
      </c>
      <c r="M10">
        <f t="shared" si="2"/>
        <v>6677.4982175773439</v>
      </c>
      <c r="N10">
        <f t="shared" si="3"/>
        <v>13331.951658872889</v>
      </c>
      <c r="O10">
        <f t="shared" si="4"/>
        <v>824.55077922176781</v>
      </c>
      <c r="P10">
        <f t="shared" si="5"/>
        <v>1351.9390145158854</v>
      </c>
    </row>
    <row r="11" x14ac:dyDescent="0.3">
      <c r="A11">
        <f t="shared" si="6"/>
        <v>10</v>
      </c>
      <c r="B11" s="1" t="s">
        <v>54</v>
      </c>
      <c r="C11" s="2">
        <v>226.08999999999997</v>
      </c>
      <c r="D11">
        <f>Methanol!E11</f>
        <v>243.0346120043927</v>
      </c>
      <c r="E11" s="0">
        <v>1283.8618856860307</v>
      </c>
      <c r="F11" s="0">
        <v>2101.9618856860311</v>
      </c>
      <c r="G11" s="0">
        <v>1873.7548856860308</v>
      </c>
      <c r="H11" s="0">
        <v>3517.4048856860304</v>
      </c>
      <c r="I11" s="0">
        <v>1345.8018856860308</v>
      </c>
      <c r="J11" s="0">
        <v>2063.0498856860308</v>
      </c>
      <c r="K11">
        <f t="shared" si="0"/>
        <v>1192.242008799127</v>
      </c>
      <c r="L11">
        <f t="shared" si="1"/>
        <v>2129.3554108609833</v>
      </c>
      <c r="M11">
        <f t="shared" si="2"/>
        <v>6602.1063711807192</v>
      </c>
      <c r="N11">
        <f t="shared" si="3"/>
        <v>13256.559812476264</v>
      </c>
      <c r="O11">
        <f t="shared" si="4"/>
        <v>810.85828947179255</v>
      </c>
      <c r="P11">
        <f t="shared" si="5"/>
        <v>1338.2465247659102</v>
      </c>
    </row>
    <row r="12" x14ac:dyDescent="0.3">
      <c r="A12">
        <f t="shared" si="6"/>
        <v>11</v>
      </c>
      <c r="B12" s="1" t="s">
        <v>55</v>
      </c>
      <c r="C12" s="2">
        <v>230.11136363636368</v>
      </c>
      <c r="D12">
        <f>Methanol!E12</f>
        <v>245.96278797775696</v>
      </c>
      <c r="E12" s="0">
        <v>1285.7054064295162</v>
      </c>
      <c r="F12" s="0">
        <v>2103.8054064295166</v>
      </c>
      <c r="G12" s="0">
        <v>1875.5984064295162</v>
      </c>
      <c r="H12" s="0">
        <v>3519.2484064295163</v>
      </c>
      <c r="I12" s="0">
        <v>1347.6454064295162</v>
      </c>
      <c r="J12" s="0">
        <v>2064.8934064295163</v>
      </c>
      <c r="K12">
        <f t="shared" si="0"/>
        <v>1190.9995629458867</v>
      </c>
      <c r="L12">
        <f t="shared" si="1"/>
        <v>2128.1129650077428</v>
      </c>
      <c r="M12">
        <f t="shared" si="2"/>
        <v>6597.715054460562</v>
      </c>
      <c r="N12">
        <f t="shared" si="3"/>
        <v>13252.168495756108</v>
      </c>
      <c r="O12">
        <f t="shared" si="4"/>
        <v>810.06074886158763</v>
      </c>
      <c r="P12">
        <f t="shared" si="5"/>
        <v>1337.4489841557054</v>
      </c>
    </row>
    <row r="13" x14ac:dyDescent="0.3">
      <c r="A13">
        <f t="shared" si="6"/>
        <v>12</v>
      </c>
      <c r="B13" s="1" t="s">
        <v>56</v>
      </c>
      <c r="C13" s="2">
        <v>206.43</v>
      </c>
      <c r="D13">
        <f>Methanol!E13</f>
        <v>229.815765023501</v>
      </c>
      <c r="E13" s="0">
        <v>1279.2951176067686</v>
      </c>
      <c r="F13" s="0">
        <v>2097.395117606769</v>
      </c>
      <c r="G13" s="0">
        <v>1869.1881176067686</v>
      </c>
      <c r="H13" s="0">
        <v>3512.8381176067683</v>
      </c>
      <c r="I13" s="0">
        <v>1341.2351176067687</v>
      </c>
      <c r="J13" s="0">
        <v>2058.4831176067687</v>
      </c>
      <c r="K13">
        <f t="shared" si="0"/>
        <v>1202.152752099963</v>
      </c>
      <c r="L13">
        <f t="shared" si="1"/>
        <v>2139.266154161819</v>
      </c>
      <c r="M13">
        <f t="shared" si="2"/>
        <v>6637.1350307014873</v>
      </c>
      <c r="N13">
        <f t="shared" si="3"/>
        <v>13291.588471997029</v>
      </c>
      <c r="O13">
        <f t="shared" si="4"/>
        <v>817.2201121935791</v>
      </c>
      <c r="P13">
        <f t="shared" si="5"/>
        <v>1344.6083474876968</v>
      </c>
    </row>
    <row r="14" x14ac:dyDescent="0.3">
      <c r="A14">
        <f t="shared" si="6"/>
        <v>13</v>
      </c>
      <c r="B14" s="1" t="s">
        <v>57</v>
      </c>
      <c r="C14" s="2">
        <v>162.19499999999999</v>
      </c>
      <c r="D14">
        <f>Methanol!E14</f>
        <v>199.40429230500035</v>
      </c>
      <c r="E14" s="0">
        <v>1241.0929853192076</v>
      </c>
      <c r="F14" s="0">
        <v>1752.3939894344337</v>
      </c>
      <c r="G14" s="0">
        <v>1805.6209853192074</v>
      </c>
      <c r="H14" s="0">
        <v>3299.2219894344339</v>
      </c>
      <c r="I14" s="0">
        <v>1113.2419853192075</v>
      </c>
      <c r="J14" s="0">
        <v>1938.042989434434</v>
      </c>
      <c r="K14">
        <f t="shared" si="0"/>
        <v>1193.2287434297907</v>
      </c>
      <c r="L14">
        <f t="shared" si="1"/>
        <v>1778.9114514655594</v>
      </c>
      <c r="M14">
        <f t="shared" si="2"/>
        <v>6502.9015911506349</v>
      </c>
      <c r="N14">
        <f t="shared" si="3"/>
        <v>12549.8692191475</v>
      </c>
      <c r="O14">
        <f t="shared" si="4"/>
        <v>671.93948015750527</v>
      </c>
      <c r="P14">
        <f t="shared" si="5"/>
        <v>1278.4108067128188</v>
      </c>
    </row>
    <row r="15" x14ac:dyDescent="0.3">
      <c r="A15">
        <f t="shared" si="6"/>
        <v>14</v>
      </c>
      <c r="B15" s="1" t="s">
        <v>58</v>
      </c>
      <c r="C15" s="2">
        <v>130.02409090909092</v>
      </c>
      <c r="D15">
        <f>Methanol!E15</f>
        <v>177.40930451808666</v>
      </c>
      <c r="E15" s="0">
        <v>1232.1438193713243</v>
      </c>
      <c r="F15" s="0">
        <v>1743.4448234865504</v>
      </c>
      <c r="G15" s="0">
        <v>1796.6718193713241</v>
      </c>
      <c r="H15" s="0">
        <v>3290.2728234865504</v>
      </c>
      <c r="I15" s="0">
        <v>1104.2928193713237</v>
      </c>
      <c r="J15" s="0">
        <v>1929.0938234865507</v>
      </c>
      <c r="K15">
        <f t="shared" si="0"/>
        <v>1208.172411057546</v>
      </c>
      <c r="L15">
        <f t="shared" si="1"/>
        <v>1793.8551190933147</v>
      </c>
      <c r="M15">
        <f t="shared" si="2"/>
        <v>6555.7186836163446</v>
      </c>
      <c r="N15">
        <f t="shared" si="3"/>
        <v>12602.68631161321</v>
      </c>
      <c r="O15">
        <f t="shared" si="4"/>
        <v>681.53199621561544</v>
      </c>
      <c r="P15">
        <f t="shared" si="5"/>
        <v>1288.0033227709293</v>
      </c>
    </row>
    <row r="16" x14ac:dyDescent="0.3">
      <c r="A16">
        <f t="shared" si="6"/>
        <v>15</v>
      </c>
      <c r="B16" s="1" t="s">
        <v>59</v>
      </c>
      <c r="C16" s="2">
        <v>121.53454545454547</v>
      </c>
      <c r="D16">
        <f>Methanol!E16</f>
        <v>171.90543968542889</v>
      </c>
      <c r="E16" s="0">
        <v>1230.9999422461885</v>
      </c>
      <c r="F16" s="0">
        <v>1742.3009463614146</v>
      </c>
      <c r="G16" s="0">
        <v>1795.5279422461883</v>
      </c>
      <c r="H16" s="0">
        <v>3289.1289463614144</v>
      </c>
      <c r="I16" s="0">
        <v>1103.148942246188</v>
      </c>
      <c r="J16" s="0">
        <v>1927.949946361415</v>
      </c>
      <c r="K16">
        <f t="shared" si="0"/>
        <v>1213.1666695999536</v>
      </c>
      <c r="L16">
        <f t="shared" si="1"/>
        <v>1798.8493776357225</v>
      </c>
      <c r="M16">
        <f t="shared" si="2"/>
        <v>6573.3704557115752</v>
      </c>
      <c r="N16">
        <f t="shared" si="3"/>
        <v>12620.338083708441</v>
      </c>
      <c r="O16">
        <f t="shared" si="4"/>
        <v>684.73786952996988</v>
      </c>
      <c r="P16">
        <f t="shared" si="5"/>
        <v>1291.2091960852838</v>
      </c>
    </row>
    <row r="17" x14ac:dyDescent="0.3">
      <c r="A17">
        <f t="shared" si="6"/>
        <v>16</v>
      </c>
      <c r="B17" s="1" t="s">
        <v>60</v>
      </c>
      <c r="C17" s="2">
        <v>94.725454545454554</v>
      </c>
      <c r="D17">
        <f>Methanol!E17</f>
        <v>153.9774865296674</v>
      </c>
      <c r="E17" s="0">
        <v>1225.1688039562855</v>
      </c>
      <c r="F17" s="0">
        <v>1736.4698080715116</v>
      </c>
      <c r="G17" s="0">
        <v>1789.6968039562853</v>
      </c>
      <c r="H17" s="0">
        <v>3283.2978080715116</v>
      </c>
      <c r="I17" s="0">
        <v>1097.3178039562852</v>
      </c>
      <c r="J17" s="0">
        <v>1922.1188080715119</v>
      </c>
      <c r="K17">
        <f t="shared" si="0"/>
        <v>1227.0232731118192</v>
      </c>
      <c r="L17">
        <f t="shared" si="1"/>
        <v>1812.7059811475879</v>
      </c>
      <c r="M17">
        <f t="shared" si="2"/>
        <v>6622.3454146826616</v>
      </c>
      <c r="N17">
        <f t="shared" si="3"/>
        <v>12669.313042679529</v>
      </c>
      <c r="O17">
        <f t="shared" si="4"/>
        <v>693.63258634310125</v>
      </c>
      <c r="P17">
        <f t="shared" si="5"/>
        <v>1300.103912898415</v>
      </c>
    </row>
    <row r="18" x14ac:dyDescent="0.3">
      <c r="A18">
        <f t="shared" si="6"/>
        <v>17</v>
      </c>
      <c r="B18" s="1" t="s">
        <v>61</v>
      </c>
      <c r="C18" s="2">
        <v>70.597272727272724</v>
      </c>
      <c r="D18">
        <f>Methanol!E18</f>
        <v>138.24733068948214</v>
      </c>
      <c r="E18" s="0">
        <v>1221.562679495373</v>
      </c>
      <c r="F18" s="0">
        <v>1732.8636836105991</v>
      </c>
      <c r="G18" s="0">
        <v>1786.0906794953728</v>
      </c>
      <c r="H18" s="0">
        <v>3279.6916836105993</v>
      </c>
      <c r="I18" s="0">
        <v>1093.7116794953727</v>
      </c>
      <c r="J18" s="0">
        <v>1918.5126836105994</v>
      </c>
      <c r="K18">
        <f t="shared" si="0"/>
        <v>1240.91105246952</v>
      </c>
      <c r="L18">
        <f t="shared" si="1"/>
        <v>1826.5937605052886</v>
      </c>
      <c r="M18">
        <f t="shared" si="2"/>
        <v>6671.4305619671668</v>
      </c>
      <c r="N18">
        <f t="shared" si="3"/>
        <v>12718.398189964035</v>
      </c>
      <c r="O18">
        <f t="shared" si="4"/>
        <v>702.54731529844889</v>
      </c>
      <c r="P18">
        <f t="shared" si="5"/>
        <v>1309.0186418537626</v>
      </c>
    </row>
    <row r="19" x14ac:dyDescent="0.3">
      <c r="A19">
        <f t="shared" si="6"/>
        <v>18</v>
      </c>
      <c r="B19" s="1" t="s">
        <v>62</v>
      </c>
      <c r="C19" s="2">
        <v>78.193181818181827</v>
      </c>
      <c r="D19">
        <f>Methanol!E19</f>
        <v>143.85084975028121</v>
      </c>
      <c r="E19" s="0">
        <v>1225.3388853441786</v>
      </c>
      <c r="F19" s="0">
        <v>1736.6398894594047</v>
      </c>
      <c r="G19" s="0">
        <v>1789.8668853441784</v>
      </c>
      <c r="H19" s="0">
        <v>3283.4678894594053</v>
      </c>
      <c r="I19" s="0">
        <v>1097.4878853441785</v>
      </c>
      <c r="J19" s="0">
        <v>1922.288889459405</v>
      </c>
      <c r="K19">
        <f t="shared" si="0"/>
        <v>1238.8179101877404</v>
      </c>
      <c r="L19">
        <f t="shared" si="1"/>
        <v>1824.500618223509</v>
      </c>
      <c r="M19">
        <f t="shared" si="2"/>
        <v>6664.0325327688133</v>
      </c>
      <c r="N19">
        <f t="shared" si="3"/>
        <v>12711.000160765681</v>
      </c>
      <c r="O19">
        <f t="shared" si="4"/>
        <v>701.20370264257144</v>
      </c>
      <c r="P19">
        <f t="shared" si="5"/>
        <v>1307.6750291978851</v>
      </c>
    </row>
    <row r="20" x14ac:dyDescent="0.3">
      <c r="A20">
        <f t="shared" si="6"/>
        <v>19</v>
      </c>
      <c r="B20" s="1" t="s">
        <v>63</v>
      </c>
      <c r="C20" s="2">
        <v>80.427272727272737</v>
      </c>
      <c r="D20">
        <f>Methanol!E20</f>
        <v>145.595274179928</v>
      </c>
      <c r="E20" s="0">
        <v>1226.840063535004</v>
      </c>
      <c r="F20" s="0">
        <v>1738.1410676502301</v>
      </c>
      <c r="G20" s="0">
        <v>1791.3680635350038</v>
      </c>
      <c r="H20" s="0">
        <v>3284.9690676502305</v>
      </c>
      <c r="I20" s="0">
        <v>1098.9890635350037</v>
      </c>
      <c r="J20" s="0">
        <v>1923.7900676502304</v>
      </c>
      <c r="K20">
        <f t="shared" si="0"/>
        <v>1238.5392776117708</v>
      </c>
      <c r="L20">
        <f t="shared" si="1"/>
        <v>1824.2219856475394</v>
      </c>
      <c r="M20">
        <f t="shared" si="2"/>
        <v>6663.0477301824913</v>
      </c>
      <c r="N20">
        <f t="shared" si="3"/>
        <v>12710.01535817936</v>
      </c>
      <c r="O20">
        <f t="shared" si="4"/>
        <v>701.02484511402622</v>
      </c>
      <c r="P20">
        <f t="shared" si="5"/>
        <v>1307.4961716693399</v>
      </c>
    </row>
    <row r="21" x14ac:dyDescent="0.3">
      <c r="A21">
        <f t="shared" si="6"/>
        <v>20</v>
      </c>
      <c r="B21" s="1" t="s">
        <v>64</v>
      </c>
      <c r="C21" s="2">
        <v>127.78999999999999</v>
      </c>
      <c r="D21">
        <f>Methanol!E21</f>
        <v>176.90956008843986</v>
      </c>
      <c r="E21" s="0">
        <v>1235.688641180499</v>
      </c>
      <c r="F21" s="0">
        <v>1746.989645295725</v>
      </c>
      <c r="G21" s="0">
        <v>1800.2166411804988</v>
      </c>
      <c r="H21" s="0">
        <v>3293.8176452957255</v>
      </c>
      <c r="I21" s="0">
        <v>1107.8376411804988</v>
      </c>
      <c r="J21" s="0">
        <v>1932.6386452957254</v>
      </c>
      <c r="K21">
        <f t="shared" si="0"/>
        <v>1212.8053620756691</v>
      </c>
      <c r="L21">
        <f t="shared" si="1"/>
        <v>1798.488070111438</v>
      </c>
      <c r="M21">
        <f t="shared" si="2"/>
        <v>6572.0934457168369</v>
      </c>
      <c r="N21">
        <f t="shared" si="3"/>
        <v>12619.061073713705</v>
      </c>
      <c r="O21">
        <f t="shared" si="4"/>
        <v>684.50594197945509</v>
      </c>
      <c r="P21">
        <f t="shared" si="5"/>
        <v>1290.9772685347687</v>
      </c>
    </row>
    <row r="22" x14ac:dyDescent="0.3">
      <c r="A22">
        <f t="shared" si="6"/>
        <v>21</v>
      </c>
      <c r="B22" s="1" t="s">
        <v>65</v>
      </c>
      <c r="C22" s="2">
        <v>176.49318181818182</v>
      </c>
      <c r="D22">
        <f>Methanol!E22</f>
        <v>209.39378465473979</v>
      </c>
      <c r="E22" s="0">
        <v>1245.9377257404892</v>
      </c>
      <c r="F22" s="0">
        <v>1757.2387298557153</v>
      </c>
      <c r="G22" s="0">
        <v>1810.465725740489</v>
      </c>
      <c r="H22" s="0">
        <v>3304.0667298557155</v>
      </c>
      <c r="I22" s="0">
        <v>1118.0867257404889</v>
      </c>
      <c r="J22" s="0">
        <v>1942.8877298557156</v>
      </c>
      <c r="K22">
        <f t="shared" si="0"/>
        <v>1187.3355567992546</v>
      </c>
      <c r="L22">
        <f t="shared" si="1"/>
        <v>1773.0182648350235</v>
      </c>
      <c r="M22">
        <f t="shared" si="2"/>
        <v>6482.0726359746914</v>
      </c>
      <c r="N22">
        <f t="shared" si="3"/>
        <v>12529.040263971559</v>
      </c>
      <c r="O22">
        <f t="shared" si="4"/>
        <v>668.15657432775663</v>
      </c>
      <c r="P22">
        <f t="shared" si="5"/>
        <v>1274.6279008830704</v>
      </c>
    </row>
    <row r="23" x14ac:dyDescent="0.3">
      <c r="A23">
        <f t="shared" si="6"/>
        <v>22</v>
      </c>
      <c r="B23" s="1" t="s">
        <v>66</v>
      </c>
      <c r="C23" s="2">
        <v>218.49409090909091</v>
      </c>
      <c r="D23">
        <f>Methanol!E23</f>
        <v>236.12747593209937</v>
      </c>
      <c r="E23" s="0">
        <v>1249.5862757280036</v>
      </c>
      <c r="F23" s="0">
        <v>1760.8872798432296</v>
      </c>
      <c r="G23" s="0">
        <v>1814.1142757280033</v>
      </c>
      <c r="H23" s="0">
        <v>3307.7152798432298</v>
      </c>
      <c r="I23" s="0">
        <v>1121.7352757280034</v>
      </c>
      <c r="J23" s="0">
        <v>1946.53627984323</v>
      </c>
      <c r="K23">
        <f t="shared" si="0"/>
        <v>1160.8920959861446</v>
      </c>
      <c r="L23">
        <f t="shared" si="1"/>
        <v>1746.5748040219135</v>
      </c>
      <c r="M23">
        <f t="shared" si="2"/>
        <v>6388.6105254894892</v>
      </c>
      <c r="N23">
        <f t="shared" si="3"/>
        <v>12435.578153486354</v>
      </c>
      <c r="O23">
        <f t="shared" si="4"/>
        <v>651.18220573228234</v>
      </c>
      <c r="P23">
        <f t="shared" si="5"/>
        <v>1257.6535322875959</v>
      </c>
    </row>
    <row r="24" x14ac:dyDescent="0.3">
      <c r="A24">
        <f t="shared" si="6"/>
        <v>23</v>
      </c>
      <c r="B24" s="1" t="s">
        <v>67</v>
      </c>
      <c r="C24" s="2">
        <v>216.26000000000002</v>
      </c>
      <c r="D24">
        <f>Methanol!E24</f>
        <v>235.0253715024526</v>
      </c>
      <c r="E24" s="0">
        <v>1250.6890975371784</v>
      </c>
      <c r="F24" s="0">
        <v>1761.9901016524045</v>
      </c>
      <c r="G24" s="0">
        <v>1815.2170975371782</v>
      </c>
      <c r="H24" s="0">
        <v>3308.8181016524045</v>
      </c>
      <c r="I24" s="0">
        <v>1122.8380975371779</v>
      </c>
      <c r="J24" s="0">
        <v>1947.6391016524049</v>
      </c>
      <c r="K24">
        <f t="shared" si="0"/>
        <v>1163.4177846904076</v>
      </c>
      <c r="L24">
        <f t="shared" si="1"/>
        <v>1749.1004927261763</v>
      </c>
      <c r="M24">
        <f t="shared" si="2"/>
        <v>6397.5373523673088</v>
      </c>
      <c r="N24">
        <f t="shared" si="3"/>
        <v>12444.504980364174</v>
      </c>
      <c r="O24">
        <f t="shared" si="4"/>
        <v>652.80347502553332</v>
      </c>
      <c r="P24">
        <f t="shared" si="5"/>
        <v>1259.2748015808472</v>
      </c>
    </row>
    <row r="25" x14ac:dyDescent="0.3">
      <c r="A25">
        <f t="shared" si="6"/>
        <v>24</v>
      </c>
      <c r="B25" s="1" t="s">
        <v>68</v>
      </c>
      <c r="C25" s="2">
        <v>261.83545454545458</v>
      </c>
      <c r="D25">
        <f>Methanol!E25</f>
        <v>265.16626586724703</v>
      </c>
      <c r="E25" s="0">
        <v>1259.237332630013</v>
      </c>
      <c r="F25" s="0">
        <v>1770.5383367452391</v>
      </c>
      <c r="G25" s="0">
        <v>1823.7653326300128</v>
      </c>
      <c r="H25" s="0">
        <v>3317.3663367452396</v>
      </c>
      <c r="I25" s="0">
        <v>1131.3863326300129</v>
      </c>
      <c r="J25" s="0">
        <v>1956.1873367452395</v>
      </c>
      <c r="K25">
        <f t="shared" si="0"/>
        <v>1138.6839252723551</v>
      </c>
      <c r="L25">
        <f t="shared" si="1"/>
        <v>1724.3666333081237</v>
      </c>
      <c r="M25">
        <f t="shared" si="2"/>
        <v>6310.1176792014794</v>
      </c>
      <c r="N25">
        <f t="shared" si="3"/>
        <v>12357.085307198347</v>
      </c>
      <c r="O25">
        <f t="shared" si="4"/>
        <v>636.92651967850429</v>
      </c>
      <c r="P25">
        <f t="shared" si="5"/>
        <v>1243.3978462338177</v>
      </c>
    </row>
    <row r="26" x14ac:dyDescent="0.3">
      <c r="A26">
        <f t="shared" si="6"/>
        <v>25</v>
      </c>
      <c r="B26" s="1" t="s">
        <v>69</v>
      </c>
      <c r="C26" s="2">
        <v>324.83681818181822</v>
      </c>
      <c r="D26">
        <f>Methanol!E26</f>
        <v>324.05649427753929</v>
      </c>
      <c r="E26" s="0">
        <v>1205.0434124264141</v>
      </c>
      <c r="F26" s="0">
        <v>1784.7862519325865</v>
      </c>
      <c r="G26" s="0">
        <v>1712.0204124264139</v>
      </c>
      <c r="H26" s="0">
        <v>2897.863251932587</v>
      </c>
      <c r="I26" s="0">
        <v>1271.0874124264137</v>
      </c>
      <c r="J26" s="0">
        <v>2250.5712519325866</v>
      </c>
      <c r="K26">
        <f t="shared" si="0"/>
        <v>1009.1488180399482</v>
      </c>
      <c r="L26">
        <f t="shared" si="1"/>
        <v>1673.2299629496531</v>
      </c>
      <c r="M26">
        <f t="shared" si="2"/>
        <v>5619.2871180116372</v>
      </c>
      <c r="N26">
        <f t="shared" si="3"/>
        <v>10420.270273907072</v>
      </c>
      <c r="O26">
        <f t="shared" si="4"/>
        <v>696.34626334476059</v>
      </c>
      <c r="P26">
        <f t="shared" si="5"/>
        <v>1416.5549688640053</v>
      </c>
    </row>
    <row r="27" x14ac:dyDescent="0.3">
      <c r="A27">
        <f t="shared" si="6"/>
        <v>26</v>
      </c>
      <c r="B27" s="1" t="s">
        <v>70</v>
      </c>
      <c r="C27" s="2">
        <v>275.24000000000007</v>
      </c>
      <c r="D27">
        <f>Methanol!E27</f>
        <v>291.3367039393807</v>
      </c>
      <c r="E27" s="0">
        <v>1196.0676565900937</v>
      </c>
      <c r="F27" s="0">
        <v>1775.8104960962664</v>
      </c>
      <c r="G27" s="0">
        <v>1703.0446565900938</v>
      </c>
      <c r="H27" s="0">
        <v>2888.8874960962662</v>
      </c>
      <c r="I27" s="0">
        <v>1262.1116565900936</v>
      </c>
      <c r="J27" s="0">
        <v>2241.5954960962658</v>
      </c>
      <c r="K27">
        <f t="shared" si="0"/>
        <v>1036.3470248003587</v>
      </c>
      <c r="L27">
        <f t="shared" si="1"/>
        <v>1700.4281697100639</v>
      </c>
      <c r="M27">
        <f t="shared" si="2"/>
        <v>5715.4168123510644</v>
      </c>
      <c r="N27">
        <f t="shared" si="3"/>
        <v>10516.399968246498</v>
      </c>
      <c r="O27">
        <f t="shared" si="4"/>
        <v>713.80511224317127</v>
      </c>
      <c r="P27">
        <f t="shared" si="5"/>
        <v>1434.0138177624156</v>
      </c>
    </row>
    <row r="28" x14ac:dyDescent="0.3">
      <c r="A28">
        <f t="shared" si="6"/>
        <v>27</v>
      </c>
      <c r="B28" s="1" t="s">
        <v>71</v>
      </c>
      <c r="C28" s="2">
        <v>273.89954545454549</v>
      </c>
      <c r="D28">
        <f>Methanol!E28</f>
        <v>290.34732528159259</v>
      </c>
      <c r="E28" s="0">
        <v>1195.3991496755987</v>
      </c>
      <c r="F28" s="0">
        <v>1775.1419891817711</v>
      </c>
      <c r="G28" s="0">
        <v>1702.3761496755985</v>
      </c>
      <c r="H28" s="0">
        <v>2888.2189891817716</v>
      </c>
      <c r="I28" s="0">
        <v>1261.4431496755983</v>
      </c>
      <c r="J28" s="0">
        <v>2240.9269891817712</v>
      </c>
      <c r="K28">
        <f t="shared" si="0"/>
        <v>1036.7145754799612</v>
      </c>
      <c r="L28">
        <f t="shared" si="1"/>
        <v>1700.795720389666</v>
      </c>
      <c r="M28">
        <f t="shared" si="2"/>
        <v>5716.7158882348403</v>
      </c>
      <c r="N28">
        <f t="shared" si="3"/>
        <v>10517.699044130277</v>
      </c>
      <c r="O28">
        <f t="shared" si="4"/>
        <v>714.04104734853354</v>
      </c>
      <c r="P28">
        <f t="shared" si="5"/>
        <v>1434.2497528677784</v>
      </c>
    </row>
    <row r="29" x14ac:dyDescent="0.3">
      <c r="A29">
        <f t="shared" si="6"/>
        <v>28</v>
      </c>
      <c r="B29" s="1" t="s">
        <v>72</v>
      </c>
      <c r="C29" s="2">
        <v>319.47500000000002</v>
      </c>
      <c r="D29">
        <f>Methanol!E29</f>
        <v>320.61623964638704</v>
      </c>
      <c r="E29" s="0">
        <v>1204.4663847684335</v>
      </c>
      <c r="F29" s="0">
        <v>1784.209224274606</v>
      </c>
      <c r="G29" s="0">
        <v>1711.4433847684334</v>
      </c>
      <c r="H29" s="0">
        <v>2897.2862242746064</v>
      </c>
      <c r="I29" s="0">
        <v>1270.5103847684331</v>
      </c>
      <c r="J29" s="0">
        <v>2249.994224274606</v>
      </c>
      <c r="K29">
        <f t="shared" si="0"/>
        <v>1012.4285740229627</v>
      </c>
      <c r="L29">
        <f t="shared" si="1"/>
        <v>1676.5097189326675</v>
      </c>
      <c r="M29">
        <f t="shared" si="2"/>
        <v>5630.8791300487692</v>
      </c>
      <c r="N29">
        <f t="shared" si="3"/>
        <v>10431.862285944206</v>
      </c>
      <c r="O29">
        <f t="shared" si="4"/>
        <v>698.45157729562209</v>
      </c>
      <c r="P29">
        <f t="shared" si="5"/>
        <v>1418.6602828148668</v>
      </c>
    </row>
    <row r="30" x14ac:dyDescent="0.3">
      <c r="A30">
        <f t="shared" si="6"/>
        <v>29</v>
      </c>
      <c r="B30" s="1" t="s">
        <v>73</v>
      </c>
      <c r="C30" s="2">
        <v>398.11500000000001</v>
      </c>
      <c r="D30">
        <f>Methanol!E30</f>
        <v>371.99312756995391</v>
      </c>
      <c r="E30" s="0">
        <v>1216.6584570854818</v>
      </c>
      <c r="F30" s="0">
        <v>1796.4012965916545</v>
      </c>
      <c r="G30" s="0">
        <v>1723.6354570854819</v>
      </c>
      <c r="H30" s="0">
        <v>2909.4782965916543</v>
      </c>
      <c r="I30" s="0">
        <v>1282.7024570854817</v>
      </c>
      <c r="J30" s="0">
        <v>2262.1862965916539</v>
      </c>
      <c r="K30">
        <f t="shared" si="0"/>
        <v>967.54333277838248</v>
      </c>
      <c r="L30">
        <f t="shared" si="1"/>
        <v>1631.6244776880878</v>
      </c>
      <c r="M30">
        <f t="shared" si="2"/>
        <v>5472.2361518847274</v>
      </c>
      <c r="N30">
        <f t="shared" si="3"/>
        <v>10273.21930778016</v>
      </c>
      <c r="O30">
        <f t="shared" si="4"/>
        <v>669.63921287906453</v>
      </c>
      <c r="P30">
        <f t="shared" si="5"/>
        <v>1389.8479183983088</v>
      </c>
    </row>
    <row r="31" x14ac:dyDescent="0.3">
      <c r="A31">
        <f t="shared" si="6"/>
        <v>30</v>
      </c>
      <c r="B31" s="1" t="s">
        <v>74</v>
      </c>
      <c r="C31" s="2">
        <v>460.22272727272735</v>
      </c>
      <c r="D31">
        <f>Methanol!E31</f>
        <v>414.12767871413462</v>
      </c>
      <c r="E31" s="0">
        <v>1232.6056107904233</v>
      </c>
      <c r="F31" s="0">
        <v>1812.348450296596</v>
      </c>
      <c r="G31" s="0">
        <v>1739.5826107904234</v>
      </c>
      <c r="H31" s="0">
        <v>2925.4254502965964</v>
      </c>
      <c r="I31" s="0">
        <v>1298.6496107904231</v>
      </c>
      <c r="J31" s="0">
        <v>2278.133450296596</v>
      </c>
      <c r="K31">
        <f t="shared" si="0"/>
        <v>937.54631394763874</v>
      </c>
      <c r="L31">
        <f t="shared" si="1"/>
        <v>1601.627458857344</v>
      </c>
      <c r="M31">
        <f t="shared" si="2"/>
        <v>5366.2142999040016</v>
      </c>
      <c r="N31">
        <f t="shared" si="3"/>
        <v>10167.197455799438</v>
      </c>
      <c r="O31">
        <f t="shared" si="4"/>
        <v>650.38377358550622</v>
      </c>
      <c r="P31">
        <f t="shared" si="5"/>
        <v>1370.592479104751</v>
      </c>
    </row>
    <row r="32" x14ac:dyDescent="0.3">
      <c r="A32">
        <f t="shared" si="6"/>
        <v>31</v>
      </c>
      <c r="B32" s="1" t="s">
        <v>75</v>
      </c>
      <c r="C32" s="2">
        <v>558.96954545454548</v>
      </c>
      <c r="D32">
        <f>Methanol!E32</f>
        <v>479.20120650452259</v>
      </c>
      <c r="E32" s="0">
        <v>1250.1872868248988</v>
      </c>
      <c r="F32" s="0">
        <v>1829.9301263310713</v>
      </c>
      <c r="G32" s="0">
        <v>1757.1642868248987</v>
      </c>
      <c r="H32" s="0">
        <v>2943.007126331072</v>
      </c>
      <c r="I32" s="0">
        <v>1316.2312868248985</v>
      </c>
      <c r="J32" s="0">
        <v>2295.7151263310716</v>
      </c>
      <c r="K32">
        <f t="shared" si="0"/>
        <v>883.14556737729231</v>
      </c>
      <c r="L32">
        <f t="shared" si="1"/>
        <v>1547.2267122869973</v>
      </c>
      <c r="M32">
        <f t="shared" si="2"/>
        <v>5173.9395964387686</v>
      </c>
      <c r="N32">
        <f t="shared" si="3"/>
        <v>9974.9227523342051</v>
      </c>
      <c r="O32">
        <f t="shared" si="4"/>
        <v>615.46329435321752</v>
      </c>
      <c r="P32">
        <f t="shared" si="5"/>
        <v>1335.6719998724625</v>
      </c>
    </row>
    <row r="33" x14ac:dyDescent="0.3">
      <c r="A33">
        <f t="shared" si="6"/>
        <v>32</v>
      </c>
      <c r="B33" s="1" t="s">
        <v>76</v>
      </c>
      <c r="C33" s="2">
        <v>689.4404545454546</v>
      </c>
      <c r="D33">
        <f>Methanol!E33</f>
        <v>564.59312919589479</v>
      </c>
      <c r="E33" s="0">
        <v>1271.0352931690927</v>
      </c>
      <c r="F33" s="0">
        <v>1850.7781326752654</v>
      </c>
      <c r="G33" s="0">
        <v>1778.0122931690928</v>
      </c>
      <c r="H33" s="0">
        <v>2963.8551326752654</v>
      </c>
      <c r="I33" s="0">
        <v>1337.0792931690926</v>
      </c>
      <c r="J33" s="0">
        <v>2316.563132675265</v>
      </c>
      <c r="K33">
        <f t="shared" si="0"/>
        <v>809.21210077113165</v>
      </c>
      <c r="L33">
        <f t="shared" si="1"/>
        <v>1473.2932456808369</v>
      </c>
      <c r="M33">
        <f t="shared" si="2"/>
        <v>4912.6281942234727</v>
      </c>
      <c r="N33">
        <f t="shared" si="3"/>
        <v>9713.6113501189084</v>
      </c>
      <c r="O33">
        <f t="shared" si="4"/>
        <v>568.00453233323367</v>
      </c>
      <c r="P33">
        <f t="shared" si="5"/>
        <v>1288.213237852478</v>
      </c>
    </row>
    <row r="34" x14ac:dyDescent="0.3">
      <c r="A34">
        <f t="shared" si="6"/>
        <v>33</v>
      </c>
      <c r="B34" s="1" t="s">
        <v>77</v>
      </c>
      <c r="C34" s="2">
        <v>1020.5327272727274</v>
      </c>
      <c r="D34">
        <f>Methanol!E34</f>
        <v>784.37353766954857</v>
      </c>
      <c r="E34" s="0">
        <v>1336.4425010493928</v>
      </c>
      <c r="F34" s="0">
        <v>1916.1853405555653</v>
      </c>
      <c r="G34" s="0">
        <v>1843.4195010493927</v>
      </c>
      <c r="H34" s="0">
        <v>3029.2623405555655</v>
      </c>
      <c r="I34" s="0">
        <v>1402.4865010493925</v>
      </c>
      <c r="J34" s="0">
        <v>2381.9703405555651</v>
      </c>
      <c r="K34">
        <f t="shared" si="0"/>
        <v>632.38140135148251</v>
      </c>
      <c r="L34">
        <f t="shared" si="1"/>
        <v>1296.4625462611875</v>
      </c>
      <c r="M34">
        <f t="shared" si="2"/>
        <v>4287.6354792706234</v>
      </c>
      <c r="N34">
        <f t="shared" si="3"/>
        <v>9088.6186351660581</v>
      </c>
      <c r="O34">
        <f t="shared" si="4"/>
        <v>454.49482601459107</v>
      </c>
      <c r="P34">
        <f t="shared" si="5"/>
        <v>1174.7035315338355</v>
      </c>
    </row>
    <row r="35" x14ac:dyDescent="0.3">
      <c r="A35">
        <f t="shared" si="6"/>
        <v>34</v>
      </c>
      <c r="B35" s="1" t="s">
        <v>78</v>
      </c>
      <c r="C35" s="2">
        <v>1387.3704545454545</v>
      </c>
      <c r="D35">
        <f>Methanol!E35</f>
        <v>1024.9777570175509</v>
      </c>
      <c r="E35" s="0">
        <v>1397.1375599828966</v>
      </c>
      <c r="F35" s="0">
        <v>1976.8803994890695</v>
      </c>
      <c r="G35" s="0">
        <v>1904.1145599828969</v>
      </c>
      <c r="H35" s="0">
        <v>3089.9573994890698</v>
      </c>
      <c r="I35" s="0">
        <v>1463.1815599828965</v>
      </c>
      <c r="J35" s="0">
        <v>2442.6653994890694</v>
      </c>
      <c r="K35">
        <f t="shared" si="0"/>
        <v>426.29988884919334</v>
      </c>
      <c r="L35">
        <f t="shared" si="1"/>
        <v>1090.3810337588989</v>
      </c>
      <c r="M35">
        <f t="shared" si="2"/>
        <v>3559.2583116005908</v>
      </c>
      <c r="N35">
        <f t="shared" si="3"/>
        <v>8360.2414674960255</v>
      </c>
      <c r="O35">
        <f t="shared" si="4"/>
        <v>322.20867865098938</v>
      </c>
      <c r="P35">
        <f t="shared" si="5"/>
        <v>1042.4173841702341</v>
      </c>
    </row>
    <row r="36" x14ac:dyDescent="0.3">
      <c r="A36">
        <f t="shared" si="6"/>
        <v>35</v>
      </c>
      <c r="B36" s="1" t="s">
        <v>79</v>
      </c>
      <c r="C36" s="2">
        <v>1234.1118181818183</v>
      </c>
      <c r="D36">
        <f>Methanol!E36</f>
        <v>927.52015714378138</v>
      </c>
      <c r="E36" s="0">
        <v>1384.1969360922856</v>
      </c>
      <c r="F36" s="0">
        <v>1963.939775598458</v>
      </c>
      <c r="G36" s="0">
        <v>1891.1739360922854</v>
      </c>
      <c r="H36" s="0">
        <v>3077.0167755984585</v>
      </c>
      <c r="I36" s="0">
        <v>1450.2409360922852</v>
      </c>
      <c r="J36" s="0">
        <v>2429.7247755984581</v>
      </c>
      <c r="K36">
        <f t="shared" si="0"/>
        <v>523.1120033774389</v>
      </c>
      <c r="L36">
        <f t="shared" si="1"/>
        <v>1187.1931482871441</v>
      </c>
      <c r="M36">
        <f t="shared" si="2"/>
        <v>3901.4323034352383</v>
      </c>
      <c r="N36">
        <f t="shared" si="3"/>
        <v>8702.4154593306739</v>
      </c>
      <c r="O36">
        <f t="shared" si="4"/>
        <v>384.35351393272339</v>
      </c>
      <c r="P36">
        <f t="shared" si="5"/>
        <v>1104.5622194519681</v>
      </c>
    </row>
    <row r="37" x14ac:dyDescent="0.3">
      <c r="A37">
        <f t="shared" si="6"/>
        <v>36</v>
      </c>
      <c r="B37" s="1" t="s">
        <v>80</v>
      </c>
      <c r="C37" s="2">
        <v>1699.2495454545456</v>
      </c>
      <c r="D37">
        <f>Methanol!E37</f>
        <v>1234.8557513962423</v>
      </c>
      <c r="E37" s="0">
        <v>1470.3088354220999</v>
      </c>
      <c r="F37" s="0">
        <v>2050.0516749282724</v>
      </c>
      <c r="G37" s="0">
        <v>1977.2858354220998</v>
      </c>
      <c r="H37" s="0">
        <v>3163.1286749282726</v>
      </c>
      <c r="I37" s="0">
        <v>1536.3528354220996</v>
      </c>
      <c r="J37" s="0">
        <v>2515.8366749282723</v>
      </c>
      <c r="K37">
        <f t="shared" si="0"/>
        <v>269.70570907887469</v>
      </c>
      <c r="L37">
        <f t="shared" si="1"/>
        <v>933.78685398857965</v>
      </c>
      <c r="M37">
        <f t="shared" si="2"/>
        <v>3005.7898138698674</v>
      </c>
      <c r="N37">
        <f t="shared" si="3"/>
        <v>7806.7729697653031</v>
      </c>
      <c r="O37">
        <f t="shared" si="4"/>
        <v>221.68903237195383</v>
      </c>
      <c r="P37">
        <f t="shared" si="5"/>
        <v>941.8977378911984</v>
      </c>
    </row>
    <row r="38" x14ac:dyDescent="0.3">
      <c r="A38">
        <f t="shared" si="6"/>
        <v>37</v>
      </c>
      <c r="B38" s="1" t="s">
        <v>81</v>
      </c>
      <c r="C38" s="2">
        <v>1262.7081818181821</v>
      </c>
      <c r="D38">
        <f>Methanol!E38</f>
        <v>962.26814598119142</v>
      </c>
      <c r="E38" s="0">
        <v>1562.2240714985583</v>
      </c>
      <c r="F38" s="0">
        <v>2231.6305281317455</v>
      </c>
      <c r="G38" s="0">
        <v>2147.6106498883887</v>
      </c>
      <c r="H38" s="0">
        <v>3516.8571488944563</v>
      </c>
      <c r="I38" s="0">
        <v>1638.4825037019484</v>
      </c>
      <c r="J38" s="0">
        <v>2769.4543099114053</v>
      </c>
      <c r="K38">
        <f t="shared" si="0"/>
        <v>687.23473713329531</v>
      </c>
      <c r="L38">
        <f t="shared" si="1"/>
        <v>1454.0233472514935</v>
      </c>
      <c r="M38">
        <f t="shared" si="2"/>
        <v>4798.9575056971535</v>
      </c>
      <c r="N38">
        <f t="shared" si="3"/>
        <v>10342.465598839126</v>
      </c>
      <c r="O38">
        <f t="shared" si="4"/>
        <v>497.21643950055659</v>
      </c>
      <c r="P38">
        <f t="shared" si="5"/>
        <v>1328.8133558310394</v>
      </c>
    </row>
    <row r="39" x14ac:dyDescent="0.3">
      <c r="A39">
        <f t="shared" si="6"/>
        <v>38</v>
      </c>
      <c r="B39" s="1" t="s">
        <v>82</v>
      </c>
      <c r="C39" s="2">
        <v>1216.6859090909093</v>
      </c>
      <c r="D39">
        <f>Methanol!E39</f>
        <v>929.29403873046761</v>
      </c>
      <c r="E39" s="0">
        <v>1543.3040007675584</v>
      </c>
      <c r="F39" s="0">
        <v>2212.7104574007453</v>
      </c>
      <c r="G39" s="0">
        <v>2128.690579157389</v>
      </c>
      <c r="H39" s="0">
        <v>3497.9370781634566</v>
      </c>
      <c r="I39" s="0">
        <v>1619.5624329709485</v>
      </c>
      <c r="J39" s="0">
        <v>2750.5342391804056</v>
      </c>
      <c r="K39">
        <f t="shared" si="0"/>
        <v>703.33328984775574</v>
      </c>
      <c r="L39">
        <f t="shared" si="1"/>
        <v>1470.1218999659541</v>
      </c>
      <c r="M39">
        <f t="shared" si="2"/>
        <v>4855.8564389753901</v>
      </c>
      <c r="N39">
        <f t="shared" si="3"/>
        <v>10399.364532117363</v>
      </c>
      <c r="O39">
        <f t="shared" si="4"/>
        <v>507.55028988270652</v>
      </c>
      <c r="P39">
        <f t="shared" si="5"/>
        <v>1339.1472062131897</v>
      </c>
    </row>
    <row r="40" x14ac:dyDescent="0.3">
      <c r="A40">
        <f t="shared" si="6"/>
        <v>39</v>
      </c>
      <c r="B40" s="1" t="s">
        <v>83</v>
      </c>
      <c r="C40" s="2">
        <v>1894.062272727273</v>
      </c>
      <c r="D40">
        <f>Methanol!E40</f>
        <v>1381.1467337993734</v>
      </c>
      <c r="E40" s="0">
        <v>1686.0688282257702</v>
      </c>
      <c r="F40" s="0">
        <v>2355.4752848589574</v>
      </c>
      <c r="G40" s="0">
        <v>2271.4554066156006</v>
      </c>
      <c r="H40" s="0">
        <v>3640.7019056216682</v>
      </c>
      <c r="I40" s="0">
        <v>1762.3272604291603</v>
      </c>
      <c r="J40" s="0">
        <v>2893.2990666386172</v>
      </c>
      <c r="K40">
        <f t="shared" si="0"/>
        <v>349.28074962932055</v>
      </c>
      <c r="L40">
        <f t="shared" si="1"/>
        <v>1116.069359747519</v>
      </c>
      <c r="M40">
        <f t="shared" si="2"/>
        <v>3604.4885539118504</v>
      </c>
      <c r="N40">
        <f t="shared" si="3"/>
        <v>9147.9966470538238</v>
      </c>
      <c r="O40">
        <f t="shared" si="4"/>
        <v>280.27979899249038</v>
      </c>
      <c r="P40">
        <f t="shared" si="5"/>
        <v>1111.8767153229733</v>
      </c>
    </row>
    <row r="41" x14ac:dyDescent="0.3">
      <c r="A41">
        <f t="shared" si="6"/>
        <v>40</v>
      </c>
      <c r="B41" s="1" t="s">
        <v>84</v>
      </c>
      <c r="C41" s="2">
        <v>1438.7545454545457</v>
      </c>
      <c r="D41">
        <f>Methanol!E41</f>
        <v>1077.1986030373582</v>
      </c>
      <c r="E41" s="0">
        <v>1589.1783129355867</v>
      </c>
      <c r="F41" s="0">
        <v>2258.5847695687739</v>
      </c>
      <c r="G41" s="0">
        <v>2174.5648913254172</v>
      </c>
      <c r="H41" s="0">
        <v>3543.8113903314852</v>
      </c>
      <c r="I41" s="0">
        <v>1665.4367451389771</v>
      </c>
      <c r="J41" s="0">
        <v>2796.4085513484342</v>
      </c>
      <c r="K41">
        <f t="shared" si="0"/>
        <v>586.4601487952217</v>
      </c>
      <c r="L41">
        <f t="shared" si="1"/>
        <v>1353.24875891342</v>
      </c>
      <c r="M41">
        <f t="shared" si="2"/>
        <v>4442.7784950933556</v>
      </c>
      <c r="N41">
        <f t="shared" si="3"/>
        <v>9986.286588235329</v>
      </c>
      <c r="O41">
        <f t="shared" si="4"/>
        <v>432.52804566295504</v>
      </c>
      <c r="P41">
        <f t="shared" si="5"/>
        <v>1264.1249619934381</v>
      </c>
    </row>
    <row r="42" x14ac:dyDescent="0.3">
      <c r="A42">
        <f t="shared" si="6"/>
        <v>41</v>
      </c>
      <c r="B42" s="1" t="s">
        <v>85</v>
      </c>
      <c r="C42" s="2">
        <v>1303.3686363636366</v>
      </c>
      <c r="D42">
        <f>Methanol!E42</f>
        <v>989.55831860076296</v>
      </c>
      <c r="E42" s="0">
        <v>1571.4711145715776</v>
      </c>
      <c r="F42" s="0">
        <v>2240.8775712047645</v>
      </c>
      <c r="G42" s="0">
        <v>2156.8576929614078</v>
      </c>
      <c r="H42" s="0">
        <v>3526.1041919674758</v>
      </c>
      <c r="I42" s="0">
        <v>1647.7295467749677</v>
      </c>
      <c r="J42" s="0">
        <v>2778.7013529844248</v>
      </c>
      <c r="K42">
        <f t="shared" si="0"/>
        <v>666.56677659887123</v>
      </c>
      <c r="L42">
        <f t="shared" si="1"/>
        <v>1433.3553867170695</v>
      </c>
      <c r="M42">
        <f t="shared" si="2"/>
        <v>4725.9083982212333</v>
      </c>
      <c r="N42">
        <f t="shared" si="3"/>
        <v>10269.416491363208</v>
      </c>
      <c r="O42">
        <f t="shared" si="4"/>
        <v>483.94943248103289</v>
      </c>
      <c r="P42">
        <f t="shared" si="5"/>
        <v>1315.5463488115161</v>
      </c>
    </row>
    <row r="43" x14ac:dyDescent="0.3">
      <c r="A43">
        <f t="shared" si="6"/>
        <v>42</v>
      </c>
      <c r="B43" s="1" t="s">
        <v>86</v>
      </c>
      <c r="C43" s="2">
        <v>1499.5218181818184</v>
      </c>
      <c r="D43">
        <f>Methanol!E43</f>
        <v>1120.779115523751</v>
      </c>
      <c r="E43" s="0">
        <v>1614.3299597260334</v>
      </c>
      <c r="F43" s="0">
        <v>2283.7364163592206</v>
      </c>
      <c r="G43" s="0">
        <v>2199.7165381158638</v>
      </c>
      <c r="H43" s="0">
        <v>3568.9630371219318</v>
      </c>
      <c r="I43" s="0">
        <v>1690.5883919294236</v>
      </c>
      <c r="J43" s="0">
        <v>2821.5601981388809</v>
      </c>
      <c r="K43">
        <f t="shared" si="0"/>
        <v>565.35033700146892</v>
      </c>
      <c r="L43">
        <f t="shared" si="1"/>
        <v>1332.1389471196674</v>
      </c>
      <c r="M43">
        <f t="shared" si="2"/>
        <v>4368.1677028020758</v>
      </c>
      <c r="N43">
        <f t="shared" si="3"/>
        <v>9911.6757959440492</v>
      </c>
      <c r="O43">
        <f t="shared" si="4"/>
        <v>418.97740912181803</v>
      </c>
      <c r="P43">
        <f t="shared" si="5"/>
        <v>1250.5743254523013</v>
      </c>
    </row>
    <row r="44" x14ac:dyDescent="0.3">
      <c r="A44">
        <f t="shared" si="6"/>
        <v>43</v>
      </c>
      <c r="B44" s="1" t="s">
        <v>87</v>
      </c>
      <c r="C44" s="2">
        <v>2293.5177272727274</v>
      </c>
      <c r="D44">
        <f>Methanol!E44</f>
        <v>1646.9410138202186</v>
      </c>
      <c r="E44" s="0">
        <v>1767.5518887453227</v>
      </c>
      <c r="F44" s="0">
        <v>2436.9583453785094</v>
      </c>
      <c r="G44" s="0">
        <v>2352.9384671351531</v>
      </c>
      <c r="H44" s="0">
        <v>3722.1849661412207</v>
      </c>
      <c r="I44" s="0">
        <v>1843.8103209487126</v>
      </c>
      <c r="J44" s="0">
        <v>2974.7821271581697</v>
      </c>
      <c r="K44">
        <f t="shared" si="0"/>
        <v>138.15678685578933</v>
      </c>
      <c r="L44">
        <f t="shared" si="1"/>
        <v>904.94539697398716</v>
      </c>
      <c r="M44">
        <f t="shared" si="2"/>
        <v>2858.2892846758477</v>
      </c>
      <c r="N44">
        <f t="shared" si="3"/>
        <v>8401.7973778178221</v>
      </c>
      <c r="O44">
        <f t="shared" si="4"/>
        <v>144.75684347683384</v>
      </c>
      <c r="P44">
        <f t="shared" si="5"/>
        <v>976.35375980731692</v>
      </c>
    </row>
    <row r="45" x14ac:dyDescent="0.3">
      <c r="A45">
        <f t="shared" si="6"/>
        <v>44</v>
      </c>
      <c r="B45" s="1" t="s">
        <v>88</v>
      </c>
      <c r="C45" s="2">
        <v>3129.5145454545459</v>
      </c>
      <c r="D45">
        <f>Methanol!E45</f>
        <v>2204.7746233940466</v>
      </c>
      <c r="E45" s="0">
        <v>1944.4413677521266</v>
      </c>
      <c r="F45" s="0">
        <v>2613.8478243853137</v>
      </c>
      <c r="G45" s="0">
        <v>2529.827946141957</v>
      </c>
      <c r="H45" s="0">
        <v>3899.0744451480246</v>
      </c>
      <c r="I45" s="0">
        <v>2020.6997999555165</v>
      </c>
      <c r="J45" s="0">
        <v>3151.6716061649736</v>
      </c>
      <c r="K45">
        <f t="shared" si="0"/>
        <v>-298.20533292316151</v>
      </c>
      <c r="L45">
        <f t="shared" si="1"/>
        <v>468.58327719503689</v>
      </c>
      <c r="M45">
        <f t="shared" si="2"/>
        <v>1316.0053552546979</v>
      </c>
      <c r="N45">
        <f t="shared" si="3"/>
        <v>6859.5134483966704</v>
      </c>
      <c r="O45">
        <f t="shared" si="4"/>
        <v>-135.34913488127211</v>
      </c>
      <c r="P45">
        <f t="shared" si="5"/>
        <v>696.24778144921095</v>
      </c>
    </row>
    <row r="46" x14ac:dyDescent="0.3">
      <c r="A46">
        <f t="shared" si="6"/>
        <v>45</v>
      </c>
      <c r="B46" s="1" t="s">
        <v>89</v>
      </c>
      <c r="C46" s="2">
        <v>2640.6954545454546</v>
      </c>
      <c r="D46">
        <f>Methanol!E46</f>
        <v>1877.1901861873291</v>
      </c>
      <c r="E46" s="0">
        <v>1835.2901795995645</v>
      </c>
      <c r="F46" s="0">
        <v>2504.6966362327516</v>
      </c>
      <c r="G46" s="0">
        <v>2420.6767579893949</v>
      </c>
      <c r="H46" s="0">
        <v>3789.9232569954629</v>
      </c>
      <c r="I46" s="0">
        <v>1911.5486118029546</v>
      </c>
      <c r="J46" s="0">
        <v>3042.5204180124119</v>
      </c>
      <c r="K46">
        <f t="shared" si="0"/>
        <v>-47.995425644633066</v>
      </c>
      <c r="L46">
        <f t="shared" si="1"/>
        <v>718.79318447356536</v>
      </c>
      <c r="M46">
        <f t="shared" si="2"/>
        <v>2200.3504931257721</v>
      </c>
      <c r="N46">
        <f t="shared" si="3"/>
        <v>7743.8585862677464</v>
      </c>
      <c r="O46">
        <f t="shared" si="4"/>
        <v>25.263548246783447</v>
      </c>
      <c r="P46">
        <f t="shared" si="5"/>
        <v>856.86046457726673</v>
      </c>
    </row>
    <row r="47" x14ac:dyDescent="0.3">
      <c r="A47">
        <f t="shared" si="6"/>
        <v>46</v>
      </c>
      <c r="B47" s="1" t="s">
        <v>175</v>
      </c>
      <c r="C47" s="1">
        <v>1743.4845454545457</v>
      </c>
      <c r="D47">
        <f>Methanol!E47</f>
        <v>1275.7703912411798</v>
      </c>
      <c r="E47" s="0">
        <v>1634.3402181641493</v>
      </c>
      <c r="F47" s="0">
        <v>2303.7466747973367</v>
      </c>
      <c r="G47" s="0">
        <v>2219.72679655398</v>
      </c>
      <c r="H47" s="0">
        <v>3588.9732955600475</v>
      </c>
      <c r="I47" s="0">
        <v>1710.5986503675394</v>
      </c>
      <c r="J47" s="0">
        <v>2841.5704565769965</v>
      </c>
      <c r="K47">
        <f t="shared" ref="K47:K48" si="7">(D47-E47)/($S$3-$S$2)</f>
        <v>410.73290598278288</v>
      </c>
      <c r="L47">
        <f t="shared" ref="L47:L48" si="8">(D47-F47)/($S$3-$S$2)</f>
        <v>1177.5215161009814</v>
      </c>
      <c r="M47">
        <f t="shared" ref="M47:M48" si="9">(D47-G47)/($S$4-$S$2)</f>
        <v>3821.6858514688256</v>
      </c>
      <c r="N47">
        <f t="shared" ref="N47:N48" si="10">(D47-H47)/($S$4-$S$2)</f>
        <v>9365.193944610799</v>
      </c>
      <c r="O47">
        <f t="shared" ref="O47:O48" si="11">(D47-I47)/($S$5-$S$2)</f>
        <v>319.72666112232321</v>
      </c>
      <c r="P47">
        <f t="shared" ref="P47:P48" si="12">(D47-J47)/($S$5-$S$2)</f>
        <v>1151.3235774528064</v>
      </c>
    </row>
    <row r="48" x14ac:dyDescent="0.3">
      <c r="A48">
        <f t="shared" si="6"/>
        <v>47</v>
      </c>
      <c r="B48" s="1" t="s">
        <v>176</v>
      </c>
      <c r="C48" s="1">
        <v>1596.0345454545457</v>
      </c>
      <c r="D48">
        <f>Methanol!E48</f>
        <v>1180.7005188844921</v>
      </c>
      <c r="E48" s="0">
        <v>1616.5954575696835</v>
      </c>
      <c r="F48" s="0">
        <v>2286.0019142028709</v>
      </c>
      <c r="G48" s="0">
        <v>2201.9820359595142</v>
      </c>
      <c r="H48" s="0">
        <v>3571.2285349655822</v>
      </c>
      <c r="I48" s="0">
        <v>1692.8538897730737</v>
      </c>
      <c r="J48" s="0">
        <v>2823.8256959825312</v>
      </c>
      <c r="K48">
        <f t="shared" si="7"/>
        <v>499.3069171651677</v>
      </c>
      <c r="L48">
        <f t="shared" si="8"/>
        <v>1266.0955272833664</v>
      </c>
      <c r="M48">
        <f t="shared" si="9"/>
        <v>4134.7429841093999</v>
      </c>
      <c r="N48">
        <f t="shared" si="10"/>
        <v>9678.2510772513742</v>
      </c>
      <c r="O48">
        <f t="shared" si="11"/>
        <v>376.58336094748643</v>
      </c>
      <c r="P48">
        <f t="shared" si="12"/>
        <v>1208.1802772779699</v>
      </c>
    </row>
  </sheetData>
  <conditionalFormatting sqref="E2:J48">
    <cfRule type="cellIs" dxfId="1" priority="2" operator="lessThan">
      <formula>1.05*$D2</formula>
    </cfRule>
  </conditionalFormatting>
  <conditionalFormatting sqref="K2:P4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945C-F547-4B0D-A684-BB30D488305E}">
  <dimension ref="A1:H41"/>
  <sheetViews>
    <sheetView topLeftCell="A7" workbookViewId="0">
      <selection activeCell="G34" sqref="G34"/>
    </sheetView>
  </sheetViews>
  <sheetFormatPr defaultRowHeight="14.4" x14ac:dyDescent="0.3"/>
  <cols>
    <col min="5" max="5" width="8.33203125" style="1" bestFit="true" customWidth="true"/>
    <col min="7" max="7" width="12.6640625" bestFit="true" customWidth="true"/>
    <col min="8" max="8" width="11" bestFit="true" customWidth="true"/>
  </cols>
  <sheetData>
    <row r="1" x14ac:dyDescent="0.3">
      <c r="A1" s="1"/>
      <c r="B1" s="1" t="s">
        <v>90</v>
      </c>
      <c r="C1" s="1" t="s">
        <v>91</v>
      </c>
      <c r="D1" s="1" t="s">
        <v>92</v>
      </c>
    </row>
    <row r="2" x14ac:dyDescent="0.3">
      <c r="A2" s="1" t="s">
        <v>115</v>
      </c>
      <c r="B2" s="2">
        <f>AVERAGE(Methanol!K2:K13)</f>
        <v>1673.425355813288</v>
      </c>
      <c r="C2" s="2">
        <f>B2-AVERAGE('Methanol high low'!K2:K13)</f>
        <v>474.54180985108815</v>
      </c>
      <c r="D2" s="2">
        <f>AVERAGE('Methanol high low'!L2:L13)-B2</f>
        <v>462.57159221076768</v>
      </c>
      <c r="E2" s="1" t="s">
        <v>1</v>
      </c>
    </row>
    <row r="3" x14ac:dyDescent="0.3">
      <c r="A3" s="1" t="s">
        <v>115</v>
      </c>
      <c r="B3" s="2">
        <f>AVERAGE(Methanol!L2:L13)</f>
        <v>7710.4993345141693</v>
      </c>
      <c r="C3" s="2">
        <f>B3-AVERAGE('Methanol high low'!M2:M13)</f>
        <v>1084.9190283400785</v>
      </c>
      <c r="D3" s="2">
        <f>AVERAGE('Methanol high low'!N2:N13)-B3</f>
        <v>5569.534412955466</v>
      </c>
      <c r="E3" s="1" t="s">
        <v>10</v>
      </c>
    </row>
    <row r="4" x14ac:dyDescent="0.3">
      <c r="A4" s="1" t="s">
        <v>115</v>
      </c>
      <c r="B4" s="2">
        <f>AVERAGE(Methanol!T2:T13)</f>
        <v>2868.8390043701252</v>
      </c>
      <c r="C4" s="2">
        <v>0</v>
      </c>
      <c r="D4" s="2">
        <v>0</v>
      </c>
      <c r="E4" s="1" t="s">
        <v>110</v>
      </c>
    </row>
    <row r="5" x14ac:dyDescent="0.3">
      <c r="A5" s="1" t="s">
        <v>115</v>
      </c>
      <c r="B5" s="2">
        <v>0</v>
      </c>
      <c r="C5" s="2"/>
      <c r="D5" s="2"/>
    </row>
    <row r="6" x14ac:dyDescent="0.3">
      <c r="A6" s="1" t="s">
        <v>116</v>
      </c>
      <c r="B6" s="2">
        <f>AVERAGE(Methanol!K14:K25)</f>
        <v>1434.906437673945</v>
      </c>
      <c r="C6" s="2">
        <f>B6-AVERAGE('Methanol high low'!K14:K25)</f>
        <v>232.99026581628073</v>
      </c>
      <c r="D6" s="2">
        <f>AVERAGE('Methanol high low'!L14:L25)-B6</f>
        <v>352.69244221948793</v>
      </c>
      <c r="E6" s="1" t="s">
        <v>1</v>
      </c>
    </row>
    <row r="7" x14ac:dyDescent="0.3">
      <c r="A7" s="1" t="s">
        <v>116</v>
      </c>
      <c r="B7" s="2">
        <f>AVERAGE(Methanol!L14:L25)</f>
        <v>7695.5519031957629</v>
      </c>
      <c r="C7" s="2">
        <f>B7-AVERAGE('Methanol high low'!M14:M25)</f>
        <v>1161.9453524599712</v>
      </c>
      <c r="D7" s="2">
        <f>AVERAGE('Methanol high low'!N14:N25)-B7</f>
        <v>4885.0222755368923</v>
      </c>
      <c r="E7" s="1" t="s">
        <v>10</v>
      </c>
    </row>
    <row r="8" x14ac:dyDescent="0.3">
      <c r="A8" s="1" t="s">
        <v>116</v>
      </c>
      <c r="B8" s="2">
        <f>AVERAGE(Methanol!T14:T25)</f>
        <v>2712.8515441426516</v>
      </c>
      <c r="C8" s="2">
        <v>0</v>
      </c>
      <c r="D8" s="2">
        <v>0</v>
      </c>
      <c r="E8" s="1" t="s">
        <v>110</v>
      </c>
    </row>
    <row r="9" x14ac:dyDescent="0.3">
      <c r="A9" s="1" t="s">
        <v>116</v>
      </c>
      <c r="B9" s="2">
        <v>0</v>
      </c>
      <c r="C9" s="2"/>
      <c r="D9" s="2"/>
    </row>
    <row r="10" x14ac:dyDescent="0.3">
      <c r="A10" s="1" t="s">
        <v>75</v>
      </c>
      <c r="B10" s="1">
        <f>Methanol!K32</f>
        <v>1209.2010310119847</v>
      </c>
      <c r="C10" s="1">
        <f>B10-'Methanol high low'!K32</f>
        <v>326.05546363469239</v>
      </c>
      <c r="D10" s="1">
        <f>-(B10-'Methanol high low'!L32)</f>
        <v>338.02568127501263</v>
      </c>
      <c r="E10" s="1" t="s">
        <v>1</v>
      </c>
    </row>
    <row r="11" x14ac:dyDescent="0.3">
      <c r="A11" s="1" t="s">
        <v>75</v>
      </c>
      <c r="B11" s="1">
        <f>Methanol!L32</f>
        <v>6453.2773282326398</v>
      </c>
      <c r="C11" s="1">
        <f>B11-'Methanol high low'!M32</f>
        <v>1279.3377317938712</v>
      </c>
      <c r="D11" s="1">
        <f>-B11+'Methanol high low'!N32</f>
        <v>3521.6454241015654</v>
      </c>
      <c r="E11" s="1" t="s">
        <v>10</v>
      </c>
    </row>
    <row r="12" x14ac:dyDescent="0.3">
      <c r="A12" s="1" t="s">
        <v>75</v>
      </c>
      <c r="B12" s="1">
        <f>Methanol!T32</f>
        <v>3832.5869475524946</v>
      </c>
      <c r="C12" s="2">
        <v>0</v>
      </c>
      <c r="D12" s="2">
        <v>0</v>
      </c>
      <c r="E12" s="1" t="s">
        <v>110</v>
      </c>
    </row>
    <row r="13" x14ac:dyDescent="0.3">
      <c r="A13" s="1" t="s">
        <v>75</v>
      </c>
      <c r="B13" s="2">
        <v>0</v>
      </c>
      <c r="C13" s="2"/>
      <c r="D13" s="2"/>
    </row>
    <row r="14" x14ac:dyDescent="0.3">
      <c r="A14" s="1" t="s">
        <v>78</v>
      </c>
      <c r="B14" s="1">
        <f>Methanol!K35</f>
        <v>752.35535248388612</v>
      </c>
      <c r="C14" s="1">
        <f>B14-'Methanol high low'!K35</f>
        <v>326.05546363469279</v>
      </c>
      <c r="D14" s="1">
        <f>-(B14-'Methanol high low'!L35)</f>
        <v>338.02568127501274</v>
      </c>
      <c r="E14" s="1" t="s">
        <v>1</v>
      </c>
    </row>
    <row r="15" x14ac:dyDescent="0.3">
      <c r="A15" s="1" t="s">
        <v>78</v>
      </c>
      <c r="B15" s="1">
        <f>Methanol!L35</f>
        <v>4838.596043394462</v>
      </c>
      <c r="C15" s="1">
        <f>B15-'Methanol high low'!M35</f>
        <v>1279.3377317938712</v>
      </c>
      <c r="D15" s="1">
        <f>-B15+'Methanol high low'!N35</f>
        <v>3521.6454241015635</v>
      </c>
      <c r="E15" s="1" t="s">
        <v>10</v>
      </c>
    </row>
    <row r="16" x14ac:dyDescent="0.3">
      <c r="A16" s="1" t="s">
        <v>78</v>
      </c>
      <c r="B16" s="1">
        <f>Methanol!T35</f>
        <v>5092.0198297400366</v>
      </c>
      <c r="C16" s="2">
        <v>0</v>
      </c>
      <c r="D16" s="2">
        <v>0</v>
      </c>
      <c r="E16" s="1" t="s">
        <v>110</v>
      </c>
    </row>
    <row r="17" x14ac:dyDescent="0.3">
      <c r="A17" s="1" t="s">
        <v>78</v>
      </c>
      <c r="B17" s="2">
        <v>0</v>
      </c>
      <c r="C17" s="2"/>
      <c r="D17" s="2"/>
    </row>
    <row r="18" x14ac:dyDescent="0.3">
      <c r="A18" s="1" t="s">
        <v>81</v>
      </c>
      <c r="B18" s="1">
        <f>Methanol!K38</f>
        <v>1063.7182703555566</v>
      </c>
      <c r="C18" s="1">
        <f>B18-'Methanol high low'!K38</f>
        <v>376.48353322226126</v>
      </c>
      <c r="D18" s="1">
        <f>-(B18-'Methanol high low'!L38)</f>
        <v>390.30507689593696</v>
      </c>
      <c r="E18" s="1" t="s">
        <v>1</v>
      </c>
    </row>
    <row r="19" x14ac:dyDescent="0.3">
      <c r="A19" s="1" t="s">
        <v>81</v>
      </c>
      <c r="B19" s="1">
        <f>Methanol!L38</f>
        <v>6276.1589121116849</v>
      </c>
      <c r="C19" s="1">
        <f>B19-'Methanol high low'!M38</f>
        <v>1477.2014064145314</v>
      </c>
      <c r="D19" s="1">
        <f>-B19+'Methanol high low'!N38</f>
        <v>4066.306686727441</v>
      </c>
      <c r="E19" s="1" t="s">
        <v>10</v>
      </c>
    </row>
    <row r="20" x14ac:dyDescent="0.3">
      <c r="A20" s="1" t="s">
        <v>81</v>
      </c>
      <c r="B20" s="1">
        <f>Methanol!T38</f>
        <v>5402.6671774599408</v>
      </c>
      <c r="C20" s="2">
        <v>0</v>
      </c>
      <c r="D20" s="2">
        <v>0</v>
      </c>
      <c r="E20" s="1" t="s">
        <v>110</v>
      </c>
    </row>
    <row r="21" x14ac:dyDescent="0.3">
      <c r="A21" s="1" t="s">
        <v>81</v>
      </c>
      <c r="B21" s="2">
        <v>0</v>
      </c>
      <c r="C21" s="2"/>
      <c r="D21" s="2"/>
    </row>
    <row r="22" x14ac:dyDescent="0.3">
      <c r="A22" s="1" t="s">
        <v>84</v>
      </c>
      <c r="B22" s="1">
        <f>Methanol!K41</f>
        <v>962.94368201748284</v>
      </c>
      <c r="C22" s="1">
        <f>B22-'Methanol high low'!K41</f>
        <v>376.48353322226114</v>
      </c>
      <c r="D22" s="1">
        <f>-(B22-'Methanol high low'!L41)</f>
        <v>390.30507689593719</v>
      </c>
      <c r="E22" s="1" t="s">
        <v>1</v>
      </c>
    </row>
    <row r="23" x14ac:dyDescent="0.3">
      <c r="A23" s="1" t="s">
        <v>84</v>
      </c>
      <c r="B23" s="1">
        <f>Methanol!L41</f>
        <v>5919.9799015078879</v>
      </c>
      <c r="C23" s="1">
        <f>B23-'Methanol high low'!M41</f>
        <v>1477.2014064145324</v>
      </c>
      <c r="D23" s="1">
        <f>-B23+'Methanol high low'!N41</f>
        <v>4066.306686727441</v>
      </c>
      <c r="E23" s="1" t="s">
        <v>10</v>
      </c>
    </row>
    <row r="24" x14ac:dyDescent="0.3">
      <c r="A24" s="1" t="s">
        <v>84</v>
      </c>
      <c r="B24" s="1">
        <f>Methanol!T41</f>
        <v>5652.2223342832576</v>
      </c>
      <c r="C24" s="2">
        <v>0</v>
      </c>
      <c r="D24" s="2">
        <v>0</v>
      </c>
      <c r="E24" s="1" t="s">
        <v>110</v>
      </c>
    </row>
    <row r="25" x14ac:dyDescent="0.3">
      <c r="A25" s="1" t="s">
        <v>84</v>
      </c>
      <c r="B25" s="2">
        <v>0</v>
      </c>
      <c r="C25" s="2"/>
      <c r="D25" s="2"/>
    </row>
    <row r="26" x14ac:dyDescent="0.3">
      <c r="A26" s="1" t="s">
        <v>87</v>
      </c>
      <c r="B26" s="1">
        <f>Methanol!K44</f>
        <v>514.64032007805054</v>
      </c>
      <c r="C26" s="1">
        <f>B26-'Methanol high low'!K44</f>
        <v>376.4835332222612</v>
      </c>
      <c r="D26" s="1">
        <f>-(B26-'Methanol high low'!L44)</f>
        <v>390.30507689593662</v>
      </c>
      <c r="E26" s="1" t="s">
        <v>1</v>
      </c>
    </row>
    <row r="27" x14ac:dyDescent="0.3">
      <c r="A27" s="1" t="s">
        <v>87</v>
      </c>
      <c r="B27" s="1">
        <f>Methanol!L44</f>
        <v>4335.4906910903792</v>
      </c>
      <c r="C27" s="1">
        <f>B27-'Methanol high low'!M44</f>
        <v>1477.2014064145314</v>
      </c>
      <c r="D27" s="1">
        <f>-B27+'Methanol high low'!N44</f>
        <v>4066.3066867274429</v>
      </c>
      <c r="E27" s="1" t="s">
        <v>10</v>
      </c>
    </row>
    <row r="28" x14ac:dyDescent="0.3">
      <c r="A28" s="1" t="s">
        <v>87</v>
      </c>
      <c r="B28" s="1">
        <f>Methanol!T44</f>
        <v>7064.9327114368361</v>
      </c>
      <c r="C28" s="2">
        <v>0</v>
      </c>
      <c r="D28" s="2">
        <v>0</v>
      </c>
      <c r="E28" s="1" t="s">
        <v>110</v>
      </c>
    </row>
    <row r="29" x14ac:dyDescent="0.3">
      <c r="A29" s="1" t="s">
        <v>87</v>
      </c>
      <c r="B29" s="2">
        <v>0</v>
      </c>
      <c r="C29" s="2"/>
      <c r="D29" s="2"/>
    </row>
    <row r="30" x14ac:dyDescent="0.3">
      <c r="A30" s="1" t="s">
        <v>88</v>
      </c>
      <c r="B30" s="1">
        <f>Methanol!K45</f>
        <v>78.278200299099652</v>
      </c>
      <c r="C30" s="1">
        <f>B30-'Methanol high low'!K45</f>
        <v>376.48353322226114</v>
      </c>
      <c r="D30" s="1">
        <f>-(B30-'Methanol high low'!L45)</f>
        <v>390.30507689593725</v>
      </c>
      <c r="E30" s="1" t="s">
        <v>1</v>
      </c>
    </row>
    <row r="31" x14ac:dyDescent="0.3">
      <c r="A31" s="1" t="s">
        <v>88</v>
      </c>
      <c r="B31" s="1">
        <f>Methanol!L45</f>
        <v>2793.2067616692289</v>
      </c>
      <c r="C31" s="1">
        <f>B31-'Methanol high low'!M45</f>
        <v>1477.201406414531</v>
      </c>
      <c r="D31" s="1">
        <f>-B31+'Methanol high low'!N45</f>
        <v>4066.3066867274415</v>
      </c>
      <c r="E31" s="1" t="s">
        <v>10</v>
      </c>
    </row>
    <row r="32" x14ac:dyDescent="0.3">
      <c r="A32" s="1" t="s">
        <v>88</v>
      </c>
      <c r="B32" s="1">
        <f>Methanol!T45</f>
        <v>8456.9201394030079</v>
      </c>
      <c r="C32" s="2">
        <v>0</v>
      </c>
      <c r="D32" s="2">
        <v>0</v>
      </c>
      <c r="E32" s="1" t="s">
        <v>110</v>
      </c>
    </row>
    <row r="33" x14ac:dyDescent="0.3">
      <c r="A33" s="1" t="s">
        <v>88</v>
      </c>
      <c r="B33" s="2">
        <v>0</v>
      </c>
      <c r="C33" s="2"/>
      <c r="D33" s="2"/>
    </row>
    <row r="34" x14ac:dyDescent="0.3">
      <c r="A34" s="1" t="s">
        <v>89</v>
      </c>
      <c r="B34" s="1">
        <f>Methanol!K46</f>
        <v>328.48810757762811</v>
      </c>
      <c r="C34" s="1">
        <f>B34-'Methanol high low'!K46</f>
        <v>376.4835332222612</v>
      </c>
      <c r="D34" s="1">
        <f>-(B34-'Methanol high low'!L46)</f>
        <v>390.30507689593725</v>
      </c>
      <c r="E34" s="1" t="s">
        <v>1</v>
      </c>
    </row>
    <row r="35" x14ac:dyDescent="0.3">
      <c r="A35" s="1" t="s">
        <v>89</v>
      </c>
      <c r="B35" s="1">
        <f>Methanol!L46</f>
        <v>3677.5518995403049</v>
      </c>
      <c r="C35" s="1">
        <f>B35-'Methanol high low'!M46</f>
        <v>1477.2014064145328</v>
      </c>
      <c r="D35" s="1">
        <f>-B35+'Methanol high low'!N46</f>
        <v>4066.3066867274415</v>
      </c>
      <c r="E35" s="1" t="s">
        <v>10</v>
      </c>
    </row>
    <row r="36" x14ac:dyDescent="0.3">
      <c r="A36" s="1" t="s">
        <v>89</v>
      </c>
      <c r="B36" s="1">
        <f>Methanol!T46</f>
        <v>7618.7912601678836</v>
      </c>
      <c r="C36" s="2">
        <v>0</v>
      </c>
      <c r="D36" s="2">
        <v>0</v>
      </c>
      <c r="E36" s="1" t="s">
        <v>110</v>
      </c>
    </row>
    <row r="37" x14ac:dyDescent="0.3">
      <c r="A37" s="1" t="s">
        <v>89</v>
      </c>
      <c r="B37" s="2">
        <v>0</v>
      </c>
      <c r="C37" s="2"/>
      <c r="D37" s="2"/>
    </row>
    <row r="38" x14ac:dyDescent="0.3">
      <c r="A38" s="1" t="s">
        <v>176</v>
      </c>
      <c r="B38" s="2">
        <f>Methanol!K48</f>
        <v>875.7904503874289</v>
      </c>
      <c r="C38" s="2">
        <f>B38-'Methanol high low'!K48</f>
        <v>376.4835332222612</v>
      </c>
      <c r="D38" s="2">
        <f>'Methanol high low'!L48-B38</f>
        <v>390.30507689593753</v>
      </c>
      <c r="E38" s="1" t="s">
        <v>1</v>
      </c>
      <c r="G38" s="14"/>
      <c r="H38" s="14"/>
    </row>
    <row r="39" x14ac:dyDescent="0.3">
      <c r="A39" s="1" t="s">
        <v>176</v>
      </c>
      <c r="B39" s="2">
        <f>Methanol!L48</f>
        <v>5611.9443905239332</v>
      </c>
      <c r="C39" s="2">
        <f>B39-'Methanol high low'!M48</f>
        <v>1477.2014064145333</v>
      </c>
      <c r="D39" s="2">
        <f>'Methanol high low'!N48-B39</f>
        <v>4066.306686727441</v>
      </c>
      <c r="E39" s="1" t="s">
        <v>10</v>
      </c>
      <c r="G39" s="14"/>
      <c r="H39" s="14"/>
    </row>
    <row r="40" x14ac:dyDescent="0.3">
      <c r="A40" s="1" t="s">
        <v>176</v>
      </c>
      <c r="B40" s="2">
        <f>Methanol!T48</f>
        <v>5889.2946542787176</v>
      </c>
      <c r="C40" s="2">
        <v>0</v>
      </c>
      <c r="D40" s="2">
        <v>0</v>
      </c>
      <c r="E40" s="1" t="s">
        <v>110</v>
      </c>
    </row>
    <row r="41" x14ac:dyDescent="0.3">
      <c r="A41" s="1" t="s">
        <v>176</v>
      </c>
      <c r="B41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AD226-5D2A-412E-B724-3C7E7D5C30B3}">
  <sheetPr codeName="Sheet9"/>
  <dimension ref="A1:R38"/>
  <sheetViews>
    <sheetView workbookViewId="0">
      <selection activeCell="B4" sqref="B4:Q6"/>
    </sheetView>
  </sheetViews>
  <sheetFormatPr defaultRowHeight="14.4" x14ac:dyDescent="0.3"/>
  <cols>
    <col min="1" max="1" width="15.6640625" bestFit="true" customWidth="true"/>
    <col min="8" max="8" width="9.5546875" bestFit="true" customWidth="true"/>
    <col min="12" max="12" width="8.6640625" customWidth="true"/>
  </cols>
  <sheetData>
    <row r="1" x14ac:dyDescent="0.3">
      <c r="A1" s="32" t="s">
        <v>103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x14ac:dyDescent="0.3">
      <c r="A2" s="5"/>
      <c r="B2" s="32">
        <v>2019</v>
      </c>
      <c r="C2" s="32"/>
      <c r="D2" s="32"/>
      <c r="E2" s="32"/>
      <c r="F2" s="32">
        <v>2020</v>
      </c>
      <c r="G2" s="32"/>
      <c r="H2" s="32"/>
      <c r="I2" s="32"/>
      <c r="J2" s="32">
        <v>2021</v>
      </c>
      <c r="K2" s="32"/>
      <c r="L2" s="32"/>
      <c r="M2" s="32"/>
      <c r="N2" s="32">
        <v>2022</v>
      </c>
      <c r="O2" s="32"/>
      <c r="P2" s="32"/>
      <c r="Q2" s="32"/>
    </row>
    <row r="3" x14ac:dyDescent="0.3">
      <c r="A3" s="5"/>
      <c r="B3" s="4" t="s">
        <v>90</v>
      </c>
      <c r="C3" s="4" t="s">
        <v>91</v>
      </c>
      <c r="D3" s="4" t="s">
        <v>92</v>
      </c>
      <c r="E3" s="4" t="s">
        <v>95</v>
      </c>
      <c r="F3" s="4" t="s">
        <v>90</v>
      </c>
      <c r="G3" s="4" t="s">
        <v>91</v>
      </c>
      <c r="H3" s="4" t="s">
        <v>92</v>
      </c>
      <c r="I3" s="4" t="s">
        <v>95</v>
      </c>
      <c r="J3" s="4" t="s">
        <v>90</v>
      </c>
      <c r="K3" s="4" t="s">
        <v>91</v>
      </c>
      <c r="L3" s="4" t="s">
        <v>92</v>
      </c>
      <c r="M3" s="4" t="s">
        <v>95</v>
      </c>
      <c r="N3" s="4" t="s">
        <v>90</v>
      </c>
      <c r="O3" s="4" t="s">
        <v>91</v>
      </c>
      <c r="P3" s="4" t="s">
        <v>92</v>
      </c>
      <c r="Q3" s="4" t="s">
        <v>95</v>
      </c>
    </row>
    <row r="4" x14ac:dyDescent="0.3">
      <c r="A4" s="4" t="s">
        <v>93</v>
      </c>
      <c r="B4" s="6">
        <v>6.7000000000000004E-2</v>
      </c>
      <c r="C4" s="6">
        <v>3.6999999999999998E-2</v>
      </c>
      <c r="D4" s="6">
        <v>9.6000000000000002E-2</v>
      </c>
      <c r="E4" s="7">
        <v>35.6</v>
      </c>
      <c r="F4" s="5">
        <v>4.4999999999999998E-2</v>
      </c>
      <c r="G4" s="5">
        <v>3.5000000000000003E-2</v>
      </c>
      <c r="H4" s="5">
        <v>6.5000000000000002E-2</v>
      </c>
      <c r="I4" s="7">
        <v>36</v>
      </c>
      <c r="J4" s="5">
        <v>4.2000000000000003E-2</v>
      </c>
      <c r="K4" s="5">
        <v>2.5999999999999999E-2</v>
      </c>
      <c r="L4" s="6">
        <v>5.8999999999999997E-2</v>
      </c>
      <c r="M4" s="7">
        <v>39</v>
      </c>
      <c r="N4" s="6">
        <f t="shared" ref="N4:P5" si="0">J4*$B$12/$B$11</f>
        <v>4.8495762711864406E-2</v>
      </c>
      <c r="O4" s="6">
        <f t="shared" si="0"/>
        <v>3.0021186440677965E-2</v>
      </c>
      <c r="P4" s="6">
        <f t="shared" si="0"/>
        <v>6.8124999999999991E-2</v>
      </c>
      <c r="Q4" s="7">
        <f>M4</f>
        <v>39</v>
      </c>
      <c r="R4" t="s">
        <v>96</v>
      </c>
    </row>
    <row r="5" x14ac:dyDescent="0.3">
      <c r="A5" s="4" t="s">
        <v>94</v>
      </c>
      <c r="B5" s="6">
        <v>6.8000000000000005E-2</v>
      </c>
      <c r="C5" s="6">
        <v>5.1999999999999998E-2</v>
      </c>
      <c r="D5" s="6">
        <v>0.19</v>
      </c>
      <c r="E5" s="7">
        <v>17.5</v>
      </c>
      <c r="F5" s="5">
        <v>5.7000000000000002E-2</v>
      </c>
      <c r="G5" s="5">
        <v>3.9E-2</v>
      </c>
      <c r="H5" s="5">
        <v>0.16300000000000001</v>
      </c>
      <c r="I5" s="5">
        <v>16.100000000000001</v>
      </c>
      <c r="J5" s="5">
        <v>4.8000000000000001E-2</v>
      </c>
      <c r="K5" s="5">
        <v>2.9000000000000001E-2</v>
      </c>
      <c r="L5" s="6">
        <v>0.12</v>
      </c>
      <c r="M5" s="5">
        <v>17.2</v>
      </c>
      <c r="N5" s="6">
        <f t="shared" si="0"/>
        <v>5.5423728813559323E-2</v>
      </c>
      <c r="O5" s="6">
        <f t="shared" si="0"/>
        <v>3.348516949152542E-2</v>
      </c>
      <c r="P5" s="6">
        <f t="shared" si="0"/>
        <v>0.13855932203389829</v>
      </c>
      <c r="Q5" s="5">
        <f>M5</f>
        <v>17.2</v>
      </c>
      <c r="R5" t="s">
        <v>96</v>
      </c>
    </row>
    <row r="6" x14ac:dyDescent="0.3">
      <c r="A6" s="28" t="s">
        <v>11</v>
      </c>
      <c r="B6" s="29">
        <v>8.7483891175927628E-2</v>
      </c>
      <c r="C6" s="29">
        <v>6.2808947510922405E-2</v>
      </c>
      <c r="D6" s="29">
        <v>0.11215883484093285</v>
      </c>
      <c r="E6" s="30">
        <v>95</v>
      </c>
      <c r="F6" s="29">
        <v>6.9000000000000006E-2</v>
      </c>
      <c r="G6" s="29">
        <v>4.2000000000000003E-2</v>
      </c>
      <c r="H6" s="29">
        <v>0.10199999999999999</v>
      </c>
      <c r="I6" s="30">
        <v>95</v>
      </c>
      <c r="J6" s="29">
        <f>F6*$B$11/$B$10</f>
        <v>8.1938946662193896E-2</v>
      </c>
      <c r="K6" s="29">
        <f>G6*$B$11/$B$10</f>
        <v>4.9875880576987587E-2</v>
      </c>
      <c r="L6" s="29">
        <f>H6*$B$11/$B$10</f>
        <v>0.12112713854411269</v>
      </c>
      <c r="M6" s="30">
        <v>95</v>
      </c>
      <c r="N6" s="29">
        <f>J6*$B$12/$B$11</f>
        <v>9.4611707480711182E-2</v>
      </c>
      <c r="O6" s="29">
        <f>K6*$B$12/$B$11</f>
        <v>5.7589734988258971E-2</v>
      </c>
      <c r="P6" s="29">
        <f>L6*$B$12/$B$11</f>
        <v>0.13986078497148605</v>
      </c>
      <c r="Q6" s="30">
        <v>95</v>
      </c>
      <c r="R6" s="31" t="s">
        <v>97</v>
      </c>
    </row>
    <row r="7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x14ac:dyDescent="0.3">
      <c r="A9" s="5" t="s">
        <v>99</v>
      </c>
      <c r="B9" s="5">
        <v>607.5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x14ac:dyDescent="0.3">
      <c r="A10" s="5" t="s">
        <v>100</v>
      </c>
      <c r="B10" s="5">
        <v>596.20000000000005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x14ac:dyDescent="0.3">
      <c r="A11" s="5" t="s">
        <v>101</v>
      </c>
      <c r="B11" s="7">
        <v>708</v>
      </c>
      <c r="C11" s="1"/>
      <c r="D11" s="3"/>
      <c r="E11" s="1"/>
      <c r="F11" s="1"/>
      <c r="G11" s="1"/>
      <c r="I11" s="1"/>
      <c r="J11" s="1"/>
      <c r="K11" s="1"/>
      <c r="L11" s="1"/>
      <c r="M11" s="1"/>
      <c r="N11" s="1"/>
      <c r="O11" s="1"/>
      <c r="P11" s="1"/>
      <c r="Q11" s="1"/>
    </row>
    <row r="12" x14ac:dyDescent="0.3">
      <c r="A12" s="5" t="s">
        <v>102</v>
      </c>
      <c r="B12" s="5">
        <v>817.5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x14ac:dyDescent="0.3">
      <c r="A14" s="32" t="s">
        <v>104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x14ac:dyDescent="0.3">
      <c r="A15" s="5"/>
      <c r="B15" s="32">
        <v>2019</v>
      </c>
      <c r="C15" s="32"/>
      <c r="D15" s="32"/>
      <c r="E15" s="32"/>
      <c r="F15" s="32">
        <v>2020</v>
      </c>
      <c r="G15" s="32"/>
      <c r="H15" s="32"/>
      <c r="I15" s="32"/>
      <c r="J15" s="32">
        <v>2021</v>
      </c>
      <c r="K15" s="32"/>
      <c r="L15" s="32"/>
      <c r="M15" s="32"/>
      <c r="N15" s="32">
        <v>2022</v>
      </c>
      <c r="O15" s="32"/>
      <c r="P15" s="32"/>
      <c r="Q15" s="32"/>
    </row>
    <row r="16" x14ac:dyDescent="0.3">
      <c r="A16" s="5"/>
      <c r="B16" s="4" t="s">
        <v>90</v>
      </c>
      <c r="C16" s="4" t="s">
        <v>91</v>
      </c>
      <c r="D16" s="4" t="s">
        <v>92</v>
      </c>
      <c r="E16" s="4" t="s">
        <v>95</v>
      </c>
      <c r="F16" s="4" t="s">
        <v>90</v>
      </c>
      <c r="G16" s="4" t="s">
        <v>91</v>
      </c>
      <c r="H16" s="4" t="s">
        <v>92</v>
      </c>
      <c r="I16" s="4" t="s">
        <v>95</v>
      </c>
      <c r="J16" s="4" t="s">
        <v>90</v>
      </c>
      <c r="K16" s="4" t="s">
        <v>91</v>
      </c>
      <c r="L16" s="4" t="s">
        <v>92</v>
      </c>
      <c r="M16" s="4" t="s">
        <v>95</v>
      </c>
      <c r="N16" s="4" t="s">
        <v>90</v>
      </c>
      <c r="O16" s="4" t="s">
        <v>91</v>
      </c>
      <c r="P16" s="4" t="s">
        <v>92</v>
      </c>
      <c r="Q16" s="4" t="s">
        <v>95</v>
      </c>
    </row>
    <row r="17" x14ac:dyDescent="0.3">
      <c r="A17" s="4" t="s">
        <v>93</v>
      </c>
      <c r="B17" s="6">
        <v>6.8818000000000001</v>
      </c>
      <c r="C17" s="6">
        <v>5.2317999999999998</v>
      </c>
      <c r="D17" s="6">
        <v>8.4768000000000008</v>
      </c>
      <c r="E17" s="7">
        <v>35.6</v>
      </c>
      <c r="F17" s="6">
        <v>5.6361999999999997</v>
      </c>
      <c r="G17" s="6">
        <v>5.0861999999999998</v>
      </c>
      <c r="H17" s="6">
        <v>6.7362000000000002</v>
      </c>
      <c r="I17" s="7">
        <v>36</v>
      </c>
      <c r="J17" s="6">
        <v>5.3788</v>
      </c>
      <c r="K17" s="6">
        <v>4.4988000000000001</v>
      </c>
      <c r="L17" s="6">
        <v>6.3137999999999996</v>
      </c>
      <c r="M17" s="7">
        <v>39</v>
      </c>
      <c r="N17" s="6">
        <f t="shared" ref="N17:P18" si="1">J17*$B$12/$B$11</f>
        <v>6.2106906779661015</v>
      </c>
      <c r="O17" s="6">
        <f t="shared" si="1"/>
        <v>5.1945889830508474</v>
      </c>
      <c r="P17" s="6">
        <f t="shared" si="1"/>
        <v>7.2902987288135597</v>
      </c>
      <c r="Q17" s="7">
        <v>39</v>
      </c>
    </row>
    <row r="18" x14ac:dyDescent="0.3">
      <c r="A18" s="4" t="s">
        <v>94</v>
      </c>
      <c r="B18" s="6">
        <v>9.2164999999999999</v>
      </c>
      <c r="C18" s="6">
        <v>8.3364999999999991</v>
      </c>
      <c r="D18" s="6">
        <v>15.926500000000001</v>
      </c>
      <c r="E18" s="7">
        <v>17.5</v>
      </c>
      <c r="F18" s="6">
        <v>9.0473999999999997</v>
      </c>
      <c r="G18" s="6">
        <v>8.0573999999999995</v>
      </c>
      <c r="H18" s="6">
        <v>14.8774</v>
      </c>
      <c r="I18" s="5">
        <v>16.100000000000001</v>
      </c>
      <c r="J18" s="6">
        <v>8.2120999999999995</v>
      </c>
      <c r="K18" s="6">
        <v>7.1670999999999996</v>
      </c>
      <c r="L18" s="6">
        <v>12.1721</v>
      </c>
      <c r="M18" s="5">
        <f>M5</f>
        <v>17.2</v>
      </c>
      <c r="N18" s="6">
        <f t="shared" si="1"/>
        <v>9.4821917372881348</v>
      </c>
      <c r="O18" s="6">
        <f t="shared" si="1"/>
        <v>8.2755709745762704</v>
      </c>
      <c r="P18" s="6">
        <f t="shared" si="1"/>
        <v>14.05464936440678</v>
      </c>
      <c r="Q18" s="5">
        <f>Q5</f>
        <v>17.2</v>
      </c>
    </row>
    <row r="19" x14ac:dyDescent="0.3">
      <c r="A19" s="28" t="s">
        <v>11</v>
      </c>
      <c r="B19" s="29">
        <v>6.9149000000000003</v>
      </c>
      <c r="C19" s="29">
        <v>5.5578000000000003</v>
      </c>
      <c r="D19" s="29">
        <v>8.2720000000000002</v>
      </c>
      <c r="E19" s="30">
        <v>95</v>
      </c>
      <c r="F19" s="29">
        <v>5.8982999999999999</v>
      </c>
      <c r="G19" s="29">
        <v>4.4132999999999996</v>
      </c>
      <c r="H19" s="29">
        <v>7.7133000000000003</v>
      </c>
      <c r="I19" s="30">
        <v>95</v>
      </c>
      <c r="J19" s="29">
        <v>6.6098999999999997</v>
      </c>
      <c r="K19" s="29">
        <v>4.8464</v>
      </c>
      <c r="L19" s="29">
        <v>8.7652999999999999</v>
      </c>
      <c r="M19" s="30">
        <v>95</v>
      </c>
      <c r="N19" s="29">
        <f t="shared" ref="N19" si="2">J19*$B$12/$B$11</f>
        <v>7.6321938559322033</v>
      </c>
      <c r="O19" s="29">
        <f t="shared" ref="O19" si="3">K19*$B$12/$B$11</f>
        <v>5.5959491525423735</v>
      </c>
      <c r="P19" s="29">
        <f t="shared" ref="P19" si="4">L19*$B$12/$B$11</f>
        <v>10.120950211864406</v>
      </c>
      <c r="Q19" s="30">
        <v>95</v>
      </c>
    </row>
    <row r="20" x14ac:dyDescent="0.3">
      <c r="A20" s="28" t="s">
        <v>98</v>
      </c>
      <c r="B20" s="29">
        <v>2.27</v>
      </c>
      <c r="C20" s="29">
        <v>0</v>
      </c>
      <c r="D20" s="29">
        <v>0</v>
      </c>
      <c r="E20" s="30">
        <v>0</v>
      </c>
      <c r="F20" s="29">
        <f>B20*B10/B9</f>
        <v>2.2277761316872429</v>
      </c>
      <c r="G20" s="29">
        <v>0</v>
      </c>
      <c r="H20" s="29">
        <v>0</v>
      </c>
      <c r="I20" s="30">
        <v>0</v>
      </c>
      <c r="J20" s="29">
        <f>B20*B11/B9</f>
        <v>2.6455308641975308</v>
      </c>
      <c r="K20" s="29">
        <v>0</v>
      </c>
      <c r="L20" s="29">
        <v>0</v>
      </c>
      <c r="M20" s="30">
        <v>0</v>
      </c>
      <c r="N20" s="29">
        <f>B20*B12/B9</f>
        <v>3.0546913580246913</v>
      </c>
      <c r="O20" s="29">
        <v>0</v>
      </c>
      <c r="P20" s="29">
        <v>0</v>
      </c>
      <c r="Q20" s="30">
        <v>0</v>
      </c>
    </row>
    <row r="2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</sheetData>
  <mergeCells count="10">
    <mergeCell ref="B15:E15"/>
    <mergeCell ref="F15:I15"/>
    <mergeCell ref="J15:M15"/>
    <mergeCell ref="N15:Q15"/>
    <mergeCell ref="A14:Q14"/>
    <mergeCell ref="A1:Q1"/>
    <mergeCell ref="F2:I2"/>
    <mergeCell ref="B2:E2"/>
    <mergeCell ref="J2:M2"/>
    <mergeCell ref="N2:Q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87F7-630F-4D5B-80DF-94CE3ECBA469}">
  <dimension ref="A1:N49"/>
  <sheetViews>
    <sheetView topLeftCell="A4" workbookViewId="0">
      <selection activeCell="E29" sqref="E29"/>
    </sheetView>
  </sheetViews>
  <sheetFormatPr defaultRowHeight="14.4" x14ac:dyDescent="0.3"/>
  <cols>
    <col min="4" max="4" width="10.44140625" bestFit="true" customWidth="true"/>
    <col min="5" max="5" width="11.88671875" bestFit="true" customWidth="true"/>
    <col min="6" max="6" width="10.5546875" bestFit="true" customWidth="true"/>
    <col min="7" max="8" width="13.33203125" hidden="true" customWidth="true"/>
    <col min="9" max="9" width="6.6640625" hidden="true" customWidth="true"/>
    <col min="10" max="10" width="16.33203125" hidden="true" customWidth="true"/>
    <col min="11" max="16" width="11.6640625" customWidth="true"/>
    <col min="17" max="17" width="10.6640625" customWidth="true"/>
    <col min="18" max="23" width="11.6640625" customWidth="true"/>
    <col min="24" max="24" width="10.6640625" customWidth="true"/>
    <col min="25" max="42" width="11.6640625" customWidth="true"/>
    <col min="43" max="43" width="8.6640625" customWidth="true"/>
    <col min="44" max="48" width="11.6640625" customWidth="true"/>
    <col min="49" max="49" width="10.6640625" customWidth="true"/>
    <col min="50" max="52" width="11.6640625" customWidth="true"/>
  </cols>
  <sheetData>
    <row r="1" x14ac:dyDescent="0.3">
      <c r="A1" s="4" t="s">
        <v>107</v>
      </c>
      <c r="B1" s="4" t="str">
        <f>Ammonia!B1</f>
        <v>Time</v>
      </c>
      <c r="C1" s="4" t="s">
        <v>123</v>
      </c>
      <c r="D1" s="27" t="s">
        <v>177</v>
      </c>
      <c r="E1" s="4" t="s">
        <v>121</v>
      </c>
      <c r="F1" s="4" t="s">
        <v>113</v>
      </c>
      <c r="G1" s="4" t="s">
        <v>119</v>
      </c>
      <c r="H1" s="4" t="s">
        <v>122</v>
      </c>
      <c r="I1" s="4" t="s">
        <v>120</v>
      </c>
      <c r="J1" s="4" t="s">
        <v>126</v>
      </c>
    </row>
    <row r="2" x14ac:dyDescent="0.3">
      <c r="A2" s="5">
        <v>1</v>
      </c>
      <c r="B2" s="5" t="str">
        <f>Ammonia!B2</f>
        <v>Jan '19</v>
      </c>
      <c r="C2" s="16"/>
      <c r="D2" s="16"/>
      <c r="E2" s="16">
        <v>470.06471342283669</v>
      </c>
      <c r="F2" s="16">
        <v>326.17727272727274</v>
      </c>
      <c r="G2" s="16">
        <v>137.62</v>
      </c>
      <c r="H2" s="16">
        <v>68.099999999999994</v>
      </c>
      <c r="I2" s="16">
        <v>388.22987314686577</v>
      </c>
      <c r="J2" s="17"/>
    </row>
    <row r="3" x14ac:dyDescent="0.3">
      <c r="A3" s="5">
        <f>A2+1</f>
        <v>2</v>
      </c>
      <c r="B3" s="5" t="str">
        <f>Ammonia!B3</f>
        <v>Feb '19</v>
      </c>
      <c r="C3" s="16"/>
      <c r="D3" s="16"/>
      <c r="E3" s="16">
        <v>433.53111084267863</v>
      </c>
      <c r="F3" s="16">
        <v>268.5377272727273</v>
      </c>
      <c r="G3" s="16">
        <v>121.53454545454547</v>
      </c>
      <c r="H3" s="16">
        <v>68.099999999999994</v>
      </c>
      <c r="I3" s="16">
        <v>379.75730810241907</v>
      </c>
      <c r="J3" s="17"/>
    </row>
    <row r="4" x14ac:dyDescent="0.3">
      <c r="A4" s="5">
        <f t="shared" ref="A4:A48" si="0">A3+1</f>
        <v>3</v>
      </c>
      <c r="B4" s="5" t="str">
        <f>Ammonia!B4</f>
        <v>Mar '19</v>
      </c>
      <c r="C4" s="16"/>
      <c r="D4" s="16"/>
      <c r="E4" s="16">
        <v>402.58537634098184</v>
      </c>
      <c r="F4" s="16">
        <v>231.45181818181817</v>
      </c>
      <c r="G4" s="16">
        <v>131.36454545454546</v>
      </c>
      <c r="H4" s="16">
        <v>68.099999999999994</v>
      </c>
      <c r="I4" s="16">
        <v>384.93498674069207</v>
      </c>
      <c r="J4" s="17"/>
    </row>
    <row r="5" x14ac:dyDescent="0.3">
      <c r="A5" s="5">
        <f t="shared" si="0"/>
        <v>4</v>
      </c>
      <c r="B5" s="5" t="str">
        <f>Ammonia!B5</f>
        <v>Apr '19</v>
      </c>
      <c r="C5" s="16"/>
      <c r="D5" s="16"/>
      <c r="E5" s="16">
        <v>402.41538568466922</v>
      </c>
      <c r="F5" s="16">
        <v>219.83454545454546</v>
      </c>
      <c r="G5" s="16">
        <v>118.40681818181817</v>
      </c>
      <c r="H5" s="16">
        <v>68.099999999999994</v>
      </c>
      <c r="I5" s="16">
        <v>378.10986489933225</v>
      </c>
      <c r="J5" s="17"/>
    </row>
    <row r="6" x14ac:dyDescent="0.3">
      <c r="A6" s="5">
        <f t="shared" si="0"/>
        <v>5</v>
      </c>
      <c r="B6" s="5" t="str">
        <f>Ammonia!B6</f>
        <v>May '19</v>
      </c>
      <c r="C6" s="16"/>
      <c r="D6" s="16"/>
      <c r="E6" s="16">
        <v>389.56957790199488</v>
      </c>
      <c r="F6" s="16">
        <v>193.9190909090909</v>
      </c>
      <c r="G6" s="16">
        <v>117.51318181818182</v>
      </c>
      <c r="H6" s="16">
        <v>68.099999999999994</v>
      </c>
      <c r="I6" s="16">
        <v>377.63916684130743</v>
      </c>
      <c r="J6" s="17"/>
    </row>
    <row r="7" x14ac:dyDescent="0.3">
      <c r="A7" s="5">
        <f t="shared" si="0"/>
        <v>6</v>
      </c>
      <c r="B7" s="5" t="str">
        <f>Ammonia!B7</f>
        <v>Jun '19</v>
      </c>
      <c r="C7" s="16"/>
      <c r="D7" s="16"/>
      <c r="E7" s="16">
        <v>366.93276892694593</v>
      </c>
      <c r="F7" s="16">
        <v>160.40772727272727</v>
      </c>
      <c r="G7" s="16">
        <v>107.23636363636363</v>
      </c>
      <c r="H7" s="16">
        <v>68.099999999999994</v>
      </c>
      <c r="I7" s="16">
        <v>372.22613917402202</v>
      </c>
      <c r="J7" s="17"/>
    </row>
    <row r="8" x14ac:dyDescent="0.3">
      <c r="A8" s="5">
        <f t="shared" si="0"/>
        <v>7</v>
      </c>
      <c r="B8" s="5" t="str">
        <f>Ammonia!B8</f>
        <v>Jul '19</v>
      </c>
      <c r="C8" s="16"/>
      <c r="D8" s="16">
        <v>508.47457627118644</v>
      </c>
      <c r="E8" s="16">
        <v>374.38298210622401</v>
      </c>
      <c r="F8" s="16">
        <v>161.74818181818182</v>
      </c>
      <c r="G8" s="16">
        <v>105.4490909090909</v>
      </c>
      <c r="H8" s="16">
        <v>68.099999999999994</v>
      </c>
      <c r="I8" s="16">
        <v>371.28474305797238</v>
      </c>
      <c r="J8" s="17"/>
    </row>
    <row r="9" x14ac:dyDescent="0.3">
      <c r="A9" s="5">
        <f t="shared" si="0"/>
        <v>8</v>
      </c>
      <c r="B9" s="5" t="str">
        <f>Ammonia!B9</f>
        <v>Aug '19</v>
      </c>
      <c r="C9" s="16"/>
      <c r="D9" s="16">
        <v>525.42372881355936</v>
      </c>
      <c r="E9" s="16">
        <v>373.09179749991341</v>
      </c>
      <c r="F9" s="16">
        <v>164.42909090909092</v>
      </c>
      <c r="G9" s="16">
        <v>99.193636363636372</v>
      </c>
      <c r="H9" s="16">
        <v>68.099999999999994</v>
      </c>
      <c r="I9" s="16">
        <v>367.98985665179868</v>
      </c>
      <c r="J9" s="17"/>
    </row>
    <row r="10" x14ac:dyDescent="0.3">
      <c r="A10" s="5">
        <f t="shared" si="0"/>
        <v>9</v>
      </c>
      <c r="B10" s="5" t="str">
        <f>Ammonia!B10</f>
        <v>Sep '19</v>
      </c>
      <c r="C10" s="16"/>
      <c r="D10" s="16">
        <v>525.42372881355936</v>
      </c>
      <c r="E10" s="16">
        <v>384.58313592705053</v>
      </c>
      <c r="F10" s="16">
        <v>188.11045454545456</v>
      </c>
      <c r="G10" s="16">
        <v>115.2790909090909</v>
      </c>
      <c r="H10" s="16">
        <v>68.099999999999994</v>
      </c>
      <c r="I10" s="16">
        <v>376.46242169624537</v>
      </c>
      <c r="J10" s="17"/>
    </row>
    <row r="11" x14ac:dyDescent="0.3">
      <c r="A11" s="5">
        <f t="shared" si="0"/>
        <v>10</v>
      </c>
      <c r="B11" s="5" t="str">
        <f>Ammonia!B11</f>
        <v>Oct '19</v>
      </c>
      <c r="C11" s="16"/>
      <c r="D11" s="16">
        <v>559.32203389830511</v>
      </c>
      <c r="E11" s="16">
        <v>405.69156427921394</v>
      </c>
      <c r="F11" s="16">
        <v>226.08999999999997</v>
      </c>
      <c r="G11" s="16">
        <v>104.10863636363636</v>
      </c>
      <c r="H11" s="16">
        <v>68.099999999999994</v>
      </c>
      <c r="I11" s="16">
        <v>370.5786959709352</v>
      </c>
      <c r="J11" s="17"/>
    </row>
    <row r="12" x14ac:dyDescent="0.3">
      <c r="A12" s="5">
        <f t="shared" si="0"/>
        <v>11</v>
      </c>
      <c r="B12" s="5" t="str">
        <f>Ammonia!B12</f>
        <v>Nov '19</v>
      </c>
      <c r="C12" s="16"/>
      <c r="D12" s="16">
        <v>559.32203389830511</v>
      </c>
      <c r="E12" s="16">
        <v>411.59803739519049</v>
      </c>
      <c r="F12" s="16">
        <v>230.11136363636368</v>
      </c>
      <c r="G12" s="16">
        <v>118.40681818181817</v>
      </c>
      <c r="H12" s="16">
        <v>68.099999999999994</v>
      </c>
      <c r="I12" s="16">
        <v>378.10986489933225</v>
      </c>
      <c r="J12" s="17"/>
    </row>
    <row r="13" x14ac:dyDescent="0.3">
      <c r="A13" s="5">
        <f t="shared" si="0"/>
        <v>12</v>
      </c>
      <c r="B13" s="5" t="str">
        <f>Ammonia!B13</f>
        <v>Dec '19</v>
      </c>
      <c r="C13" s="16"/>
      <c r="D13" s="16">
        <v>559.32203389830511</v>
      </c>
      <c r="E13" s="16">
        <v>390.67796190705644</v>
      </c>
      <c r="F13" s="16">
        <v>206.43</v>
      </c>
      <c r="G13" s="16">
        <v>100.08727272727273</v>
      </c>
      <c r="H13" s="16">
        <v>68.099999999999994</v>
      </c>
      <c r="I13" s="16">
        <v>368.4605547098235</v>
      </c>
      <c r="J13" s="17"/>
    </row>
    <row r="14" x14ac:dyDescent="0.3">
      <c r="A14" s="5">
        <f t="shared" si="0"/>
        <v>13</v>
      </c>
      <c r="B14" s="5" t="str">
        <f>Ammonia!B14</f>
        <v>Jan '20</v>
      </c>
      <c r="C14" s="16"/>
      <c r="D14" s="16">
        <v>559.32203389830511</v>
      </c>
      <c r="E14" s="16">
        <v>365.50573995355796</v>
      </c>
      <c r="F14" s="16">
        <v>162.19499999999999</v>
      </c>
      <c r="G14" s="16">
        <v>90.704090909090894</v>
      </c>
      <c r="H14" s="16">
        <v>63.7</v>
      </c>
      <c r="I14" s="16">
        <v>354.71431281076241</v>
      </c>
      <c r="J14" s="16">
        <v>494.38202247191009</v>
      </c>
    </row>
    <row r="15" x14ac:dyDescent="0.3">
      <c r="A15" s="5">
        <f t="shared" si="0"/>
        <v>14</v>
      </c>
      <c r="B15" s="5" t="str">
        <f>Ammonia!B15</f>
        <v>Feb '20</v>
      </c>
      <c r="C15" s="16"/>
      <c r="D15" s="16">
        <v>542.37288135593224</v>
      </c>
      <c r="E15" s="16">
        <v>336.33505496513783</v>
      </c>
      <c r="F15" s="16">
        <v>130.02409090909092</v>
      </c>
      <c r="G15" s="16">
        <v>85.789090909090902</v>
      </c>
      <c r="H15" s="16">
        <v>64.400000000000006</v>
      </c>
      <c r="I15" s="16">
        <v>352.78024689863958</v>
      </c>
      <c r="J15" s="16">
        <v>487.64044943820227</v>
      </c>
      <c r="N15" s="2"/>
    </row>
    <row r="16" x14ac:dyDescent="0.3">
      <c r="A16" s="5">
        <f t="shared" si="0"/>
        <v>15</v>
      </c>
      <c r="B16" s="5" t="str">
        <f>Ammonia!B16</f>
        <v>Mar '20</v>
      </c>
      <c r="C16" s="16"/>
      <c r="D16" s="16">
        <v>559.32203389830511</v>
      </c>
      <c r="E16" s="16">
        <v>332.43401166858547</v>
      </c>
      <c r="F16" s="16">
        <v>121.53454545454547</v>
      </c>
      <c r="G16" s="16">
        <v>79.980454545454549</v>
      </c>
      <c r="H16" s="16">
        <v>63.9</v>
      </c>
      <c r="I16" s="16">
        <v>349.25301423075422</v>
      </c>
      <c r="J16" s="16">
        <v>487.64044943820227</v>
      </c>
      <c r="N16" s="2"/>
    </row>
    <row r="17" x14ac:dyDescent="0.3">
      <c r="A17" s="5">
        <f t="shared" si="0"/>
        <v>16</v>
      </c>
      <c r="B17" s="5" t="str">
        <f>Ammonia!B17</f>
        <v>Apr '20</v>
      </c>
      <c r="C17" s="16"/>
      <c r="D17" s="16">
        <v>559.32203389830511</v>
      </c>
      <c r="E17" s="16">
        <v>313.19648344731979</v>
      </c>
      <c r="F17" s="16">
        <v>94.725454545454554</v>
      </c>
      <c r="G17" s="16">
        <v>77.299545454545452</v>
      </c>
      <c r="H17" s="16">
        <v>63.9</v>
      </c>
      <c r="I17" s="16">
        <v>347.84092005667981</v>
      </c>
      <c r="J17" s="16">
        <v>492.13483146067415</v>
      </c>
      <c r="N17" s="2"/>
    </row>
    <row r="18" x14ac:dyDescent="0.3">
      <c r="A18" s="5">
        <f t="shared" si="0"/>
        <v>17</v>
      </c>
      <c r="B18" s="5" t="str">
        <f>Ammonia!B18</f>
        <v>May '20</v>
      </c>
      <c r="C18" s="16"/>
      <c r="D18" s="16">
        <v>559.32203389830511</v>
      </c>
      <c r="E18" s="16">
        <v>301.00210070044625</v>
      </c>
      <c r="F18" s="16">
        <v>70.597272727272724</v>
      </c>
      <c r="G18" s="16">
        <v>78.193181818181813</v>
      </c>
      <c r="H18" s="16">
        <v>65.400000000000006</v>
      </c>
      <c r="I18" s="16">
        <v>349.71470398687677</v>
      </c>
      <c r="J18" s="16">
        <v>471.91011235955057</v>
      </c>
      <c r="N18" s="2"/>
    </row>
    <row r="19" x14ac:dyDescent="0.3">
      <c r="A19" s="5">
        <f t="shared" si="0"/>
        <v>18</v>
      </c>
      <c r="B19" s="5" t="str">
        <f>Ammonia!B19</f>
        <v>Jun '20</v>
      </c>
      <c r="C19" s="16"/>
      <c r="D19" s="16">
        <v>491.52542372881356</v>
      </c>
      <c r="E19" s="16">
        <v>313.0754549115544</v>
      </c>
      <c r="F19" s="16">
        <v>78.193181818181827</v>
      </c>
      <c r="G19" s="16">
        <v>72.38454545454546</v>
      </c>
      <c r="H19" s="16">
        <v>69.400000000000006</v>
      </c>
      <c r="I19" s="16">
        <v>350.39672893550789</v>
      </c>
      <c r="J19" s="16">
        <v>462.92134831460675</v>
      </c>
      <c r="N19" s="2"/>
    </row>
    <row r="20" x14ac:dyDescent="0.3">
      <c r="A20" s="5">
        <f t="shared" si="0"/>
        <v>19</v>
      </c>
      <c r="B20" s="5" t="str">
        <f>Ammonia!B20</f>
        <v>Jul '20</v>
      </c>
      <c r="C20" s="16"/>
      <c r="D20" s="16">
        <v>457.62711864406782</v>
      </c>
      <c r="E20" s="16">
        <v>317.84409988937716</v>
      </c>
      <c r="F20" s="16">
        <v>80.427272727272737</v>
      </c>
      <c r="G20" s="16">
        <v>77.74636363636364</v>
      </c>
      <c r="H20" s="16">
        <v>71.599999999999994</v>
      </c>
      <c r="I20" s="16">
        <v>355.27877656284261</v>
      </c>
      <c r="J20" s="16">
        <v>453.93258426966293</v>
      </c>
      <c r="N20" s="2"/>
    </row>
    <row r="21" x14ac:dyDescent="0.3">
      <c r="A21" s="5">
        <f t="shared" si="0"/>
        <v>20</v>
      </c>
      <c r="B21" s="5" t="str">
        <f>Ammonia!B21</f>
        <v>Aug '20</v>
      </c>
      <c r="C21" s="16"/>
      <c r="D21" s="16">
        <v>457.62711864406782</v>
      </c>
      <c r="E21" s="16">
        <v>347.29967956727228</v>
      </c>
      <c r="F21" s="16">
        <v>127.78999999999999</v>
      </c>
      <c r="G21" s="16">
        <v>102.7681818181818</v>
      </c>
      <c r="H21" s="16">
        <v>70.7</v>
      </c>
      <c r="I21" s="16">
        <v>367.61647066423416</v>
      </c>
      <c r="J21" s="16">
        <v>435.95505617977528</v>
      </c>
      <c r="N21" s="2"/>
    </row>
    <row r="22" x14ac:dyDescent="0.3">
      <c r="A22" s="5">
        <f t="shared" si="0"/>
        <v>21</v>
      </c>
      <c r="B22" s="5" t="str">
        <f>Ammonia!B22</f>
        <v>Sep '20</v>
      </c>
      <c r="C22" s="16"/>
      <c r="D22" s="16">
        <v>474.57627118644069</v>
      </c>
      <c r="E22" s="16">
        <v>381.17480694055359</v>
      </c>
      <c r="F22" s="16">
        <v>176.49318181818182</v>
      </c>
      <c r="G22" s="16">
        <v>85.789090909090902</v>
      </c>
      <c r="H22" s="16">
        <v>70</v>
      </c>
      <c r="I22" s="16">
        <v>358.018434154749</v>
      </c>
      <c r="J22" s="16">
        <v>431.46067415730334</v>
      </c>
      <c r="N22" s="2"/>
    </row>
    <row r="23" x14ac:dyDescent="0.3">
      <c r="A23" s="5">
        <f t="shared" si="0"/>
        <v>22</v>
      </c>
      <c r="B23" s="5" t="str">
        <f>Ammonia!B23</f>
        <v>Oct '20</v>
      </c>
      <c r="C23" s="16"/>
      <c r="D23" s="16">
        <v>474.57627118644069</v>
      </c>
      <c r="E23" s="16">
        <v>394.20561921604428</v>
      </c>
      <c r="F23" s="16">
        <v>218.49409090909091</v>
      </c>
      <c r="G23" s="16">
        <v>104.10863636363636</v>
      </c>
      <c r="H23" s="16">
        <v>67.2</v>
      </c>
      <c r="I23" s="16">
        <v>365.04865071620304</v>
      </c>
      <c r="J23" s="16">
        <v>422.47191011235952</v>
      </c>
      <c r="N23" s="2"/>
    </row>
    <row r="24" x14ac:dyDescent="0.3">
      <c r="A24" s="5">
        <f t="shared" si="0"/>
        <v>23</v>
      </c>
      <c r="B24" s="5" t="str">
        <f>Ammonia!B24</f>
        <v>Nov '20</v>
      </c>
      <c r="C24" s="16"/>
      <c r="D24" s="16">
        <v>508.47457627118644</v>
      </c>
      <c r="E24" s="16">
        <v>397.55616448519112</v>
      </c>
      <c r="F24" s="16">
        <v>216.26000000000002</v>
      </c>
      <c r="G24" s="16">
        <v>115.2790909090909</v>
      </c>
      <c r="H24" s="16">
        <v>64.900000000000006</v>
      </c>
      <c r="I24" s="16">
        <v>368.78097810418257</v>
      </c>
      <c r="J24" s="16">
        <v>426.96629213483146</v>
      </c>
      <c r="N24" s="2"/>
    </row>
    <row r="25" x14ac:dyDescent="0.3">
      <c r="A25" s="5">
        <f t="shared" si="0"/>
        <v>24</v>
      </c>
      <c r="B25" s="5" t="str">
        <f>Ammonia!B25</f>
        <v>Dec '20</v>
      </c>
      <c r="C25" s="16"/>
      <c r="D25" s="16">
        <v>508.47457627118644</v>
      </c>
      <c r="E25" s="16">
        <v>426.00487070633528</v>
      </c>
      <c r="F25" s="16">
        <v>261.83545454545458</v>
      </c>
      <c r="G25" s="16">
        <v>113.93863636363635</v>
      </c>
      <c r="H25" s="16">
        <v>64.099999999999994</v>
      </c>
      <c r="I25" s="16">
        <v>367.32661855198683</v>
      </c>
      <c r="J25" s="16">
        <v>471.91011235955057</v>
      </c>
      <c r="N25" s="2"/>
    </row>
    <row r="26" x14ac:dyDescent="0.3">
      <c r="A26" s="5">
        <f t="shared" si="0"/>
        <v>25</v>
      </c>
      <c r="B26" s="5" t="str">
        <f>Ammonia!B26</f>
        <v>Jan '21</v>
      </c>
      <c r="C26" s="16"/>
      <c r="D26" s="16">
        <v>677.96610169491521</v>
      </c>
      <c r="E26" s="16">
        <v>514.21616880274019</v>
      </c>
      <c r="F26" s="16">
        <v>324.83681818181822</v>
      </c>
      <c r="G26" s="16">
        <v>119.30045454545456</v>
      </c>
      <c r="H26" s="16">
        <v>63.9</v>
      </c>
      <c r="I26" s="16">
        <v>416.3478048169211</v>
      </c>
      <c r="J26" s="16">
        <v>494.38202247191009</v>
      </c>
      <c r="N26" s="2"/>
    </row>
    <row r="27" x14ac:dyDescent="0.3">
      <c r="A27" s="5">
        <f t="shared" si="0"/>
        <v>26</v>
      </c>
      <c r="B27" s="5" t="str">
        <f>Ammonia!B27</f>
        <v>Feb '21</v>
      </c>
      <c r="C27" s="16"/>
      <c r="D27" s="16">
        <v>830.50847457627117</v>
      </c>
      <c r="E27" s="16">
        <v>484.27603301005473</v>
      </c>
      <c r="F27" s="16">
        <v>275.24000000000007</v>
      </c>
      <c r="G27" s="16">
        <v>225.19636363636363</v>
      </c>
      <c r="H27" s="16">
        <v>79</v>
      </c>
      <c r="I27" s="16">
        <v>486.2499224727282</v>
      </c>
      <c r="J27" s="16">
        <v>546.06741573033707</v>
      </c>
      <c r="N27" s="2"/>
    </row>
    <row r="28" x14ac:dyDescent="0.3">
      <c r="A28" s="5">
        <f t="shared" si="0"/>
        <v>27</v>
      </c>
      <c r="B28" s="5" t="str">
        <f>Ammonia!B28</f>
        <v>Mar '21</v>
      </c>
      <c r="C28" s="16"/>
      <c r="D28" s="16">
        <v>1000</v>
      </c>
      <c r="E28" s="16">
        <v>482.13883833340185</v>
      </c>
      <c r="F28" s="16">
        <v>273.89954545454549</v>
      </c>
      <c r="G28" s="16">
        <v>114.38545454545455</v>
      </c>
      <c r="H28" s="16">
        <v>70.5</v>
      </c>
      <c r="I28" s="16">
        <v>419.93254333534219</v>
      </c>
      <c r="J28" s="16">
        <v>680.89887640449433</v>
      </c>
      <c r="N28" s="2"/>
    </row>
    <row r="29" x14ac:dyDescent="0.3">
      <c r="A29" s="5">
        <f t="shared" si="0"/>
        <v>28</v>
      </c>
      <c r="B29" s="5" t="str">
        <f>Ammonia!B29</f>
        <v>Apr '21</v>
      </c>
      <c r="C29" s="16"/>
      <c r="D29" s="16">
        <v>1067.7966101694915</v>
      </c>
      <c r="E29" s="16">
        <v>512.20577026045123</v>
      </c>
      <c r="F29" s="16">
        <v>319.47500000000002</v>
      </c>
      <c r="G29" s="16">
        <v>117.06636363636363</v>
      </c>
      <c r="H29" s="16">
        <v>67.599999999999994</v>
      </c>
      <c r="I29" s="16">
        <v>418.63200482321707</v>
      </c>
      <c r="J29" s="16">
        <v>707.86516853932585</v>
      </c>
      <c r="N29" s="2"/>
    </row>
    <row r="30" x14ac:dyDescent="0.3">
      <c r="A30" s="5">
        <f t="shared" si="0"/>
        <v>29</v>
      </c>
      <c r="B30" s="5" t="str">
        <f>Ammonia!B30</f>
        <v>May '21</v>
      </c>
      <c r="C30" s="16"/>
      <c r="D30" s="16">
        <v>1067.7966101694915</v>
      </c>
      <c r="E30" s="16">
        <v>553.31852047475718</v>
      </c>
      <c r="F30" s="16">
        <v>398.11500000000001</v>
      </c>
      <c r="G30" s="16">
        <v>129.13045454545457</v>
      </c>
      <c r="H30" s="16">
        <v>67.099999999999994</v>
      </c>
      <c r="I30" s="16">
        <v>424.51873331582806</v>
      </c>
      <c r="J30" s="16">
        <v>714.60674157303379</v>
      </c>
      <c r="N30" s="2"/>
    </row>
    <row r="31" x14ac:dyDescent="0.3">
      <c r="A31" s="5">
        <f t="shared" si="0"/>
        <v>30</v>
      </c>
      <c r="B31" s="5" t="str">
        <f>Ammonia!B31</f>
        <v>Jun '21</v>
      </c>
      <c r="C31" s="16"/>
      <c r="D31" s="16">
        <v>1220.3389830508474</v>
      </c>
      <c r="E31" s="16">
        <v>605.48815960160255</v>
      </c>
      <c r="F31" s="16">
        <v>460.22272727272735</v>
      </c>
      <c r="G31" s="16">
        <v>144.76909090909092</v>
      </c>
      <c r="H31" s="16">
        <v>72.8</v>
      </c>
      <c r="I31" s="16">
        <v>438.08767564551653</v>
      </c>
      <c r="J31" s="16">
        <v>728.08988764044943</v>
      </c>
      <c r="N31" s="2"/>
    </row>
    <row r="32" x14ac:dyDescent="0.3">
      <c r="A32" s="5">
        <f t="shared" si="0"/>
        <v>31</v>
      </c>
      <c r="B32" s="5" t="str">
        <f>Ammonia!B32</f>
        <v>Jul '21</v>
      </c>
      <c r="C32" s="16"/>
      <c r="D32" s="16">
        <v>1338.9830508474577</v>
      </c>
      <c r="E32" s="16">
        <v>664.19769157651308</v>
      </c>
      <c r="F32" s="16">
        <v>558.96954545454548</v>
      </c>
      <c r="G32" s="16">
        <v>169.34409090909091</v>
      </c>
      <c r="H32" s="16">
        <v>75.199999999999989</v>
      </c>
      <c r="I32" s="16">
        <v>453.27680963667444</v>
      </c>
      <c r="J32" s="16">
        <v>734.83146067415737</v>
      </c>
      <c r="N32" s="2"/>
    </row>
    <row r="33" x14ac:dyDescent="0.3">
      <c r="A33" s="5">
        <f t="shared" si="0"/>
        <v>32</v>
      </c>
      <c r="B33" s="5" t="str">
        <f>Ammonia!B33</f>
        <v>Aug '21</v>
      </c>
      <c r="C33" s="16"/>
      <c r="D33" s="16">
        <v>1372.8813559322034</v>
      </c>
      <c r="E33" s="16">
        <v>734.34140173193737</v>
      </c>
      <c r="F33" s="16">
        <v>689.4404545454546</v>
      </c>
      <c r="G33" s="16">
        <v>180.96136363636361</v>
      </c>
      <c r="H33" s="16">
        <v>76.399999999999991</v>
      </c>
      <c r="I33" s="16">
        <v>460.51835308873473</v>
      </c>
      <c r="J33" s="16">
        <v>746.06741573033707</v>
      </c>
      <c r="N33" s="2"/>
    </row>
    <row r="34" x14ac:dyDescent="0.3">
      <c r="A34" s="5">
        <f t="shared" si="0"/>
        <v>33</v>
      </c>
      <c r="B34" s="5" t="str">
        <f>Ammonia!B34</f>
        <v>Sep '21</v>
      </c>
      <c r="C34" s="16"/>
      <c r="D34" s="16">
        <v>1559.3220338983051</v>
      </c>
      <c r="E34" s="16">
        <v>951.32336540346387</v>
      </c>
      <c r="F34" s="16">
        <v>1020.5327272727274</v>
      </c>
      <c r="G34" s="16">
        <v>228.32409090909093</v>
      </c>
      <c r="H34" s="16">
        <v>76.900000000000006</v>
      </c>
      <c r="I34" s="16">
        <v>485.93304545477406</v>
      </c>
      <c r="J34" s="16">
        <v>773.03370786516848</v>
      </c>
      <c r="N34" s="2"/>
    </row>
    <row r="35" x14ac:dyDescent="0.3">
      <c r="A35" s="5">
        <f t="shared" si="0"/>
        <v>34</v>
      </c>
      <c r="B35" s="5" t="str">
        <f>Ammonia!B35</f>
        <v>Oct '21</v>
      </c>
      <c r="C35" s="16">
        <v>945.6521739130435</v>
      </c>
      <c r="D35" s="16">
        <v>1711.8644067796611</v>
      </c>
      <c r="E35" s="16">
        <v>1155.0212927348693</v>
      </c>
      <c r="F35" s="16">
        <v>1387.3704545454545</v>
      </c>
      <c r="G35" s="16">
        <v>244.85636363636365</v>
      </c>
      <c r="H35" s="16">
        <v>75.3</v>
      </c>
      <c r="I35" s="16">
        <v>493.1443345979161</v>
      </c>
      <c r="J35" s="16">
        <v>1029.2134831460676</v>
      </c>
      <c r="N35" s="2"/>
    </row>
    <row r="36" x14ac:dyDescent="0.3">
      <c r="A36" s="5">
        <f t="shared" si="0"/>
        <v>35</v>
      </c>
      <c r="B36" s="5" t="str">
        <f>Ammonia!B36</f>
        <v>Nov '21</v>
      </c>
      <c r="C36" s="16">
        <v>1108.695652173913</v>
      </c>
      <c r="D36" s="16">
        <v>1813.5593220338983</v>
      </c>
      <c r="E36" s="16">
        <v>1108.6347640285735</v>
      </c>
      <c r="F36" s="16">
        <v>1234.1118181818183</v>
      </c>
      <c r="G36" s="16">
        <v>224.30272727272725</v>
      </c>
      <c r="H36" s="16">
        <v>74.599999999999994</v>
      </c>
      <c r="I36" s="16">
        <v>481.66350585633171</v>
      </c>
      <c r="J36" s="16">
        <v>1294.3820224719102</v>
      </c>
      <c r="N36" s="2"/>
    </row>
    <row r="37" x14ac:dyDescent="0.3">
      <c r="A37" s="5">
        <f t="shared" si="0"/>
        <v>36</v>
      </c>
      <c r="B37" s="5" t="str">
        <f>Ammonia!B37</f>
        <v>Dec '21</v>
      </c>
      <c r="C37" s="16">
        <v>1521.7391304347825</v>
      </c>
      <c r="D37" s="16">
        <v>2491.5254237288136</v>
      </c>
      <c r="E37" s="16">
        <v>1395.4544161270351</v>
      </c>
      <c r="F37" s="16">
        <v>1699.2495454545456</v>
      </c>
      <c r="G37" s="16">
        <v>166.66318181818181</v>
      </c>
      <c r="H37" s="16">
        <v>72.599999999999994</v>
      </c>
      <c r="I37" s="16">
        <v>449.43269995083489</v>
      </c>
      <c r="J37" s="16">
        <v>1406.7415730337079</v>
      </c>
    </row>
    <row r="38" x14ac:dyDescent="0.3">
      <c r="A38" s="5">
        <f t="shared" si="0"/>
        <v>37</v>
      </c>
      <c r="B38" s="5" t="str">
        <f>Ammonia!B38</f>
        <v>Jan '22</v>
      </c>
      <c r="C38" s="16">
        <v>1054.3478260869565</v>
      </c>
      <c r="D38" s="16">
        <v>2508.4745762711864</v>
      </c>
      <c r="E38" s="16">
        <v>1161.2883707235815</v>
      </c>
      <c r="F38" s="16">
        <v>1262.7081818181821</v>
      </c>
      <c r="G38" s="16">
        <v>193.47227272727275</v>
      </c>
      <c r="H38" s="16">
        <v>73</v>
      </c>
      <c r="I38" s="16">
        <v>509.35763983490733</v>
      </c>
      <c r="J38" s="16">
        <v>1471.9101123595506</v>
      </c>
    </row>
    <row r="39" x14ac:dyDescent="0.3">
      <c r="A39" s="5">
        <f t="shared" si="0"/>
        <v>38</v>
      </c>
      <c r="B39" s="5" t="str">
        <f>Ammonia!B39</f>
        <v>Feb '22</v>
      </c>
      <c r="C39" s="16">
        <v>1271.7391304347825</v>
      </c>
      <c r="D39" s="16">
        <v>2593.2203389830506</v>
      </c>
      <c r="E39" s="16">
        <v>1100.4830029064969</v>
      </c>
      <c r="F39" s="16">
        <v>1216.6859090909093</v>
      </c>
      <c r="G39" s="16">
        <v>208.21727272727273</v>
      </c>
      <c r="H39" s="16">
        <v>74.599999999999994</v>
      </c>
      <c r="I39" s="16">
        <v>518.62078272263375</v>
      </c>
      <c r="J39" s="16">
        <v>1468.5245901639344</v>
      </c>
    </row>
    <row r="40" x14ac:dyDescent="0.3">
      <c r="A40" s="5">
        <f t="shared" si="0"/>
        <v>39</v>
      </c>
      <c r="B40" s="5" t="str">
        <f>Ammonia!B40</f>
        <v>Mar '22</v>
      </c>
      <c r="C40" s="16">
        <v>1260.8695652173913</v>
      </c>
      <c r="D40" s="16">
        <v>3271.1864406779659</v>
      </c>
      <c r="E40" s="16">
        <v>1572.3064645957954</v>
      </c>
      <c r="F40" s="16">
        <v>1894.062272727273</v>
      </c>
      <c r="G40" s="16">
        <v>218.04727272727271</v>
      </c>
      <c r="H40" s="16">
        <v>75</v>
      </c>
      <c r="I40" s="16">
        <v>524.17261759348594</v>
      </c>
      <c r="J40" s="16">
        <v>1507.8688524590164</v>
      </c>
    </row>
    <row r="41" x14ac:dyDescent="0.3">
      <c r="A41" s="5">
        <f t="shared" si="0"/>
        <v>40</v>
      </c>
      <c r="B41" s="5" t="str">
        <f>Ammonia!B41</f>
        <v>Apr '22</v>
      </c>
      <c r="C41" s="16">
        <v>1152.1739130434783</v>
      </c>
      <c r="D41" s="16">
        <v>2932.2033898305085</v>
      </c>
      <c r="E41" s="16">
        <v>1252.2667077671622</v>
      </c>
      <c r="F41" s="16">
        <v>1438.7545454545457</v>
      </c>
      <c r="G41" s="16">
        <v>291.77227272727276</v>
      </c>
      <c r="H41" s="16">
        <v>78.3</v>
      </c>
      <c r="I41" s="16">
        <v>566.09199629931209</v>
      </c>
      <c r="J41" s="16">
        <v>1511.1475409836066</v>
      </c>
    </row>
    <row r="42" x14ac:dyDescent="0.3">
      <c r="A42" s="5">
        <f t="shared" si="0"/>
        <v>41</v>
      </c>
      <c r="B42" s="5" t="str">
        <f>Ammonia!B42</f>
        <v>May '22</v>
      </c>
      <c r="C42" s="16">
        <v>1010.8695652173913</v>
      </c>
      <c r="D42" s="16">
        <v>2372.8813559322034</v>
      </c>
      <c r="E42" s="16">
        <v>1191.7222975688703</v>
      </c>
      <c r="F42" s="16">
        <v>1303.3686363636366</v>
      </c>
      <c r="G42" s="16">
        <v>363.71000000000004</v>
      </c>
      <c r="H42" s="16">
        <v>83.5</v>
      </c>
      <c r="I42" s="16">
        <v>608.84722099383987</v>
      </c>
      <c r="J42" s="16">
        <v>1504.5901639344263</v>
      </c>
    </row>
    <row r="43" x14ac:dyDescent="0.3">
      <c r="A43" s="5">
        <f t="shared" si="0"/>
        <v>42</v>
      </c>
      <c r="B43" s="5" t="str">
        <f>Ammonia!B43</f>
        <v>Jun '22</v>
      </c>
      <c r="C43" s="16">
        <v>1554.3478260869565</v>
      </c>
      <c r="D43" s="16">
        <v>2254.2372881355932</v>
      </c>
      <c r="E43" s="16">
        <v>1333.0828562528118</v>
      </c>
      <c r="F43" s="16">
        <v>1499.5218181818184</v>
      </c>
      <c r="G43" s="16">
        <v>342.70954545454543</v>
      </c>
      <c r="H43" s="16">
        <v>89.600000000000009</v>
      </c>
      <c r="I43" s="16">
        <v>603.49169917709014</v>
      </c>
      <c r="J43" s="16">
        <v>1445.5737704918033</v>
      </c>
    </row>
    <row r="44" x14ac:dyDescent="0.3">
      <c r="A44" s="5">
        <f t="shared" si="0"/>
        <v>43</v>
      </c>
      <c r="B44" s="5" t="str">
        <f>Ammonia!B44</f>
        <v>Jul '22</v>
      </c>
      <c r="C44" s="16">
        <v>2000</v>
      </c>
      <c r="D44" s="16">
        <v>2576.2711864406779</v>
      </c>
      <c r="E44" s="16">
        <v>1842.1057984548429</v>
      </c>
      <c r="F44" s="16">
        <v>2293.5177272727274</v>
      </c>
      <c r="G44" s="16">
        <v>324.39</v>
      </c>
      <c r="H44" s="16">
        <v>94.3</v>
      </c>
      <c r="I44" s="16">
        <v>598.23872472038761</v>
      </c>
      <c r="J44" s="16">
        <v>1366.8852459016393</v>
      </c>
    </row>
    <row r="45" x14ac:dyDescent="0.3">
      <c r="A45" s="5">
        <f t="shared" si="0"/>
        <v>44</v>
      </c>
      <c r="B45" s="5" t="str">
        <f>Ammonia!B45</f>
        <v>Aug '22</v>
      </c>
      <c r="C45" s="16">
        <v>3282.608695652174</v>
      </c>
      <c r="D45" s="16"/>
      <c r="E45" s="16">
        <v>2426.5781664323977</v>
      </c>
      <c r="F45" s="16">
        <v>3129.5145454545459</v>
      </c>
      <c r="G45" s="16">
        <v>392.75318181818182</v>
      </c>
      <c r="H45" s="16">
        <v>97.2</v>
      </c>
      <c r="I45" s="16">
        <v>636.95975884548545</v>
      </c>
      <c r="J45" s="16">
        <v>1317.7049180327867</v>
      </c>
    </row>
    <row r="46" x14ac:dyDescent="0.3">
      <c r="A46" s="5">
        <f t="shared" si="0"/>
        <v>45</v>
      </c>
      <c r="B46" s="5" t="str">
        <f>Ammonia!B46</f>
        <v>Sep '22</v>
      </c>
      <c r="C46" s="16">
        <v>2032.608695652174</v>
      </c>
      <c r="D46" s="16"/>
      <c r="E46" s="16">
        <v>2066.9897389161329</v>
      </c>
      <c r="F46" s="16">
        <v>2640.6954545454546</v>
      </c>
      <c r="G46" s="21">
        <v>315.67704545454546</v>
      </c>
      <c r="H46" s="16">
        <v>97.2</v>
      </c>
      <c r="I46" s="16">
        <v>596.36205134084503</v>
      </c>
      <c r="J46" s="16"/>
    </row>
    <row r="47" x14ac:dyDescent="0.3">
      <c r="A47" s="5">
        <f t="shared" si="0"/>
        <v>46</v>
      </c>
      <c r="B47" s="5" t="s">
        <v>175</v>
      </c>
      <c r="C47" s="17"/>
      <c r="D47" s="17"/>
      <c r="E47" s="16">
        <v>1405.0858349741209</v>
      </c>
      <c r="F47" s="16">
        <v>1743.4845454545457</v>
      </c>
      <c r="G47" s="22"/>
    </row>
    <row r="48" x14ac:dyDescent="0.3">
      <c r="A48" s="5">
        <f t="shared" si="0"/>
        <v>47</v>
      </c>
      <c r="B48" s="5" t="s">
        <v>176</v>
      </c>
      <c r="C48" s="17"/>
      <c r="D48" s="17"/>
      <c r="E48" s="16">
        <v>1343.9490069742142</v>
      </c>
      <c r="F48" s="16">
        <v>1596.0345454545457</v>
      </c>
      <c r="G48" s="22"/>
    </row>
    <row r="49" x14ac:dyDescent="0.3">
      <c r="B49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6657-3081-4D0B-9F15-7009A3421CCC}">
  <dimension ref="A1:P96"/>
  <sheetViews>
    <sheetView topLeftCell="A76" zoomScaleNormal="100" workbookViewId="0">
      <selection activeCell="N80" sqref="N80"/>
    </sheetView>
  </sheetViews>
  <sheetFormatPr defaultRowHeight="14.4" x14ac:dyDescent="0.3"/>
  <cols>
    <col min="3" max="3" width="9.6640625" bestFit="true" customWidth="true"/>
    <col min="4" max="4" width="11.6640625" bestFit="true" customWidth="true"/>
    <col min="5" max="5" width="7.6640625" style="1" bestFit="true" customWidth="true"/>
    <col min="6" max="6" width="10.44140625" bestFit="true" customWidth="true"/>
    <col min="7" max="7" width="10.44140625" customWidth="true"/>
    <col min="8" max="8" width="13.33203125" hidden="true" customWidth="true"/>
    <col min="9" max="9" width="13.6640625" hidden="true" customWidth="true"/>
    <col min="10" max="10" width="10.6640625" hidden="true" customWidth="true"/>
    <col min="11" max="11" width="13.6640625" hidden="true" customWidth="true"/>
    <col min="12" max="12" width="10.88671875" hidden="true" customWidth="true"/>
  </cols>
  <sheetData>
    <row r="1" x14ac:dyDescent="0.3">
      <c r="A1" s="4" t="s">
        <v>107</v>
      </c>
      <c r="B1" s="4" t="str">
        <f>Ammonia!B1</f>
        <v>Time</v>
      </c>
      <c r="C1" s="4" t="s">
        <v>117</v>
      </c>
      <c r="D1" s="4" t="s">
        <v>118</v>
      </c>
      <c r="E1" s="4" t="s">
        <v>121</v>
      </c>
      <c r="F1" s="4" t="s">
        <v>113</v>
      </c>
      <c r="G1" s="4" t="s">
        <v>108</v>
      </c>
      <c r="H1" s="4" t="s">
        <v>119</v>
      </c>
      <c r="I1" s="4" t="s">
        <v>122</v>
      </c>
      <c r="J1" s="4" t="s">
        <v>120</v>
      </c>
      <c r="K1" s="4" t="s">
        <v>124</v>
      </c>
      <c r="L1" s="4" t="s">
        <v>125</v>
      </c>
    </row>
    <row r="2" x14ac:dyDescent="0.3">
      <c r="A2" s="5">
        <v>1</v>
      </c>
      <c r="B2" s="20" t="s">
        <v>127</v>
      </c>
      <c r="C2" s="16">
        <v>411.34799999999996</v>
      </c>
      <c r="D2" s="4"/>
      <c r="E2" s="16">
        <v>357.29323948465549</v>
      </c>
      <c r="F2" s="16">
        <v>413.30681818181819</v>
      </c>
      <c r="G2" s="16">
        <v>31.68</v>
      </c>
      <c r="H2" s="16">
        <v>132.70500000000001</v>
      </c>
      <c r="I2" s="4"/>
      <c r="J2" s="4"/>
      <c r="K2" s="4"/>
      <c r="L2" s="4"/>
    </row>
    <row r="3" x14ac:dyDescent="0.3">
      <c r="A3" s="5">
        <f>A2+1</f>
        <v>2</v>
      </c>
      <c r="B3" s="20" t="s">
        <v>128</v>
      </c>
      <c r="C3" s="16">
        <v>393.91799999999995</v>
      </c>
      <c r="D3" s="4"/>
      <c r="E3" s="16">
        <v>329.04279666357843</v>
      </c>
      <c r="F3" s="16">
        <v>369.51863636363635</v>
      </c>
      <c r="G3" s="16">
        <v>36.69</v>
      </c>
      <c r="H3" s="16">
        <v>127.34318181818183</v>
      </c>
      <c r="I3" s="4"/>
      <c r="J3" s="4"/>
      <c r="K3" s="4"/>
      <c r="L3" s="4"/>
    </row>
    <row r="4" x14ac:dyDescent="0.3">
      <c r="A4" s="5">
        <f t="shared" ref="A4:A68" si="0">A3+1</f>
        <v>3</v>
      </c>
      <c r="B4" s="20" t="s">
        <v>129</v>
      </c>
      <c r="C4" s="16">
        <v>393.91799999999995</v>
      </c>
      <c r="D4" s="4"/>
      <c r="E4" s="16">
        <v>328.64393666357842</v>
      </c>
      <c r="F4" s="16">
        <v>369.51863636363635</v>
      </c>
      <c r="G4" s="16">
        <v>31.3</v>
      </c>
      <c r="H4" s="16">
        <v>125.1090909090909</v>
      </c>
      <c r="I4" s="4"/>
      <c r="J4" s="4"/>
      <c r="K4" s="4"/>
      <c r="L4" s="4"/>
    </row>
    <row r="5" x14ac:dyDescent="0.3">
      <c r="A5" s="5">
        <f t="shared" si="0"/>
        <v>4</v>
      </c>
      <c r="B5" s="20" t="s">
        <v>130</v>
      </c>
      <c r="C5" s="16">
        <v>424.13</v>
      </c>
      <c r="D5" s="4"/>
      <c r="E5" s="16">
        <v>303.70696135958303</v>
      </c>
      <c r="F5" s="16">
        <v>331.53909090909087</v>
      </c>
      <c r="G5" s="16">
        <v>29.78</v>
      </c>
      <c r="H5" s="16">
        <v>115.2790909090909</v>
      </c>
      <c r="I5" s="4"/>
      <c r="J5" s="4"/>
      <c r="K5" s="4"/>
      <c r="L5" s="4"/>
    </row>
    <row r="6" x14ac:dyDescent="0.3">
      <c r="A6" s="5">
        <f t="shared" si="0"/>
        <v>5</v>
      </c>
      <c r="B6" s="20" t="s">
        <v>131</v>
      </c>
      <c r="C6" s="16">
        <v>424.13</v>
      </c>
      <c r="D6" s="4"/>
      <c r="E6" s="16">
        <v>298.99686807064273</v>
      </c>
      <c r="F6" s="16">
        <v>324.83681818181816</v>
      </c>
      <c r="G6" s="16">
        <v>25.33</v>
      </c>
      <c r="H6" s="16">
        <v>126.89636363636363</v>
      </c>
      <c r="I6" s="4"/>
      <c r="J6" s="4"/>
      <c r="K6" s="4"/>
      <c r="L6" s="4"/>
    </row>
    <row r="7" x14ac:dyDescent="0.3">
      <c r="A7" s="5">
        <f t="shared" si="0"/>
        <v>6</v>
      </c>
      <c r="B7" s="20" t="s">
        <v>132</v>
      </c>
      <c r="C7" s="16">
        <v>424.13</v>
      </c>
      <c r="D7" s="4"/>
      <c r="E7" s="16">
        <v>299.93469384250142</v>
      </c>
      <c r="F7" s="16">
        <v>325.73045454545451</v>
      </c>
      <c r="G7" s="16">
        <v>30.11</v>
      </c>
      <c r="H7" s="16">
        <v>123.76863636363636</v>
      </c>
      <c r="I7" s="4"/>
      <c r="J7" s="4"/>
      <c r="K7" s="4"/>
      <c r="L7" s="4"/>
    </row>
    <row r="8" x14ac:dyDescent="0.3">
      <c r="A8" s="5">
        <f t="shared" si="0"/>
        <v>7</v>
      </c>
      <c r="B8" s="20" t="s">
        <v>133</v>
      </c>
      <c r="C8" s="16">
        <v>424.13</v>
      </c>
      <c r="D8" s="4"/>
      <c r="E8" s="16">
        <v>289.78116994904462</v>
      </c>
      <c r="F8" s="16">
        <v>309.64499999999998</v>
      </c>
      <c r="G8" s="16">
        <v>34.979999999999997</v>
      </c>
      <c r="H8" s="16">
        <v>126.44954545454544</v>
      </c>
      <c r="I8" s="4"/>
      <c r="J8" s="4"/>
      <c r="K8" s="4"/>
      <c r="L8" s="4"/>
    </row>
    <row r="9" x14ac:dyDescent="0.3">
      <c r="A9" s="5">
        <f t="shared" si="0"/>
        <v>8</v>
      </c>
      <c r="B9" s="20" t="s">
        <v>134</v>
      </c>
      <c r="C9" s="16">
        <v>424.13</v>
      </c>
      <c r="D9" s="4"/>
      <c r="E9" s="16">
        <v>290.11589572090332</v>
      </c>
      <c r="F9" s="16">
        <v>310.53863636363639</v>
      </c>
      <c r="G9" s="16">
        <v>31.61</v>
      </c>
      <c r="H9" s="16">
        <v>123.32181818181817</v>
      </c>
      <c r="I9" s="4"/>
      <c r="J9" s="4"/>
      <c r="K9" s="4"/>
      <c r="L9" s="4"/>
    </row>
    <row r="10" x14ac:dyDescent="0.3">
      <c r="A10" s="5">
        <f t="shared" si="0"/>
        <v>9</v>
      </c>
      <c r="B10" s="20" t="s">
        <v>135</v>
      </c>
      <c r="C10" s="16">
        <v>424.13</v>
      </c>
      <c r="D10" s="4"/>
      <c r="E10" s="16">
        <v>283.12734645859877</v>
      </c>
      <c r="F10" s="16">
        <v>299.815</v>
      </c>
      <c r="G10" s="16">
        <v>31.89</v>
      </c>
      <c r="H10" s="16">
        <v>118.40681818181817</v>
      </c>
      <c r="I10" s="4"/>
      <c r="J10" s="4"/>
      <c r="K10" s="4"/>
      <c r="L10" s="4"/>
    </row>
    <row r="11" x14ac:dyDescent="0.3">
      <c r="A11" s="5">
        <f t="shared" si="0"/>
        <v>10</v>
      </c>
      <c r="B11" s="20" t="s">
        <v>136</v>
      </c>
      <c r="C11" s="16">
        <v>342.78999999999996</v>
      </c>
      <c r="D11" s="4"/>
      <c r="E11" s="16">
        <v>275.50338565257675</v>
      </c>
      <c r="F11" s="16">
        <v>287.30409090909092</v>
      </c>
      <c r="G11" s="16">
        <v>39.369999999999997</v>
      </c>
      <c r="H11" s="16">
        <v>103.66181818181818</v>
      </c>
      <c r="I11" s="4"/>
      <c r="J11" s="4"/>
      <c r="K11" s="4"/>
      <c r="L11" s="4"/>
    </row>
    <row r="12" x14ac:dyDescent="0.3">
      <c r="A12" s="5">
        <f t="shared" si="0"/>
        <v>11</v>
      </c>
      <c r="B12" s="20" t="s">
        <v>137</v>
      </c>
      <c r="C12" s="16">
        <v>342.78999999999996</v>
      </c>
      <c r="D12" s="4"/>
      <c r="E12" s="16">
        <v>269.43712081991896</v>
      </c>
      <c r="F12" s="16">
        <v>278.81454545454545</v>
      </c>
      <c r="G12" s="16">
        <v>32.380000000000003</v>
      </c>
      <c r="H12" s="16">
        <v>92.938181818181818</v>
      </c>
      <c r="I12" s="4"/>
      <c r="J12" s="4"/>
      <c r="K12" s="4"/>
      <c r="L12" s="4"/>
    </row>
    <row r="13" x14ac:dyDescent="0.3">
      <c r="A13" s="5">
        <f t="shared" si="0"/>
        <v>12</v>
      </c>
      <c r="B13" s="20" t="s">
        <v>138</v>
      </c>
      <c r="C13" s="16">
        <v>342.78999999999996</v>
      </c>
      <c r="D13" s="4"/>
      <c r="E13" s="16">
        <v>265.00872041690792</v>
      </c>
      <c r="F13" s="16">
        <v>272.55909090909086</v>
      </c>
      <c r="G13" s="16">
        <v>27.79</v>
      </c>
      <c r="H13" s="16">
        <v>85.789090909090902</v>
      </c>
      <c r="I13" s="4"/>
      <c r="J13" s="4"/>
      <c r="K13" s="4"/>
      <c r="L13" s="4"/>
    </row>
    <row r="14" x14ac:dyDescent="0.3">
      <c r="A14" s="5">
        <f t="shared" si="0"/>
        <v>13</v>
      </c>
      <c r="B14" s="20" t="s">
        <v>139</v>
      </c>
      <c r="C14" s="16">
        <v>304.37</v>
      </c>
      <c r="D14" s="4"/>
      <c r="E14" s="16">
        <v>240.89680132852797</v>
      </c>
      <c r="F14" s="16">
        <v>239.04772727272723</v>
      </c>
      <c r="G14" s="16">
        <v>29.03</v>
      </c>
      <c r="H14" s="16">
        <v>101.42772727272727</v>
      </c>
      <c r="I14" s="4"/>
      <c r="J14" s="4"/>
      <c r="K14" s="4"/>
      <c r="L14" s="4"/>
    </row>
    <row r="15" x14ac:dyDescent="0.3">
      <c r="A15" s="5">
        <f t="shared" si="0"/>
        <v>14</v>
      </c>
      <c r="B15" s="20" t="s">
        <v>140</v>
      </c>
      <c r="C15" s="16">
        <v>304.37</v>
      </c>
      <c r="D15" s="4"/>
      <c r="E15" s="16">
        <v>227.23420146170693</v>
      </c>
      <c r="F15" s="16">
        <v>218.94090909090912</v>
      </c>
      <c r="G15" s="16">
        <v>22</v>
      </c>
      <c r="H15" s="16">
        <v>87.576363636363638</v>
      </c>
      <c r="I15" s="4"/>
      <c r="J15" s="4"/>
      <c r="K15" s="4"/>
      <c r="L15" s="4"/>
    </row>
    <row r="16" x14ac:dyDescent="0.3">
      <c r="A16" s="5">
        <f t="shared" si="0"/>
        <v>15</v>
      </c>
      <c r="B16" s="20" t="s">
        <v>141</v>
      </c>
      <c r="C16" s="16">
        <v>304.37</v>
      </c>
      <c r="D16" s="4"/>
      <c r="E16" s="16">
        <v>208.71301676222805</v>
      </c>
      <c r="F16" s="16">
        <v>190.34454545454545</v>
      </c>
      <c r="G16" s="16">
        <v>24.3</v>
      </c>
      <c r="H16" s="16">
        <v>75.959090909090904</v>
      </c>
      <c r="I16" s="4"/>
      <c r="J16" s="4"/>
      <c r="K16" s="4"/>
      <c r="L16" s="4"/>
    </row>
    <row r="17" x14ac:dyDescent="0.3">
      <c r="A17" s="5">
        <f t="shared" si="0"/>
        <v>16</v>
      </c>
      <c r="B17" s="20" t="s">
        <v>142</v>
      </c>
      <c r="C17" s="16">
        <v>249.03</v>
      </c>
      <c r="D17" s="4"/>
      <c r="E17" s="16">
        <v>204.9096692451464</v>
      </c>
      <c r="F17" s="16">
        <v>184.53590909090909</v>
      </c>
      <c r="G17" s="16">
        <v>24.21</v>
      </c>
      <c r="H17" s="16">
        <v>84.895454545454541</v>
      </c>
      <c r="I17" s="4"/>
      <c r="J17" s="4"/>
      <c r="K17" s="4"/>
      <c r="L17" s="4"/>
    </row>
    <row r="18" x14ac:dyDescent="0.3">
      <c r="A18" s="5">
        <f t="shared" si="0"/>
        <v>17</v>
      </c>
      <c r="B18" s="20" t="s">
        <v>143</v>
      </c>
      <c r="C18" s="16">
        <v>249.03</v>
      </c>
      <c r="D18" s="4"/>
      <c r="E18" s="16">
        <v>202.1583532717822</v>
      </c>
      <c r="F18" s="16">
        <v>180.51454545454547</v>
      </c>
      <c r="G18" s="16">
        <v>22.55</v>
      </c>
      <c r="H18" s="16">
        <v>85.789090909090902</v>
      </c>
      <c r="I18" s="4"/>
      <c r="J18" s="4"/>
      <c r="K18" s="4"/>
      <c r="L18" s="4"/>
    </row>
    <row r="19" x14ac:dyDescent="0.3">
      <c r="A19" s="5">
        <f t="shared" si="0"/>
        <v>18</v>
      </c>
      <c r="B19" s="20" t="s">
        <v>144</v>
      </c>
      <c r="C19" s="16">
        <v>249.03</v>
      </c>
      <c r="D19" s="4"/>
      <c r="E19" s="16">
        <v>205.16792924514641</v>
      </c>
      <c r="F19" s="16">
        <v>184.53590909090909</v>
      </c>
      <c r="G19" s="16">
        <v>27.7</v>
      </c>
      <c r="H19" s="16">
        <v>114.83227272727272</v>
      </c>
      <c r="I19" s="4"/>
      <c r="J19" s="4"/>
      <c r="K19" s="4"/>
      <c r="L19" s="4"/>
    </row>
    <row r="20" x14ac:dyDescent="0.3">
      <c r="A20" s="5">
        <f t="shared" si="0"/>
        <v>19</v>
      </c>
      <c r="B20" s="20" t="s">
        <v>145</v>
      </c>
      <c r="C20" s="16">
        <v>265.63200000000001</v>
      </c>
      <c r="D20" s="4"/>
      <c r="E20" s="16">
        <v>216.22745891046199</v>
      </c>
      <c r="F20" s="16">
        <v>201.51499999999999</v>
      </c>
      <c r="G20" s="16">
        <v>27.18</v>
      </c>
      <c r="H20" s="16">
        <v>124.66227272727274</v>
      </c>
      <c r="I20" s="4"/>
      <c r="J20" s="4"/>
      <c r="K20" s="4"/>
      <c r="L20" s="4"/>
    </row>
    <row r="21" x14ac:dyDescent="0.3">
      <c r="A21" s="5">
        <f t="shared" si="0"/>
        <v>20</v>
      </c>
      <c r="B21" s="20" t="s">
        <v>146</v>
      </c>
      <c r="C21" s="16">
        <v>265.63200000000001</v>
      </c>
      <c r="D21" s="4"/>
      <c r="E21" s="16">
        <v>215.05924736674453</v>
      </c>
      <c r="F21" s="16">
        <v>199.72772727272724</v>
      </c>
      <c r="G21" s="16">
        <v>27.18</v>
      </c>
      <c r="H21" s="16">
        <v>124.66227272727274</v>
      </c>
      <c r="I21" s="4"/>
      <c r="J21" s="4"/>
      <c r="K21" s="4"/>
      <c r="L21" s="4"/>
    </row>
    <row r="22" x14ac:dyDescent="0.3">
      <c r="A22" s="5">
        <f t="shared" si="0"/>
        <v>21</v>
      </c>
      <c r="B22" s="20" t="s">
        <v>147</v>
      </c>
      <c r="C22" s="16">
        <v>265.63200000000001</v>
      </c>
      <c r="D22" s="4"/>
      <c r="E22" s="16">
        <v>207.71229233258128</v>
      </c>
      <c r="F22" s="16">
        <v>188.11045454545456</v>
      </c>
      <c r="G22" s="16">
        <v>30.51</v>
      </c>
      <c r="H22" s="16">
        <v>132.70500000000001</v>
      </c>
      <c r="I22" s="4"/>
      <c r="J22" s="4"/>
      <c r="K22" s="4"/>
      <c r="L22" s="4"/>
    </row>
    <row r="23" x14ac:dyDescent="0.3">
      <c r="A23" s="5">
        <f t="shared" si="0"/>
        <v>22</v>
      </c>
      <c r="B23" s="20" t="s">
        <v>148</v>
      </c>
      <c r="C23" s="16">
        <v>276.7</v>
      </c>
      <c r="D23" s="4"/>
      <c r="E23" s="16">
        <v>210.5393354200161</v>
      </c>
      <c r="F23" s="16">
        <v>191.68499999999997</v>
      </c>
      <c r="G23" s="16">
        <v>37.14</v>
      </c>
      <c r="H23" s="16">
        <v>131.81136363636367</v>
      </c>
      <c r="I23" s="4"/>
      <c r="J23" s="4"/>
      <c r="K23" s="4"/>
      <c r="L23" s="4"/>
    </row>
    <row r="24" x14ac:dyDescent="0.3">
      <c r="A24" s="5">
        <f t="shared" si="0"/>
        <v>23</v>
      </c>
      <c r="B24" s="20" t="s">
        <v>149</v>
      </c>
      <c r="C24" s="16">
        <v>276.7</v>
      </c>
      <c r="D24" s="4"/>
      <c r="E24" s="16">
        <v>228.72579434763625</v>
      </c>
      <c r="F24" s="16">
        <v>219.38772727272726</v>
      </c>
      <c r="G24" s="16">
        <v>38.21</v>
      </c>
      <c r="H24" s="16">
        <v>111.70454545454545</v>
      </c>
      <c r="I24" s="4"/>
      <c r="J24" s="4"/>
      <c r="K24" s="4"/>
      <c r="L24" s="4"/>
    </row>
    <row r="25" x14ac:dyDescent="0.3">
      <c r="A25" s="5">
        <f t="shared" si="0"/>
        <v>24</v>
      </c>
      <c r="B25" s="20" t="s">
        <v>150</v>
      </c>
      <c r="C25" s="16">
        <v>276.7</v>
      </c>
      <c r="D25" s="4"/>
      <c r="E25" s="16">
        <v>245.90215461746837</v>
      </c>
      <c r="F25" s="16">
        <v>245.75</v>
      </c>
      <c r="G25" s="16">
        <v>37.47</v>
      </c>
      <c r="H25" s="16">
        <v>159.9609090909091</v>
      </c>
      <c r="I25" s="4"/>
      <c r="J25" s="4"/>
      <c r="K25" s="4"/>
      <c r="L25" s="4"/>
    </row>
    <row r="26" x14ac:dyDescent="0.3">
      <c r="A26" s="5">
        <f t="shared" si="0"/>
        <v>25</v>
      </c>
      <c r="B26" s="20" t="s">
        <v>151</v>
      </c>
      <c r="C26" s="16">
        <v>418.24800000000005</v>
      </c>
      <c r="D26" s="4"/>
      <c r="E26" s="16">
        <v>249.7688134185785</v>
      </c>
      <c r="F26" s="16">
        <v>243.96272727272728</v>
      </c>
      <c r="G26" s="16">
        <v>52.41</v>
      </c>
      <c r="H26" s="16">
        <v>145.66272727272727</v>
      </c>
      <c r="I26" s="4"/>
      <c r="J26" s="4"/>
      <c r="K26" s="4"/>
      <c r="L26" s="4"/>
    </row>
    <row r="27" x14ac:dyDescent="0.3">
      <c r="A27" s="5">
        <f t="shared" si="0"/>
        <v>26</v>
      </c>
      <c r="B27" s="20" t="s">
        <v>152</v>
      </c>
      <c r="C27" s="16">
        <v>418.24800000000005</v>
      </c>
      <c r="D27" s="4"/>
      <c r="E27" s="16">
        <v>272.48307717885643</v>
      </c>
      <c r="F27" s="16">
        <v>280.15499999999997</v>
      </c>
      <c r="G27" s="16">
        <v>39.68</v>
      </c>
      <c r="H27" s="16">
        <v>126.00272727272727</v>
      </c>
      <c r="I27" s="4"/>
      <c r="J27" s="4"/>
      <c r="K27" s="4"/>
      <c r="L27" s="4"/>
    </row>
    <row r="28" x14ac:dyDescent="0.3">
      <c r="A28" s="5">
        <f t="shared" si="0"/>
        <v>27</v>
      </c>
      <c r="B28" s="20" t="s">
        <v>153</v>
      </c>
      <c r="C28" s="16">
        <v>418.24800000000005</v>
      </c>
      <c r="D28" s="4"/>
      <c r="E28" s="16">
        <v>245.31500455928494</v>
      </c>
      <c r="F28" s="16">
        <v>239.49454545454546</v>
      </c>
      <c r="G28" s="16">
        <v>31.69</v>
      </c>
      <c r="H28" s="16">
        <v>128.23681818181819</v>
      </c>
      <c r="I28" s="4"/>
      <c r="J28" s="4"/>
      <c r="K28" s="4"/>
      <c r="L28" s="4"/>
    </row>
    <row r="29" x14ac:dyDescent="0.3">
      <c r="A29" s="5">
        <f t="shared" si="0"/>
        <v>28</v>
      </c>
      <c r="B29" s="20" t="s">
        <v>154</v>
      </c>
      <c r="C29" s="16">
        <v>508.68</v>
      </c>
      <c r="D29" s="4"/>
      <c r="E29" s="16">
        <v>241.59058992813263</v>
      </c>
      <c r="F29" s="16">
        <v>234.13272727272727</v>
      </c>
      <c r="G29" s="16">
        <v>28.72</v>
      </c>
      <c r="H29" s="16">
        <v>137.62</v>
      </c>
      <c r="I29" s="4"/>
      <c r="J29" s="4"/>
      <c r="K29" s="4"/>
      <c r="L29" s="4"/>
    </row>
    <row r="30" x14ac:dyDescent="0.3">
      <c r="A30" s="5">
        <f t="shared" si="0"/>
        <v>29</v>
      </c>
      <c r="B30" s="20" t="s">
        <v>155</v>
      </c>
      <c r="C30" s="16">
        <v>508.68</v>
      </c>
      <c r="D30" s="4"/>
      <c r="E30" s="16">
        <v>244.94303167335553</v>
      </c>
      <c r="F30" s="16">
        <v>239.04772727272723</v>
      </c>
      <c r="G30" s="16">
        <v>30.61</v>
      </c>
      <c r="H30" s="16">
        <v>139.40727272727273</v>
      </c>
      <c r="I30" s="4"/>
      <c r="J30" s="4"/>
      <c r="K30" s="4"/>
      <c r="L30" s="4"/>
    </row>
    <row r="31" x14ac:dyDescent="0.3">
      <c r="A31" s="5">
        <f t="shared" si="0"/>
        <v>30</v>
      </c>
      <c r="B31" s="20" t="s">
        <v>156</v>
      </c>
      <c r="C31" s="16">
        <v>508.68</v>
      </c>
      <c r="D31" s="4"/>
      <c r="E31" s="16">
        <v>246.65020898893172</v>
      </c>
      <c r="F31" s="16">
        <v>241.72863636363635</v>
      </c>
      <c r="G31" s="16">
        <v>30</v>
      </c>
      <c r="H31" s="16">
        <v>131.36454545454546</v>
      </c>
      <c r="I31" s="4"/>
      <c r="J31" s="4"/>
      <c r="K31" s="4"/>
      <c r="L31" s="4"/>
    </row>
    <row r="32" x14ac:dyDescent="0.3">
      <c r="A32" s="5">
        <f t="shared" si="0"/>
        <v>31</v>
      </c>
      <c r="B32" s="20" t="s">
        <v>157</v>
      </c>
      <c r="C32" s="16">
        <v>361.72800000000001</v>
      </c>
      <c r="D32" s="4"/>
      <c r="E32" s="16">
        <v>241.03189127034457</v>
      </c>
      <c r="F32" s="16">
        <v>232.79227272727275</v>
      </c>
      <c r="G32" s="16">
        <v>33.01</v>
      </c>
      <c r="H32" s="16">
        <v>132.25818181818181</v>
      </c>
      <c r="I32" s="4"/>
      <c r="J32" s="4"/>
      <c r="K32" s="4"/>
      <c r="L32" s="4"/>
    </row>
    <row r="33" x14ac:dyDescent="0.3">
      <c r="A33" s="5">
        <f t="shared" si="0"/>
        <v>32</v>
      </c>
      <c r="B33" s="20" t="s">
        <v>158</v>
      </c>
      <c r="C33" s="16">
        <v>361.72800000000001</v>
      </c>
      <c r="D33" s="4"/>
      <c r="E33" s="16">
        <v>242.91716147185008</v>
      </c>
      <c r="F33" s="16">
        <v>235.92000000000004</v>
      </c>
      <c r="G33" s="16">
        <v>30.86</v>
      </c>
      <c r="H33" s="16">
        <v>128.68363636363637</v>
      </c>
      <c r="I33" s="4"/>
      <c r="J33" s="4"/>
      <c r="K33" s="4"/>
      <c r="L33" s="4"/>
    </row>
    <row r="34" x14ac:dyDescent="0.3">
      <c r="A34" s="5">
        <f t="shared" si="0"/>
        <v>33</v>
      </c>
      <c r="B34" s="20" t="s">
        <v>159</v>
      </c>
      <c r="C34" s="16">
        <v>361.72800000000001</v>
      </c>
      <c r="D34" s="4"/>
      <c r="E34" s="16">
        <v>249.88893784822525</v>
      </c>
      <c r="F34" s="16">
        <v>246.19681818181817</v>
      </c>
      <c r="G34" s="16">
        <v>34.299999999999997</v>
      </c>
      <c r="H34" s="16">
        <v>132.25818181818181</v>
      </c>
      <c r="I34" s="4"/>
      <c r="J34" s="4"/>
      <c r="K34" s="4"/>
      <c r="L34" s="4"/>
    </row>
    <row r="35" x14ac:dyDescent="0.3">
      <c r="A35" s="5">
        <f t="shared" si="0"/>
        <v>34</v>
      </c>
      <c r="B35" s="20" t="s">
        <v>160</v>
      </c>
      <c r="C35" s="16">
        <v>373.03200000000004</v>
      </c>
      <c r="D35" s="4"/>
      <c r="E35" s="16">
        <v>266.09121234619869</v>
      </c>
      <c r="F35" s="16">
        <v>271.66545454545457</v>
      </c>
      <c r="G35" s="16">
        <v>28.29</v>
      </c>
      <c r="H35" s="16">
        <v>128.23681818181819</v>
      </c>
      <c r="I35" s="4"/>
      <c r="J35" s="4"/>
      <c r="K35" s="4"/>
      <c r="L35" s="4"/>
    </row>
    <row r="36" x14ac:dyDescent="0.3">
      <c r="A36" s="5">
        <f t="shared" si="0"/>
        <v>35</v>
      </c>
      <c r="B36" s="20" t="s">
        <v>161</v>
      </c>
      <c r="C36" s="16">
        <v>373.03200000000004</v>
      </c>
      <c r="D36" s="4"/>
      <c r="E36" s="16">
        <v>265.23355503062248</v>
      </c>
      <c r="F36" s="16">
        <v>268.98454545454547</v>
      </c>
      <c r="G36" s="16">
        <v>40.380000000000003</v>
      </c>
      <c r="H36" s="16">
        <v>133.59863636363636</v>
      </c>
      <c r="I36" s="4"/>
      <c r="J36" s="4"/>
      <c r="K36" s="4"/>
      <c r="L36" s="4"/>
    </row>
    <row r="37" x14ac:dyDescent="0.3">
      <c r="A37" s="5">
        <f t="shared" si="0"/>
        <v>36</v>
      </c>
      <c r="B37" s="20" t="s">
        <v>162</v>
      </c>
      <c r="C37" s="16">
        <v>373.03200000000004</v>
      </c>
      <c r="D37" s="4"/>
      <c r="E37" s="16">
        <v>280.28883087080777</v>
      </c>
      <c r="F37" s="16">
        <v>293.11272727272723</v>
      </c>
      <c r="G37" s="16">
        <v>30.71</v>
      </c>
      <c r="H37" s="16">
        <v>123.32181818181817</v>
      </c>
      <c r="I37" s="4"/>
      <c r="J37" s="4"/>
      <c r="K37" s="4"/>
      <c r="L37" s="4"/>
    </row>
    <row r="38" x14ac:dyDescent="0.3">
      <c r="A38" s="5">
        <f t="shared" si="0"/>
        <v>37</v>
      </c>
      <c r="B38" s="20" t="s">
        <v>163</v>
      </c>
      <c r="C38" s="16">
        <v>448.81800000000004</v>
      </c>
      <c r="D38" s="4"/>
      <c r="E38" s="16">
        <v>314.82641854420331</v>
      </c>
      <c r="F38" s="16">
        <v>337.79454545454541</v>
      </c>
      <c r="G38" s="16">
        <v>29.5</v>
      </c>
      <c r="H38" s="16">
        <v>173.36545454545455</v>
      </c>
      <c r="I38" s="4"/>
      <c r="J38" s="4"/>
      <c r="K38" s="4"/>
      <c r="L38" s="4"/>
    </row>
    <row r="39" x14ac:dyDescent="0.3">
      <c r="A39" s="5">
        <f t="shared" si="0"/>
        <v>38</v>
      </c>
      <c r="B39" s="20" t="s">
        <v>164</v>
      </c>
      <c r="C39" s="16">
        <v>448.81800000000004</v>
      </c>
      <c r="D39" s="4"/>
      <c r="E39" s="16">
        <v>295.46064941507768</v>
      </c>
      <c r="F39" s="16">
        <v>306.96409090909088</v>
      </c>
      <c r="G39" s="16">
        <v>40.119999999999997</v>
      </c>
      <c r="H39" s="16">
        <v>119.30045454545456</v>
      </c>
      <c r="I39" s="4"/>
      <c r="J39" s="4"/>
      <c r="K39" s="4"/>
      <c r="L39" s="4"/>
    </row>
    <row r="40" x14ac:dyDescent="0.3">
      <c r="A40" s="5">
        <f t="shared" si="0"/>
        <v>39</v>
      </c>
      <c r="B40" s="20" t="s">
        <v>165</v>
      </c>
      <c r="C40" s="16">
        <v>448.81800000000004</v>
      </c>
      <c r="D40" s="4"/>
      <c r="E40" s="16">
        <v>299.92925558994739</v>
      </c>
      <c r="F40" s="16">
        <v>314.11318181818183</v>
      </c>
      <c r="G40" s="16">
        <v>37.36</v>
      </c>
      <c r="H40" s="16">
        <v>120.1940909090909</v>
      </c>
      <c r="I40" s="4"/>
      <c r="J40" s="4"/>
      <c r="K40" s="4"/>
      <c r="L40" s="4"/>
    </row>
    <row r="41" x14ac:dyDescent="0.3">
      <c r="A41" s="5">
        <f t="shared" si="0"/>
        <v>40</v>
      </c>
      <c r="B41" s="20" t="s">
        <v>166</v>
      </c>
      <c r="C41" s="16">
        <v>448.81800000000004</v>
      </c>
      <c r="D41" s="4"/>
      <c r="E41" s="16">
        <v>322.30978069243724</v>
      </c>
      <c r="F41" s="16">
        <v>348.96499999999997</v>
      </c>
      <c r="G41" s="16">
        <v>31.96</v>
      </c>
      <c r="H41" s="16">
        <v>123.32181818181817</v>
      </c>
      <c r="I41" s="4"/>
      <c r="J41" s="4"/>
      <c r="K41" s="4"/>
      <c r="L41" s="4"/>
    </row>
    <row r="42" x14ac:dyDescent="0.3">
      <c r="A42" s="5">
        <f t="shared" si="0"/>
        <v>41</v>
      </c>
      <c r="B42" s="20" t="s">
        <v>167</v>
      </c>
      <c r="C42" s="16">
        <v>448.81800000000004</v>
      </c>
      <c r="D42" s="4"/>
      <c r="E42" s="16">
        <v>304.32830176481713</v>
      </c>
      <c r="F42" s="16">
        <v>321.26227272727277</v>
      </c>
      <c r="G42" s="16">
        <v>33.659999999999997</v>
      </c>
      <c r="H42" s="16">
        <v>124.21545454545453</v>
      </c>
      <c r="I42" s="4"/>
      <c r="J42" s="4"/>
      <c r="K42" s="4"/>
      <c r="L42" s="4"/>
    </row>
    <row r="43" x14ac:dyDescent="0.3">
      <c r="A43" s="5">
        <f t="shared" si="0"/>
        <v>42</v>
      </c>
      <c r="B43" s="20" t="s">
        <v>174</v>
      </c>
      <c r="C43" s="16">
        <v>448.81800000000004</v>
      </c>
      <c r="D43" s="4"/>
      <c r="E43" s="16">
        <v>304.97432176481715</v>
      </c>
      <c r="F43" s="16">
        <v>321.26227272727277</v>
      </c>
      <c r="G43" s="16">
        <v>42.39</v>
      </c>
      <c r="H43" s="16">
        <v>124.21545454545453</v>
      </c>
      <c r="I43" s="4"/>
      <c r="J43" s="4"/>
      <c r="K43" s="4"/>
      <c r="L43" s="4"/>
    </row>
    <row r="44" x14ac:dyDescent="0.3">
      <c r="A44" s="5">
        <f t="shared" si="0"/>
        <v>43</v>
      </c>
      <c r="B44" s="20" t="s">
        <v>168</v>
      </c>
      <c r="C44" s="16">
        <v>494.8809</v>
      </c>
      <c r="D44" s="4"/>
      <c r="E44" s="16">
        <v>300.83427558994742</v>
      </c>
      <c r="F44" s="16">
        <v>314.11318181818183</v>
      </c>
      <c r="G44" s="16">
        <v>49.59</v>
      </c>
      <c r="H44" s="16">
        <v>125.1090909090909</v>
      </c>
      <c r="I44" s="4"/>
      <c r="J44" s="4"/>
      <c r="K44" s="4"/>
      <c r="L44" s="4"/>
    </row>
    <row r="45" x14ac:dyDescent="0.3">
      <c r="A45" s="5">
        <f t="shared" si="0"/>
        <v>44</v>
      </c>
      <c r="B45" s="20" t="s">
        <v>169</v>
      </c>
      <c r="C45" s="16">
        <v>494.8809</v>
      </c>
      <c r="D45" s="4"/>
      <c r="E45" s="16">
        <v>305.99774176481714</v>
      </c>
      <c r="F45" s="16">
        <v>321.26227272727277</v>
      </c>
      <c r="G45" s="16">
        <v>56.22</v>
      </c>
      <c r="H45" s="16">
        <v>132.25818181818181</v>
      </c>
      <c r="I45" s="4"/>
      <c r="J45" s="4"/>
      <c r="K45" s="4"/>
      <c r="L45" s="4"/>
    </row>
    <row r="46" x14ac:dyDescent="0.3">
      <c r="A46" s="5">
        <f t="shared" si="0"/>
        <v>45</v>
      </c>
      <c r="B46" s="20" t="s">
        <v>170</v>
      </c>
      <c r="C46" s="16">
        <v>494.8809</v>
      </c>
      <c r="D46" s="4"/>
      <c r="E46" s="16">
        <v>301.21685558994739</v>
      </c>
      <c r="F46" s="16">
        <v>314.11318181818183</v>
      </c>
      <c r="G46" s="16">
        <v>54.76</v>
      </c>
      <c r="H46" s="16">
        <v>133.59863636363636</v>
      </c>
      <c r="I46" s="4"/>
      <c r="J46" s="4"/>
      <c r="K46" s="4"/>
      <c r="L46" s="4"/>
    </row>
    <row r="47" x14ac:dyDescent="0.3">
      <c r="A47" s="5">
        <f t="shared" si="0"/>
        <v>46</v>
      </c>
      <c r="B47" s="20" t="s">
        <v>171</v>
      </c>
      <c r="C47" s="16">
        <v>505.51080000000002</v>
      </c>
      <c r="D47" s="4"/>
      <c r="E47" s="16">
        <v>352.49384351351421</v>
      </c>
      <c r="F47" s="16">
        <v>392.75318181818182</v>
      </c>
      <c r="G47" s="16">
        <v>53.08</v>
      </c>
      <c r="H47" s="16">
        <v>147.00318181818182</v>
      </c>
      <c r="I47" s="4"/>
      <c r="J47" s="4"/>
      <c r="K47" s="4"/>
      <c r="L47" s="4"/>
    </row>
    <row r="48" x14ac:dyDescent="0.3">
      <c r="A48" s="5">
        <f t="shared" si="0"/>
        <v>47</v>
      </c>
      <c r="B48" s="20" t="s">
        <v>172</v>
      </c>
      <c r="C48" s="16">
        <v>505.51080000000002</v>
      </c>
      <c r="D48" s="4"/>
      <c r="E48" s="16">
        <v>337.57349344518769</v>
      </c>
      <c r="F48" s="16">
        <v>369.51863636363635</v>
      </c>
      <c r="G48" s="16">
        <v>56.68</v>
      </c>
      <c r="H48" s="16">
        <v>184.98272727272726</v>
      </c>
      <c r="I48" s="4"/>
      <c r="J48" s="4"/>
      <c r="K48" s="4"/>
      <c r="L48" s="4"/>
    </row>
    <row r="49" x14ac:dyDescent="0.3">
      <c r="A49" s="5">
        <f t="shared" si="0"/>
        <v>48</v>
      </c>
      <c r="B49" s="20" t="s">
        <v>173</v>
      </c>
      <c r="C49" s="16">
        <v>505.51080000000002</v>
      </c>
      <c r="D49" s="4"/>
      <c r="E49" s="16">
        <v>328.46977975323631</v>
      </c>
      <c r="F49" s="16">
        <v>356.56090909090909</v>
      </c>
      <c r="G49" s="16">
        <v>48.11</v>
      </c>
      <c r="H49" s="16">
        <v>176.49318181818182</v>
      </c>
      <c r="I49" s="4"/>
      <c r="J49" s="4"/>
      <c r="K49" s="4"/>
      <c r="L49" s="4"/>
    </row>
    <row r="50" x14ac:dyDescent="0.3">
      <c r="A50" s="5">
        <f t="shared" si="0"/>
        <v>49</v>
      </c>
      <c r="B50" s="5" t="str">
        <f>Ammonia!B2</f>
        <v>Jan '19</v>
      </c>
      <c r="C50" s="16">
        <v>403.16399999999999</v>
      </c>
      <c r="D50" s="15"/>
      <c r="E50" s="16">
        <v>309.37649845256874</v>
      </c>
      <c r="F50" s="16">
        <f>Methanol!C2</f>
        <v>326.17727272727274</v>
      </c>
      <c r="G50" s="16">
        <v>49.41</v>
      </c>
      <c r="H50" s="16">
        <v>137.62</v>
      </c>
      <c r="I50" s="16">
        <v>68.099999999999994</v>
      </c>
      <c r="J50" s="16">
        <v>323.61991289289131</v>
      </c>
      <c r="K50" s="16">
        <v>442</v>
      </c>
      <c r="L50" s="5"/>
    </row>
    <row r="51" x14ac:dyDescent="0.3">
      <c r="A51" s="5">
        <f t="shared" si="0"/>
        <v>50</v>
      </c>
      <c r="B51" s="5" t="str">
        <f>Ammonia!B3</f>
        <v>Feb '19</v>
      </c>
      <c r="C51" s="16">
        <v>403.16399999999999</v>
      </c>
      <c r="D51" s="15"/>
      <c r="E51" s="16">
        <v>271.21327616768167</v>
      </c>
      <c r="F51" s="16">
        <f>Methanol!C3</f>
        <v>268.5377272727273</v>
      </c>
      <c r="G51" s="16">
        <v>42.81</v>
      </c>
      <c r="H51" s="16">
        <v>121.53454545454547</v>
      </c>
      <c r="I51" s="16">
        <v>68.099999999999994</v>
      </c>
      <c r="J51" s="16">
        <v>312.91343434743681</v>
      </c>
      <c r="K51" s="16">
        <v>432</v>
      </c>
      <c r="L51" s="5"/>
    </row>
    <row r="52" x14ac:dyDescent="0.3">
      <c r="A52" s="5">
        <f t="shared" si="0"/>
        <v>51</v>
      </c>
      <c r="B52" s="5" t="str">
        <f>Ammonia!B4</f>
        <v>Mar '19</v>
      </c>
      <c r="C52" s="16">
        <v>403.16399999999999</v>
      </c>
      <c r="D52" s="15"/>
      <c r="E52" s="16">
        <v>246.07008663554501</v>
      </c>
      <c r="F52" s="16">
        <f>Methanol!C4</f>
        <v>231.45181818181817</v>
      </c>
      <c r="G52" s="16">
        <v>30.61</v>
      </c>
      <c r="H52" s="16">
        <v>131.36454545454546</v>
      </c>
      <c r="I52" s="16">
        <v>68.099999999999994</v>
      </c>
      <c r="J52" s="16">
        <v>319.45628234743674</v>
      </c>
      <c r="K52" s="16">
        <v>432</v>
      </c>
      <c r="L52" s="5"/>
    </row>
    <row r="53" x14ac:dyDescent="0.3">
      <c r="A53" s="5">
        <f t="shared" si="0"/>
        <v>52</v>
      </c>
      <c r="B53" s="5" t="str">
        <f>Ammonia!B5</f>
        <v>Apr '19</v>
      </c>
      <c r="C53" s="16">
        <v>403.16399999999999</v>
      </c>
      <c r="D53" s="15"/>
      <c r="E53" s="16">
        <v>238.94735160138174</v>
      </c>
      <c r="F53" s="16">
        <f>Methanol!C5</f>
        <v>219.83454545454546</v>
      </c>
      <c r="G53" s="16">
        <v>36.97</v>
      </c>
      <c r="H53" s="16">
        <v>118.40681818181817</v>
      </c>
      <c r="I53" s="16">
        <v>68.099999999999994</v>
      </c>
      <c r="J53" s="16">
        <v>310.83161907470947</v>
      </c>
      <c r="K53" s="16">
        <v>432</v>
      </c>
      <c r="L53" s="5"/>
    </row>
    <row r="54" x14ac:dyDescent="0.3">
      <c r="A54" s="5">
        <f t="shared" si="0"/>
        <v>53</v>
      </c>
      <c r="B54" s="5" t="str">
        <f>Ammonia!B6</f>
        <v>May '19</v>
      </c>
      <c r="C54" s="16">
        <v>403.16399999999999</v>
      </c>
      <c r="D54" s="15"/>
      <c r="E54" s="16">
        <v>222.07192421747897</v>
      </c>
      <c r="F54" s="16">
        <f>Methanol!C6</f>
        <v>193.9190909090909</v>
      </c>
      <c r="G54" s="16">
        <v>37.83</v>
      </c>
      <c r="H54" s="16">
        <v>117.51318181818182</v>
      </c>
      <c r="I54" s="16">
        <v>68.099999999999994</v>
      </c>
      <c r="J54" s="16">
        <v>310.23681471107318</v>
      </c>
      <c r="K54" s="16">
        <v>432</v>
      </c>
      <c r="L54" s="5"/>
    </row>
    <row r="55" x14ac:dyDescent="0.3">
      <c r="A55" s="5">
        <f t="shared" si="0"/>
        <v>54</v>
      </c>
      <c r="B55" s="5" t="str">
        <f>Ammonia!B7</f>
        <v>Jun '19</v>
      </c>
      <c r="C55" s="16">
        <v>403.16399999999999</v>
      </c>
      <c r="D55" s="15"/>
      <c r="E55" s="16">
        <v>199.77353777277719</v>
      </c>
      <c r="F55" s="16">
        <f>Methanol!C7</f>
        <v>160.40772727272727</v>
      </c>
      <c r="G55" s="16">
        <v>32.5</v>
      </c>
      <c r="H55" s="16">
        <v>107.23636363636363</v>
      </c>
      <c r="I55" s="16">
        <v>68.099999999999994</v>
      </c>
      <c r="J55" s="16">
        <v>303.39656452925499</v>
      </c>
      <c r="K55" s="16">
        <v>419</v>
      </c>
      <c r="L55" s="5"/>
    </row>
    <row r="56" x14ac:dyDescent="0.3">
      <c r="A56" s="5">
        <f t="shared" si="0"/>
        <v>55</v>
      </c>
      <c r="B56" s="5" t="str">
        <f>Ammonia!B8</f>
        <v>Jul '19</v>
      </c>
      <c r="C56" s="16">
        <v>352.76849999999996</v>
      </c>
      <c r="D56" s="15"/>
      <c r="E56" s="16">
        <v>201.18323643056527</v>
      </c>
      <c r="F56" s="16">
        <f>Methanol!C8</f>
        <v>161.74818181818182</v>
      </c>
      <c r="G56" s="16">
        <v>39.71</v>
      </c>
      <c r="H56" s="16">
        <v>105.4490909090909</v>
      </c>
      <c r="I56" s="16">
        <v>68.099999999999994</v>
      </c>
      <c r="J56" s="16">
        <v>302.20695580198219</v>
      </c>
      <c r="K56" s="16">
        <v>386</v>
      </c>
      <c r="L56" s="5"/>
    </row>
    <row r="57" x14ac:dyDescent="0.3">
      <c r="A57" s="5">
        <f t="shared" si="0"/>
        <v>56</v>
      </c>
      <c r="B57" s="5" t="str">
        <f>Ammonia!B9</f>
        <v>Aug '19</v>
      </c>
      <c r="C57" s="16">
        <v>352.76849999999996</v>
      </c>
      <c r="D57" s="15"/>
      <c r="E57" s="16">
        <v>202.72169374614143</v>
      </c>
      <c r="F57" s="16">
        <f>Methanol!C9</f>
        <v>164.42909090909092</v>
      </c>
      <c r="G57" s="16">
        <v>36.82</v>
      </c>
      <c r="H57" s="16">
        <v>99.193636363636372</v>
      </c>
      <c r="I57" s="16">
        <v>68.099999999999994</v>
      </c>
      <c r="J57" s="16">
        <v>298.04332525652774</v>
      </c>
      <c r="K57" s="16">
        <v>342</v>
      </c>
      <c r="L57" s="5"/>
    </row>
    <row r="58" x14ac:dyDescent="0.3">
      <c r="A58" s="5">
        <f t="shared" si="0"/>
        <v>57</v>
      </c>
      <c r="B58" s="5" t="str">
        <f>Ammonia!B10</f>
        <v>Sep '19</v>
      </c>
      <c r="C58" s="16">
        <v>352.76849999999996</v>
      </c>
      <c r="D58" s="15"/>
      <c r="E58" s="16">
        <v>218.12279670039737</v>
      </c>
      <c r="F58" s="16">
        <f>Methanol!C10</f>
        <v>188.11045454545456</v>
      </c>
      <c r="G58" s="16">
        <v>35.770000000000003</v>
      </c>
      <c r="H58" s="16">
        <v>115.2790909090909</v>
      </c>
      <c r="I58" s="16">
        <v>68.099999999999994</v>
      </c>
      <c r="J58" s="16">
        <v>308.74980380198224</v>
      </c>
      <c r="K58" s="16">
        <v>342</v>
      </c>
      <c r="L58" s="5"/>
    </row>
    <row r="59" x14ac:dyDescent="0.3">
      <c r="A59" s="5">
        <f t="shared" si="0"/>
        <v>58</v>
      </c>
      <c r="B59" s="5" t="str">
        <f>Ammonia!B11</f>
        <v>Oct '19</v>
      </c>
      <c r="C59" s="16">
        <v>313.57199999999995</v>
      </c>
      <c r="D59" s="18">
        <v>306.70298077055349</v>
      </c>
      <c r="E59" s="16">
        <v>243.0346120043927</v>
      </c>
      <c r="F59" s="16">
        <f>Methanol!C11</f>
        <v>226.08999999999997</v>
      </c>
      <c r="G59" s="16">
        <v>36.950000000000003</v>
      </c>
      <c r="H59" s="16">
        <v>104.10863636363636</v>
      </c>
      <c r="I59" s="16">
        <v>68.099999999999994</v>
      </c>
      <c r="J59" s="16">
        <v>301.31474925652765</v>
      </c>
      <c r="K59" s="16">
        <v>342</v>
      </c>
      <c r="L59" s="19">
        <v>339.58459999999997</v>
      </c>
    </row>
    <row r="60" x14ac:dyDescent="0.3">
      <c r="A60" s="5">
        <f t="shared" si="0"/>
        <v>59</v>
      </c>
      <c r="B60" s="5" t="str">
        <f>Ammonia!B12</f>
        <v>Nov '19</v>
      </c>
      <c r="C60" s="16">
        <v>313.57199999999995</v>
      </c>
      <c r="D60" s="18">
        <v>307.50931560377626</v>
      </c>
      <c r="E60" s="16">
        <v>245.96278797775696</v>
      </c>
      <c r="F60" s="16">
        <f>Methanol!C12</f>
        <v>230.11136363636368</v>
      </c>
      <c r="G60" s="16">
        <v>41</v>
      </c>
      <c r="H60" s="16">
        <v>118.40681818181817</v>
      </c>
      <c r="I60" s="16">
        <v>68.099999999999994</v>
      </c>
      <c r="J60" s="16">
        <v>310.83161907470947</v>
      </c>
      <c r="K60" s="16">
        <v>342</v>
      </c>
      <c r="L60" s="19">
        <v>339.58459999999997</v>
      </c>
    </row>
    <row r="61" x14ac:dyDescent="0.3">
      <c r="A61" s="5">
        <f t="shared" si="0"/>
        <v>60</v>
      </c>
      <c r="B61" s="5" t="str">
        <f>Ammonia!B13</f>
        <v>Dec '19</v>
      </c>
      <c r="C61" s="16">
        <v>313.57199999999995</v>
      </c>
      <c r="D61" s="18">
        <v>308.85552070420795</v>
      </c>
      <c r="E61" s="16">
        <v>229.815765023501</v>
      </c>
      <c r="F61" s="16">
        <f>Methanol!C13</f>
        <v>206.43</v>
      </c>
      <c r="G61" s="16">
        <v>31.97</v>
      </c>
      <c r="H61" s="16">
        <v>100.08727272727273</v>
      </c>
      <c r="I61" s="16">
        <v>68.099999999999994</v>
      </c>
      <c r="J61" s="16">
        <v>298.63812962016402</v>
      </c>
      <c r="K61" s="16">
        <v>342</v>
      </c>
      <c r="L61" s="19">
        <v>339.58459999999997</v>
      </c>
    </row>
    <row r="62" x14ac:dyDescent="0.3">
      <c r="A62" s="5">
        <f t="shared" si="0"/>
        <v>61</v>
      </c>
      <c r="B62" s="5" t="str">
        <f>Ammonia!B14</f>
        <v>Jan '20</v>
      </c>
      <c r="C62" s="16">
        <v>314.04999999999995</v>
      </c>
      <c r="D62" s="18">
        <v>301.11799822664562</v>
      </c>
      <c r="E62" s="16">
        <v>199.40429230500035</v>
      </c>
      <c r="F62" s="16">
        <f>Methanol!C14</f>
        <v>162.19499999999999</v>
      </c>
      <c r="G62" s="16">
        <v>34.979999999999997</v>
      </c>
      <c r="H62" s="16">
        <v>90.704090909090894</v>
      </c>
      <c r="I62" s="16">
        <v>63.7</v>
      </c>
      <c r="J62" s="16">
        <v>285.8591816981309</v>
      </c>
      <c r="K62" s="16">
        <v>342</v>
      </c>
      <c r="L62" s="19">
        <v>341.0813</v>
      </c>
    </row>
    <row r="63" x14ac:dyDescent="0.3">
      <c r="A63" s="5">
        <f t="shared" si="0"/>
        <v>62</v>
      </c>
      <c r="B63" s="5" t="str">
        <f>Ammonia!B15</f>
        <v>Feb '20</v>
      </c>
      <c r="C63" s="16">
        <v>314.04999999999995</v>
      </c>
      <c r="D63" s="18">
        <v>295.49938382392202</v>
      </c>
      <c r="E63" s="16">
        <v>177.40930451808666</v>
      </c>
      <c r="F63" s="16">
        <f>Methanol!C15</f>
        <v>130.02409090909092</v>
      </c>
      <c r="G63" s="16">
        <v>21.91</v>
      </c>
      <c r="H63" s="16">
        <v>85.789090909090902</v>
      </c>
      <c r="I63" s="16">
        <v>64.400000000000006</v>
      </c>
      <c r="J63" s="16">
        <v>283.08321769813091</v>
      </c>
      <c r="K63" s="16">
        <v>396</v>
      </c>
      <c r="L63" s="19">
        <v>396.79180000000002</v>
      </c>
    </row>
    <row r="64" x14ac:dyDescent="0.3">
      <c r="A64" s="5">
        <f t="shared" si="0"/>
        <v>63</v>
      </c>
      <c r="B64" s="5" t="str">
        <f>Ammonia!B16</f>
        <v>Mar '20</v>
      </c>
      <c r="C64" s="16">
        <v>314.04999999999995</v>
      </c>
      <c r="D64" s="18">
        <v>299.75556195702529</v>
      </c>
      <c r="E64" s="16">
        <v>171.90543968542889</v>
      </c>
      <c r="F64" s="16">
        <f>Methanol!C16</f>
        <v>121.53454545454547</v>
      </c>
      <c r="G64" s="16">
        <v>22.52</v>
      </c>
      <c r="H64" s="16">
        <v>79.980454545454549</v>
      </c>
      <c r="I64" s="16">
        <v>63.9</v>
      </c>
      <c r="J64" s="16">
        <v>278.86308933449453</v>
      </c>
      <c r="K64" s="16">
        <v>396</v>
      </c>
      <c r="L64" s="19">
        <v>396.79180000000002</v>
      </c>
    </row>
    <row r="65" x14ac:dyDescent="0.3">
      <c r="A65" s="5">
        <f t="shared" si="0"/>
        <v>64</v>
      </c>
      <c r="B65" s="5" t="str">
        <f>Ammonia!B17</f>
        <v>Apr '20</v>
      </c>
      <c r="C65" s="16">
        <v>296.91999999999996</v>
      </c>
      <c r="D65" s="18">
        <v>277.62243708732609</v>
      </c>
      <c r="E65" s="16">
        <v>153.9774865296674</v>
      </c>
      <c r="F65" s="16">
        <f>Methanol!C17</f>
        <v>94.725454545454554</v>
      </c>
      <c r="G65" s="16">
        <v>17.05</v>
      </c>
      <c r="H65" s="16">
        <v>77.299545454545452</v>
      </c>
      <c r="I65" s="16">
        <v>63.9</v>
      </c>
      <c r="J65" s="16">
        <v>277.07867624358545</v>
      </c>
      <c r="K65" s="16">
        <v>359</v>
      </c>
      <c r="L65" s="19">
        <v>356.21459999999996</v>
      </c>
    </row>
    <row r="66" x14ac:dyDescent="0.3">
      <c r="A66" s="5">
        <f t="shared" si="0"/>
        <v>65</v>
      </c>
      <c r="B66" s="5" t="str">
        <f>Ammonia!B18</f>
        <v>May '20</v>
      </c>
      <c r="C66" s="16">
        <v>296.91999999999996</v>
      </c>
      <c r="D66" s="18">
        <v>277.88735451249187</v>
      </c>
      <c r="E66" s="16">
        <v>138.24733068948214</v>
      </c>
      <c r="F66" s="16">
        <f>Methanol!C18</f>
        <v>70.597272727272724</v>
      </c>
      <c r="G66" s="16">
        <v>17.600000000000001</v>
      </c>
      <c r="H66" s="16">
        <v>78.193181818181813</v>
      </c>
      <c r="I66" s="16">
        <v>65.400000000000006</v>
      </c>
      <c r="J66" s="16">
        <v>278.73518060722182</v>
      </c>
      <c r="K66" s="16">
        <v>313</v>
      </c>
      <c r="L66" s="19">
        <v>311.64619999999996</v>
      </c>
    </row>
    <row r="67" x14ac:dyDescent="0.3">
      <c r="A67" s="5">
        <f t="shared" si="0"/>
        <v>66</v>
      </c>
      <c r="B67" s="5" t="str">
        <f>Ammonia!B19</f>
        <v>Jun '20</v>
      </c>
      <c r="C67" s="16">
        <v>296.91999999999996</v>
      </c>
      <c r="D67" s="18">
        <v>287.16200617562328</v>
      </c>
      <c r="E67" s="16">
        <v>143.85084975028121</v>
      </c>
      <c r="F67" s="16">
        <f>Methanol!C19</f>
        <v>78.193181818181827</v>
      </c>
      <c r="G67" s="16">
        <v>26.23</v>
      </c>
      <c r="H67" s="16">
        <v>72.38454545454546</v>
      </c>
      <c r="I67" s="16">
        <v>69.400000000000006</v>
      </c>
      <c r="J67" s="16">
        <v>277.70015224358548</v>
      </c>
      <c r="K67" s="16">
        <v>289</v>
      </c>
      <c r="L67" s="19">
        <v>287.3664</v>
      </c>
    </row>
    <row r="68" x14ac:dyDescent="0.3">
      <c r="A68" s="5">
        <f t="shared" si="0"/>
        <v>67</v>
      </c>
      <c r="B68" s="5" t="str">
        <f>Ammonia!B20</f>
        <v>Jul '20</v>
      </c>
      <c r="C68" s="16">
        <v>268.37</v>
      </c>
      <c r="D68" s="18">
        <v>257.69634889749204</v>
      </c>
      <c r="E68" s="16">
        <v>145.595274179928</v>
      </c>
      <c r="F68" s="16">
        <f>Methanol!C20</f>
        <v>80.427272727272737</v>
      </c>
      <c r="G68" s="16">
        <v>30.07</v>
      </c>
      <c r="H68" s="16">
        <v>77.74636363636364</v>
      </c>
      <c r="I68" s="16">
        <v>71.599999999999994</v>
      </c>
      <c r="J68" s="16">
        <v>282.82613842540366</v>
      </c>
      <c r="K68" s="16">
        <v>276</v>
      </c>
      <c r="L68" s="19">
        <v>271.06900000000002</v>
      </c>
    </row>
    <row r="69" x14ac:dyDescent="0.3">
      <c r="A69" s="5">
        <f t="shared" ref="A69:A96" si="1">A68+1</f>
        <v>68</v>
      </c>
      <c r="B69" s="5" t="str">
        <f>Ammonia!B21</f>
        <v>Aug '20</v>
      </c>
      <c r="C69" s="16">
        <v>268.37</v>
      </c>
      <c r="D69" s="18">
        <v>266.19046649210907</v>
      </c>
      <c r="E69" s="16">
        <v>176.90956008843986</v>
      </c>
      <c r="F69" s="16">
        <f>Methanol!C21</f>
        <v>127.78999999999999</v>
      </c>
      <c r="G69" s="16">
        <v>34.89</v>
      </c>
      <c r="H69" s="16">
        <v>102.7681818181818</v>
      </c>
      <c r="I69" s="16">
        <v>70.7</v>
      </c>
      <c r="J69" s="16">
        <v>298.8436406072218</v>
      </c>
      <c r="K69" s="16">
        <v>276</v>
      </c>
      <c r="L69" s="19">
        <v>277.05579999999998</v>
      </c>
    </row>
    <row r="70" x14ac:dyDescent="0.3">
      <c r="A70" s="5">
        <f t="shared" si="1"/>
        <v>69</v>
      </c>
      <c r="B70" s="5" t="str">
        <f>Ammonia!B22</f>
        <v>Sep '20</v>
      </c>
      <c r="C70" s="16">
        <v>268.37</v>
      </c>
      <c r="D70" s="18">
        <v>265.77940339363283</v>
      </c>
      <c r="E70" s="16">
        <v>209.39378465473979</v>
      </c>
      <c r="F70" s="16">
        <f>Methanol!C22</f>
        <v>176.49318181818182</v>
      </c>
      <c r="G70" s="16">
        <v>43.68</v>
      </c>
      <c r="H70" s="16">
        <v>85.789090909090902</v>
      </c>
      <c r="I70" s="16">
        <v>70</v>
      </c>
      <c r="J70" s="16">
        <v>287.04689769813092</v>
      </c>
      <c r="K70" s="16">
        <v>286</v>
      </c>
      <c r="L70" s="19">
        <v>289.02939999999995</v>
      </c>
    </row>
    <row r="71" x14ac:dyDescent="0.3">
      <c r="A71" s="5">
        <f t="shared" si="1"/>
        <v>70</v>
      </c>
      <c r="B71" s="5" t="str">
        <f>Ammonia!B23</f>
        <v>Oct '20</v>
      </c>
      <c r="C71" s="16">
        <v>314.04999999999995</v>
      </c>
      <c r="D71" s="18">
        <v>309.2739774113038</v>
      </c>
      <c r="E71" s="16">
        <v>236.12747593209937</v>
      </c>
      <c r="F71" s="16">
        <f>Methanol!C23</f>
        <v>218.49409090909091</v>
      </c>
      <c r="G71" s="16">
        <v>33.96</v>
      </c>
      <c r="H71" s="16">
        <v>104.10863636363636</v>
      </c>
      <c r="I71" s="16">
        <v>67.2</v>
      </c>
      <c r="J71" s="16">
        <v>297.25854715267639</v>
      </c>
      <c r="K71" s="16">
        <v>336</v>
      </c>
      <c r="L71" s="19">
        <v>338.9194</v>
      </c>
    </row>
    <row r="72" x14ac:dyDescent="0.3">
      <c r="A72" s="5">
        <f t="shared" si="1"/>
        <v>71</v>
      </c>
      <c r="B72" s="5" t="str">
        <f>Ammonia!B24</f>
        <v>Nov '20</v>
      </c>
      <c r="C72" s="16">
        <v>314.04999999999995</v>
      </c>
      <c r="D72" s="18">
        <v>311.01157296654748</v>
      </c>
      <c r="E72" s="16">
        <v>235.0253715024526</v>
      </c>
      <c r="F72" s="16">
        <f>Methanol!C24</f>
        <v>216.26000000000002</v>
      </c>
      <c r="G72" s="16">
        <v>38.799999999999997</v>
      </c>
      <c r="H72" s="16">
        <v>115.2790909090909</v>
      </c>
      <c r="I72" s="16">
        <v>64.900000000000006</v>
      </c>
      <c r="J72" s="16">
        <v>303.0656616981309</v>
      </c>
      <c r="K72" s="16">
        <v>379</v>
      </c>
      <c r="L72" s="19">
        <v>375.1728</v>
      </c>
    </row>
    <row r="73" x14ac:dyDescent="0.3">
      <c r="A73" s="5">
        <f t="shared" si="1"/>
        <v>72</v>
      </c>
      <c r="B73" s="5" t="str">
        <f>Ammonia!B25</f>
        <v>Dec '20</v>
      </c>
      <c r="C73" s="16">
        <v>314.04999999999995</v>
      </c>
      <c r="D73" s="18">
        <v>319.56536299064675</v>
      </c>
      <c r="E73" s="16">
        <v>265.16626586724703</v>
      </c>
      <c r="F73" s="16">
        <f>Methanol!C25</f>
        <v>261.83545454545458</v>
      </c>
      <c r="G73" s="16">
        <v>43.55</v>
      </c>
      <c r="H73" s="16">
        <v>113.93863636363635</v>
      </c>
      <c r="I73" s="16">
        <v>64.099999999999994</v>
      </c>
      <c r="J73" s="16">
        <v>301.60721515267636</v>
      </c>
      <c r="K73" s="16">
        <v>399</v>
      </c>
      <c r="L73" s="19">
        <v>402.11340000000001</v>
      </c>
    </row>
    <row r="74" x14ac:dyDescent="0.3">
      <c r="A74" s="5">
        <f t="shared" si="1"/>
        <v>73</v>
      </c>
      <c r="B74" s="5" t="str">
        <f>Ammonia!B26</f>
        <v>Jan '21</v>
      </c>
      <c r="C74" s="16">
        <v>461.37</v>
      </c>
      <c r="D74" s="18">
        <v>481.06747680100364</v>
      </c>
      <c r="E74" s="16">
        <v>324.05649427753929</v>
      </c>
      <c r="F74" s="16">
        <f>Methanol!C26</f>
        <v>324.83681818181822</v>
      </c>
      <c r="G74" s="16">
        <v>52.79</v>
      </c>
      <c r="H74" s="16">
        <v>119.30045454545456</v>
      </c>
      <c r="I74" s="16">
        <v>63.9</v>
      </c>
      <c r="J74" s="16">
        <v>338.86320338852789</v>
      </c>
      <c r="K74" s="16">
        <v>482</v>
      </c>
      <c r="L74" s="19">
        <v>485.26340000000005</v>
      </c>
    </row>
    <row r="75" x14ac:dyDescent="0.3">
      <c r="A75" s="5">
        <f t="shared" si="1"/>
        <v>74</v>
      </c>
      <c r="B75" s="5" t="str">
        <f>Ammonia!B27</f>
        <v>Feb '21</v>
      </c>
      <c r="C75" s="16">
        <v>461.37</v>
      </c>
      <c r="D75" s="18">
        <v>477.57384683716288</v>
      </c>
      <c r="E75" s="16">
        <v>291.3367039393807</v>
      </c>
      <c r="F75" s="16">
        <f>Methanol!C27</f>
        <v>275.24000000000007</v>
      </c>
      <c r="G75" s="16">
        <v>48.71</v>
      </c>
      <c r="H75" s="16">
        <v>225.19636363636363</v>
      </c>
      <c r="I75" s="16">
        <v>79</v>
      </c>
      <c r="J75" s="16">
        <v>420.03530047943696</v>
      </c>
      <c r="K75" s="16">
        <v>492</v>
      </c>
      <c r="L75" s="19">
        <v>492.24799999999999</v>
      </c>
    </row>
    <row r="76" x14ac:dyDescent="0.3">
      <c r="A76" s="5">
        <f t="shared" si="1"/>
        <v>75</v>
      </c>
      <c r="B76" s="5" t="str">
        <f>Ammonia!B28</f>
        <v>Mar '21</v>
      </c>
      <c r="C76" s="16">
        <v>461.37</v>
      </c>
      <c r="D76" s="18">
        <v>470.87266772510088</v>
      </c>
      <c r="E76" s="16">
        <v>290.34732528159259</v>
      </c>
      <c r="F76" s="16">
        <f>Methanol!C28</f>
        <v>273.89954545454549</v>
      </c>
      <c r="G76" s="16">
        <v>47.18</v>
      </c>
      <c r="H76" s="16">
        <v>114.38545454545455</v>
      </c>
      <c r="I76" s="16">
        <v>70.5</v>
      </c>
      <c r="J76" s="16">
        <v>340.2632593885279</v>
      </c>
      <c r="K76" s="16">
        <v>492</v>
      </c>
      <c r="L76" s="19">
        <v>497.23700000000002</v>
      </c>
    </row>
    <row r="77" x14ac:dyDescent="0.3">
      <c r="A77" s="5">
        <f t="shared" si="1"/>
        <v>76</v>
      </c>
      <c r="B77" s="5" t="str">
        <f>Ammonia!B29</f>
        <v>Apr '21</v>
      </c>
      <c r="C77" s="16">
        <v>485.03000000000003</v>
      </c>
      <c r="D77" s="18">
        <v>499.17080585913067</v>
      </c>
      <c r="E77" s="16">
        <v>320.61623964638704</v>
      </c>
      <c r="F77" s="16">
        <f>Methanol!C29</f>
        <v>319.47500000000002</v>
      </c>
      <c r="G77" s="16">
        <v>53.66</v>
      </c>
      <c r="H77" s="16">
        <v>117.06636363636363</v>
      </c>
      <c r="I77" s="16">
        <v>67.599999999999994</v>
      </c>
      <c r="J77" s="16">
        <v>339.99505247943699</v>
      </c>
      <c r="K77" s="16">
        <v>519</v>
      </c>
      <c r="L77" s="19">
        <v>520.85159999999996</v>
      </c>
    </row>
    <row r="78" x14ac:dyDescent="0.3">
      <c r="A78" s="5">
        <f t="shared" si="1"/>
        <v>77</v>
      </c>
      <c r="B78" s="5" t="str">
        <f>Ammonia!B30</f>
        <v>May '21</v>
      </c>
      <c r="C78" s="16">
        <v>485.03000000000003</v>
      </c>
      <c r="D78" s="18">
        <v>502.77885778022039</v>
      </c>
      <c r="E78" s="16">
        <v>371.99312756995391</v>
      </c>
      <c r="F78" s="16">
        <f>Methanol!C30</f>
        <v>398.11500000000001</v>
      </c>
      <c r="G78" s="16">
        <v>53.33</v>
      </c>
      <c r="H78" s="16">
        <v>129.13045454545457</v>
      </c>
      <c r="I78" s="16">
        <v>67.099999999999994</v>
      </c>
      <c r="J78" s="16">
        <v>347.67101138852792</v>
      </c>
      <c r="K78" s="16">
        <v>542</v>
      </c>
      <c r="L78" s="19">
        <v>539.14459999999997</v>
      </c>
    </row>
    <row r="79" x14ac:dyDescent="0.3">
      <c r="A79" s="5">
        <f t="shared" si="1"/>
        <v>78</v>
      </c>
      <c r="B79" s="5" t="str">
        <f>Ammonia!B31</f>
        <v>Jun '21</v>
      </c>
      <c r="C79" s="16">
        <v>485.03000000000003</v>
      </c>
      <c r="D79" s="18">
        <v>505.38464623533594</v>
      </c>
      <c r="E79" s="16">
        <v>414.12767871413462</v>
      </c>
      <c r="F79" s="16">
        <f>Methanol!C31</f>
        <v>460.22272727272735</v>
      </c>
      <c r="G79" s="16">
        <v>74.13</v>
      </c>
      <c r="H79" s="16">
        <v>144.76909090909092</v>
      </c>
      <c r="I79" s="16">
        <v>72.8</v>
      </c>
      <c r="J79" s="16">
        <v>362.1145477521643</v>
      </c>
      <c r="K79" s="16">
        <v>542</v>
      </c>
      <c r="L79" s="19">
        <v>539.14459999999997</v>
      </c>
    </row>
    <row r="80" x14ac:dyDescent="0.3">
      <c r="A80" s="5">
        <f t="shared" si="1"/>
        <v>79</v>
      </c>
      <c r="B80" s="5" t="str">
        <f>Ammonia!B32</f>
        <v>Jul '21</v>
      </c>
      <c r="C80" s="16">
        <v>485.03000000000003</v>
      </c>
      <c r="D80" s="18">
        <v>479.15994057644423</v>
      </c>
      <c r="E80" s="16">
        <v>479.20120650452259</v>
      </c>
      <c r="F80" s="16">
        <f>Methanol!C32</f>
        <v>558.96954545454548</v>
      </c>
      <c r="G80" s="16">
        <v>81.290000000000006</v>
      </c>
      <c r="H80" s="16">
        <v>169.34409090909091</v>
      </c>
      <c r="I80" s="16">
        <v>75.199999999999989</v>
      </c>
      <c r="J80" s="16">
        <v>380.17038775216429</v>
      </c>
      <c r="K80" s="16">
        <v>542</v>
      </c>
      <c r="L80" s="19">
        <v>539.14459999999997</v>
      </c>
    </row>
    <row r="81" x14ac:dyDescent="0.3">
      <c r="A81" s="5">
        <f t="shared" si="1"/>
        <v>80</v>
      </c>
      <c r="B81" s="5" t="str">
        <f>Ammonia!B33</f>
        <v>Aug '21</v>
      </c>
      <c r="C81" s="16">
        <v>485.03000000000003</v>
      </c>
      <c r="D81" s="18">
        <v>476.34698821660021</v>
      </c>
      <c r="E81" s="16">
        <v>564.59312919589479</v>
      </c>
      <c r="F81" s="16">
        <f>Methanol!C33</f>
        <v>689.4404545454546</v>
      </c>
      <c r="G81" s="16">
        <v>82.81</v>
      </c>
      <c r="H81" s="16">
        <v>180.96136363636361</v>
      </c>
      <c r="I81" s="16">
        <v>76.399999999999991</v>
      </c>
      <c r="J81" s="16">
        <v>388.75220447943695</v>
      </c>
      <c r="K81" s="16">
        <v>542</v>
      </c>
      <c r="L81" s="19">
        <v>539.14459999999997</v>
      </c>
    </row>
    <row r="82" x14ac:dyDescent="0.3">
      <c r="A82" s="5">
        <f t="shared" si="1"/>
        <v>81</v>
      </c>
      <c r="B82" s="5" t="str">
        <f>Ammonia!B34</f>
        <v>Sep '21</v>
      </c>
      <c r="C82" s="16">
        <v>485.03000000000003</v>
      </c>
      <c r="D82" s="18">
        <v>478.0075562940039</v>
      </c>
      <c r="E82" s="16">
        <v>784.37353766954857</v>
      </c>
      <c r="F82" s="16">
        <f>Methanol!C34</f>
        <v>1020.5327272727274</v>
      </c>
      <c r="G82" s="16">
        <v>128.34</v>
      </c>
      <c r="H82" s="16">
        <v>228.32409090909093</v>
      </c>
      <c r="I82" s="16">
        <v>76.900000000000006</v>
      </c>
      <c r="J82" s="16">
        <v>420.6307357521643</v>
      </c>
      <c r="K82" s="16">
        <v>592</v>
      </c>
      <c r="L82" s="19">
        <v>594.02359999999999</v>
      </c>
    </row>
    <row r="83" x14ac:dyDescent="0.3">
      <c r="A83" s="5">
        <f t="shared" si="1"/>
        <v>82</v>
      </c>
      <c r="B83" s="5" t="str">
        <f>Ammonia!B35</f>
        <v>Oct '21</v>
      </c>
      <c r="C83" s="16">
        <v>579.67000000000007</v>
      </c>
      <c r="D83" s="18">
        <v>571.14257525689652</v>
      </c>
      <c r="E83" s="16">
        <v>1024.9777570175509</v>
      </c>
      <c r="F83" s="16">
        <f>Methanol!C35</f>
        <v>1387.3704545454545</v>
      </c>
      <c r="G83" s="16">
        <v>139.54</v>
      </c>
      <c r="H83" s="16">
        <v>244.85636363636365</v>
      </c>
      <c r="I83" s="16">
        <v>75.3</v>
      </c>
      <c r="J83" s="16">
        <v>430.50213647943701</v>
      </c>
      <c r="K83" s="16">
        <v>609</v>
      </c>
      <c r="L83" s="19">
        <v>607.66019999999992</v>
      </c>
    </row>
    <row r="84" x14ac:dyDescent="0.3">
      <c r="A84" s="5">
        <f t="shared" si="1"/>
        <v>83</v>
      </c>
      <c r="B84" s="5" t="str">
        <f>Ammonia!B36</f>
        <v>Nov '21</v>
      </c>
      <c r="C84" s="16">
        <v>579.67000000000007</v>
      </c>
      <c r="D84" s="18">
        <v>553.75539798554973</v>
      </c>
      <c r="E84" s="16">
        <v>927.52015714378138</v>
      </c>
      <c r="F84" s="16">
        <f>Methanol!C36</f>
        <v>1234.1118181818183</v>
      </c>
      <c r="G84" s="16">
        <v>176.25</v>
      </c>
      <c r="H84" s="16">
        <v>224.30272727272725</v>
      </c>
      <c r="I84" s="16">
        <v>74.599999999999994</v>
      </c>
      <c r="J84" s="16">
        <v>416.32617611580059</v>
      </c>
      <c r="K84" s="16">
        <v>692</v>
      </c>
      <c r="L84" s="19">
        <v>680.83219999999994</v>
      </c>
    </row>
    <row r="85" x14ac:dyDescent="0.3">
      <c r="A85" s="5">
        <f t="shared" si="1"/>
        <v>84</v>
      </c>
      <c r="B85" s="5" t="str">
        <f>Ammonia!B37</f>
        <v>Dec '21</v>
      </c>
      <c r="C85" s="16">
        <v>579.67000000000007</v>
      </c>
      <c r="D85" s="18">
        <v>548.1987824005929</v>
      </c>
      <c r="E85" s="16">
        <v>1234.8557513962423</v>
      </c>
      <c r="F85" s="16">
        <f>Methanol!C37</f>
        <v>1699.2495454545456</v>
      </c>
      <c r="G85" s="16">
        <v>220.96</v>
      </c>
      <c r="H85" s="16">
        <v>166.66318181818181</v>
      </c>
      <c r="I85" s="16">
        <v>72.599999999999994</v>
      </c>
      <c r="J85" s="16">
        <v>376.54569466125514</v>
      </c>
      <c r="K85" s="16">
        <v>642</v>
      </c>
      <c r="L85" s="19">
        <v>645.90919999999994</v>
      </c>
    </row>
    <row r="86" x14ac:dyDescent="0.3">
      <c r="A86" s="5">
        <f t="shared" si="1"/>
        <v>85</v>
      </c>
      <c r="B86" s="5" t="str">
        <f>Ammonia!B38</f>
        <v>Jan '22</v>
      </c>
      <c r="C86" s="16">
        <v>571.71050000000002</v>
      </c>
      <c r="D86" s="18">
        <v>560.57775942232342</v>
      </c>
      <c r="E86" s="16">
        <v>962.26814598119142</v>
      </c>
      <c r="F86" s="16">
        <f>Methanol!C38</f>
        <v>1262.7081818181821</v>
      </c>
      <c r="G86" s="16">
        <v>167.87</v>
      </c>
      <c r="H86" s="16">
        <v>193.47227272727275</v>
      </c>
      <c r="I86" s="16">
        <v>73</v>
      </c>
      <c r="J86" s="16">
        <v>427.38211242223338</v>
      </c>
      <c r="K86" s="16">
        <v>619</v>
      </c>
      <c r="L86" s="19">
        <v>614.64479999999992</v>
      </c>
    </row>
    <row r="87" x14ac:dyDescent="0.3">
      <c r="A87" s="5">
        <f t="shared" si="1"/>
        <v>86</v>
      </c>
      <c r="B87" s="5" t="str">
        <f>Ammonia!B39</f>
        <v>Feb '22</v>
      </c>
      <c r="C87" s="16">
        <v>572.77100000000007</v>
      </c>
      <c r="D87" s="18">
        <v>561.67806783083381</v>
      </c>
      <c r="E87" s="16">
        <v>929.29403873046761</v>
      </c>
      <c r="F87" s="16">
        <f>Methanol!C39</f>
        <v>1216.6859090909093</v>
      </c>
      <c r="G87" s="16">
        <v>128.78</v>
      </c>
      <c r="H87" s="16">
        <v>208.21727272727273</v>
      </c>
      <c r="I87" s="16">
        <v>74.599999999999994</v>
      </c>
      <c r="J87" s="16">
        <v>438.32886442223338</v>
      </c>
      <c r="K87" s="16">
        <v>619</v>
      </c>
      <c r="L87" s="19">
        <v>616.64039999999989</v>
      </c>
    </row>
    <row r="88" x14ac:dyDescent="0.3">
      <c r="A88" s="5">
        <f t="shared" si="1"/>
        <v>87</v>
      </c>
      <c r="B88" s="5" t="str">
        <f>Ammonia!B40</f>
        <v>Mar '22</v>
      </c>
      <c r="C88" s="16">
        <v>555.803</v>
      </c>
      <c r="D88" s="18">
        <v>546.31123213745491</v>
      </c>
      <c r="E88" s="16">
        <v>1381.1467337993734</v>
      </c>
      <c r="F88" s="16">
        <f>Methanol!C40</f>
        <v>1894.062272727273</v>
      </c>
      <c r="G88" s="16">
        <v>251.76</v>
      </c>
      <c r="H88" s="16">
        <v>218.04727272727271</v>
      </c>
      <c r="I88" s="16">
        <v>75</v>
      </c>
      <c r="J88" s="16">
        <v>445.15483242223337</v>
      </c>
      <c r="K88" s="16">
        <v>619</v>
      </c>
      <c r="L88" s="19">
        <v>616.64039999999989</v>
      </c>
      <c r="P88" s="2"/>
    </row>
    <row r="89" x14ac:dyDescent="0.3">
      <c r="A89" s="5">
        <f t="shared" si="1"/>
        <v>88</v>
      </c>
      <c r="B89" s="5" t="str">
        <f>Ammonia!B41</f>
        <v>Apr '22</v>
      </c>
      <c r="C89" s="16">
        <v>616.39799999999991</v>
      </c>
      <c r="D89" s="18">
        <v>593.28381317142498</v>
      </c>
      <c r="E89" s="16">
        <v>1077.1986030373582</v>
      </c>
      <c r="F89" s="16">
        <f>Methanol!C41</f>
        <v>1438.7545454545457</v>
      </c>
      <c r="G89" s="16">
        <v>166</v>
      </c>
      <c r="H89" s="21">
        <v>291.77227272727276</v>
      </c>
      <c r="I89" s="16">
        <v>78.3</v>
      </c>
      <c r="J89" s="16">
        <v>496.56193242223344</v>
      </c>
      <c r="K89" s="16">
        <v>659</v>
      </c>
      <c r="L89" s="19">
        <v>659.54579999999999</v>
      </c>
      <c r="P89" s="2"/>
    </row>
    <row r="90" x14ac:dyDescent="0.3">
      <c r="A90" s="5">
        <f t="shared" si="1"/>
        <v>89</v>
      </c>
      <c r="B90" s="5" t="str">
        <f>Ammonia!B42</f>
        <v>May '22</v>
      </c>
      <c r="C90" s="16">
        <v>602.88900000000001</v>
      </c>
      <c r="D90" s="18">
        <v>580.94128612430006</v>
      </c>
      <c r="E90" s="16">
        <v>989.55831860076296</v>
      </c>
      <c r="F90" s="16">
        <f>Methanol!C42</f>
        <v>1303.3686363636366</v>
      </c>
      <c r="G90" s="16">
        <v>177.51</v>
      </c>
      <c r="H90" s="21">
        <v>363.71000000000004</v>
      </c>
      <c r="I90" s="16">
        <v>83.5</v>
      </c>
      <c r="J90" s="16">
        <v>548.12424369496068</v>
      </c>
      <c r="K90" s="16">
        <v>639</v>
      </c>
      <c r="L90" s="19">
        <v>633.60299999999995</v>
      </c>
      <c r="P90" s="2"/>
    </row>
    <row r="91" x14ac:dyDescent="0.3">
      <c r="A91" s="5">
        <f t="shared" si="1"/>
        <v>90</v>
      </c>
      <c r="B91" s="5" t="str">
        <f>Ammonia!B43</f>
        <v>Jun '22</v>
      </c>
      <c r="C91" s="16">
        <v>602.31899999999996</v>
      </c>
      <c r="D91" s="18">
        <v>583.2060910484638</v>
      </c>
      <c r="E91" s="16">
        <v>1120.779115523751</v>
      </c>
      <c r="F91" s="16">
        <f>Methanol!C43</f>
        <v>1499.5218181818184</v>
      </c>
      <c r="G91" s="16">
        <v>218.18</v>
      </c>
      <c r="H91" s="21">
        <v>342.70954545454543</v>
      </c>
      <c r="I91" s="16">
        <v>89.600000000000009</v>
      </c>
      <c r="J91" s="16">
        <v>538.46392114950618</v>
      </c>
      <c r="K91" s="16">
        <v>615</v>
      </c>
      <c r="L91" s="19">
        <v>610.32100000000003</v>
      </c>
      <c r="P91" s="2"/>
    </row>
    <row r="92" x14ac:dyDescent="0.3">
      <c r="A92" s="5">
        <f t="shared" si="1"/>
        <v>91</v>
      </c>
      <c r="B92" s="5" t="str">
        <f>Ammonia!B44</f>
        <v>Jul '22</v>
      </c>
      <c r="C92" s="16">
        <v>565.98900000000003</v>
      </c>
      <c r="D92" s="18">
        <v>533.79842732499765</v>
      </c>
      <c r="E92" s="16">
        <v>1646.9410138202186</v>
      </c>
      <c r="F92" s="16">
        <f>Methanol!C44</f>
        <v>2293.5177272727274</v>
      </c>
      <c r="G92" s="16">
        <v>315.26</v>
      </c>
      <c r="H92" s="21">
        <v>324.39</v>
      </c>
      <c r="I92" s="16">
        <v>94.3</v>
      </c>
      <c r="J92" s="16">
        <v>529.59709169496068</v>
      </c>
      <c r="K92" s="16">
        <v>605</v>
      </c>
      <c r="L92" s="19">
        <v>600.34299999999996</v>
      </c>
      <c r="P92" s="2"/>
    </row>
    <row r="93" x14ac:dyDescent="0.3">
      <c r="A93" s="5">
        <f t="shared" si="1"/>
        <v>92</v>
      </c>
      <c r="B93" s="5" t="str">
        <f>Ammonia!B45</f>
        <v>Aug '22</v>
      </c>
      <c r="C93" s="16">
        <v>561.60450000000003</v>
      </c>
      <c r="D93" s="18">
        <v>528.59238968608929</v>
      </c>
      <c r="E93" s="16">
        <v>2204.7746233940466</v>
      </c>
      <c r="F93" s="16">
        <f>Methanol!C45</f>
        <v>3129.5145454545459</v>
      </c>
      <c r="G93" s="16">
        <v>469.35</v>
      </c>
      <c r="H93" s="21">
        <v>392.75318181818182</v>
      </c>
      <c r="I93" s="16">
        <v>97.2</v>
      </c>
      <c r="J93" s="16">
        <v>577.15224551314259</v>
      </c>
      <c r="K93" s="16">
        <v>595</v>
      </c>
      <c r="L93" s="19">
        <v>593.35840000000007</v>
      </c>
      <c r="P93" s="2"/>
    </row>
    <row r="94" x14ac:dyDescent="0.3">
      <c r="A94" s="5">
        <f t="shared" si="1"/>
        <v>93</v>
      </c>
      <c r="B94" s="5" t="str">
        <f>Ammonia!B46</f>
        <v>Sep '22</v>
      </c>
      <c r="C94" s="16">
        <v>550.17149999999992</v>
      </c>
      <c r="D94" s="18">
        <v>523.62380583532217</v>
      </c>
      <c r="E94" s="16">
        <v>1877.1901861873291</v>
      </c>
      <c r="F94" s="16">
        <f>Methanol!C46</f>
        <v>2640.6954545454546</v>
      </c>
      <c r="G94" s="24">
        <v>360.18</v>
      </c>
      <c r="H94" s="21">
        <v>315.67704545454546</v>
      </c>
      <c r="I94" s="16">
        <v>97.2</v>
      </c>
      <c r="J94" s="16">
        <v>525.85036914950615</v>
      </c>
      <c r="K94" s="16">
        <v>585</v>
      </c>
      <c r="L94" s="19">
        <v>589.36720000000003</v>
      </c>
      <c r="P94" s="2"/>
    </row>
    <row r="95" x14ac:dyDescent="0.3">
      <c r="A95" s="5">
        <f t="shared" si="1"/>
        <v>94</v>
      </c>
      <c r="B95" s="5" t="s">
        <v>175</v>
      </c>
      <c r="C95" s="16">
        <v>501.59</v>
      </c>
      <c r="D95" s="18">
        <v>506.89574316227851</v>
      </c>
      <c r="E95" s="16">
        <v>1275.7703912411798</v>
      </c>
      <c r="F95" s="16">
        <f>Methanol!C47</f>
        <v>1743.4845454545457</v>
      </c>
      <c r="G95" s="24">
        <v>157.78</v>
      </c>
      <c r="H95" s="23"/>
    </row>
    <row r="96" x14ac:dyDescent="0.3">
      <c r="A96" s="5">
        <f t="shared" si="1"/>
        <v>95</v>
      </c>
      <c r="B96" s="5" t="s">
        <v>176</v>
      </c>
      <c r="C96" s="16">
        <v>521.58000000000004</v>
      </c>
      <c r="D96" s="18"/>
      <c r="E96" s="16">
        <v>1180.7005188844921</v>
      </c>
      <c r="F96" s="16">
        <f>Methanol!C48</f>
        <v>1596.0345454545457</v>
      </c>
      <c r="G96" s="24">
        <v>175.45</v>
      </c>
      <c r="H96" s="23"/>
    </row>
  </sheetData>
  <phoneticPr fontId="57" type="noConversion"/>
  <conditionalFormatting sqref="P8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{64C6DED1-078A-4E01-9F7D-293036EE2B73}</x14:id>
        </ext>
      </extLst>
    </cfRule>
  </conditionalFormatting>
  <conditionalFormatting sqref="P89:P9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{0E10D820-1279-4CD5-83C2-6AE444DB7622}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C6DED1-078A-4E01-9F7D-293036EE2B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P88</xm:sqref>
        </x14:conditionalFormatting>
        <x14:conditionalFormatting xmlns:xm="http://schemas.microsoft.com/office/excel/2006/main">
          <x14:cfRule type="dataBar" id="{0E10D820-1279-4CD5-83C2-6AE444DB76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P89:P94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8"/>
  <sheetViews>
    <sheetView workbookViewId="0">
      <selection activeCell="I31" sqref="I31"/>
    </sheetView>
  </sheetViews>
  <sheetFormatPr defaultRowHeight="14.4" x14ac:dyDescent="0.3"/>
  <cols>
    <col min="2" max="2" width="11.7109375" customWidth="true"/>
    <col min="28" max="28" width="10.6640625" customWidth="true"/>
    <col min="29" max="40" width="11.6640625" customWidth="true"/>
    <col min="41" max="41" width="10.6640625" customWidth="true"/>
    <col min="42" max="51" width="11.6640625" customWidth="true"/>
    <col min="3" max="3" width="11.7109375" customWidth="true"/>
    <col min="4" max="4" width="11.7109375" customWidth="true"/>
    <col min="5" max="27" width="11.6640625" customWidth="true"/>
  </cols>
  <sheetData>
    <row r="1" x14ac:dyDescent="0.3">
      <c r="A1" t="s">
        <v>107</v>
      </c>
      <c r="B1" t="s">
        <v>44</v>
      </c>
      <c r="C1" t="s">
        <v>178</v>
      </c>
      <c r="D1" t="s">
        <v>91</v>
      </c>
      <c r="E1" t="s">
        <v>92</v>
      </c>
    </row>
    <row r="2" x14ac:dyDescent="0.3">
      <c r="A2">
        <v>1</v>
      </c>
      <c r="B2" s="1">
        <v>263.11674051000136</v>
      </c>
      <c r="C2" s="0">
        <v>162.34174051000139</v>
      </c>
      <c r="D2" s="0">
        <v>363.89174051000134</v>
      </c>
      <c r="E2">
        <v>363.89174051000134</v>
      </c>
    </row>
    <row r="3" x14ac:dyDescent="0.3">
      <c r="A3">
        <f>A2+1</f>
        <v>2</v>
      </c>
      <c r="B3" s="1">
        <v>254.10794318671026</v>
      </c>
      <c r="C3" s="0">
        <v>153.33294318671028</v>
      </c>
      <c r="D3" s="0">
        <v>354.88294318671024</v>
      </c>
      <c r="E3">
        <v>354.88294318671024</v>
      </c>
    </row>
    <row r="4" x14ac:dyDescent="0.3">
      <c r="A4">
        <f t="shared" ref="A4:A48" si="0">A3+1</f>
        <v>3</v>
      </c>
      <c r="B4" s="1">
        <v>248.31158521901131</v>
      </c>
      <c r="C4" s="0">
        <v>147.53658521901133</v>
      </c>
      <c r="D4" s="0">
        <v>349.08658521901128</v>
      </c>
      <c r="E4">
        <v>349.08658521901128</v>
      </c>
    </row>
    <row r="5" x14ac:dyDescent="0.3">
      <c r="A5">
        <f t="shared" si="0"/>
        <v>4</v>
      </c>
      <c r="B5" s="1">
        <v>246.49585862672009</v>
      </c>
      <c r="C5" s="0">
        <v>145.72085862672012</v>
      </c>
      <c r="D5" s="0">
        <v>347.27085862672004</v>
      </c>
      <c r="E5">
        <v>347.27085862672004</v>
      </c>
    </row>
    <row r="6" x14ac:dyDescent="0.3">
      <c r="A6">
        <f t="shared" si="0"/>
        <v>5</v>
      </c>
      <c r="B6" s="1">
        <v>242.44539161314734</v>
      </c>
      <c r="C6" s="0">
        <v>141.67039161314736</v>
      </c>
      <c r="D6" s="0">
        <v>343.22039161314729</v>
      </c>
      <c r="E6">
        <v>343.22039161314729</v>
      </c>
    </row>
    <row r="7" x14ac:dyDescent="0.3">
      <c r="A7">
        <f t="shared" si="0"/>
        <v>6</v>
      </c>
      <c r="B7" s="1">
        <v>237.20771875076878</v>
      </c>
      <c r="C7" s="0">
        <v>136.4327187507688</v>
      </c>
      <c r="D7" s="0">
        <v>337.98271875076875</v>
      </c>
      <c r="E7">
        <v>337.98271875076875</v>
      </c>
    </row>
    <row r="8" x14ac:dyDescent="0.3">
      <c r="A8">
        <f t="shared" si="0"/>
        <v>7</v>
      </c>
      <c r="B8" s="1">
        <v>237.41722566526391</v>
      </c>
      <c r="C8" s="0">
        <v>136.64222566526394</v>
      </c>
      <c r="D8" s="0">
        <v>338.19222566526389</v>
      </c>
      <c r="E8">
        <v>338.19222566526389</v>
      </c>
    </row>
    <row r="9" x14ac:dyDescent="0.3">
      <c r="A9">
        <f t="shared" si="0"/>
        <v>8</v>
      </c>
      <c r="B9" s="1">
        <v>237.83623949425422</v>
      </c>
      <c r="C9" s="0">
        <v>137.06123949425424</v>
      </c>
      <c r="D9" s="0">
        <v>338.61123949425416</v>
      </c>
      <c r="E9">
        <v>338.61123949425416</v>
      </c>
    </row>
    <row r="10" x14ac:dyDescent="0.3">
      <c r="A10">
        <f t="shared" si="0"/>
        <v>9</v>
      </c>
      <c r="B10" s="1">
        <v>241.53752831700172</v>
      </c>
      <c r="C10" s="0">
        <v>140.76252831700174</v>
      </c>
      <c r="D10" s="0">
        <v>342.31252831700169</v>
      </c>
      <c r="E10">
        <v>342.31252831700169</v>
      </c>
    </row>
    <row r="11" x14ac:dyDescent="0.3">
      <c r="A11">
        <f t="shared" si="0"/>
        <v>10</v>
      </c>
      <c r="B11" s="1">
        <v>247.47355756103076</v>
      </c>
      <c r="C11" s="0">
        <v>146.69855756103078</v>
      </c>
      <c r="D11" s="0">
        <v>348.24855756103074</v>
      </c>
      <c r="E11">
        <v>348.24855756103074</v>
      </c>
    </row>
    <row r="12" x14ac:dyDescent="0.3">
      <c r="A12">
        <f t="shared" si="0"/>
        <v>11</v>
      </c>
      <c r="B12" s="1">
        <v>248.10207830451617</v>
      </c>
      <c r="C12" s="0">
        <v>147.32707830451619</v>
      </c>
      <c r="D12" s="0">
        <v>348.87707830451615</v>
      </c>
      <c r="E12">
        <v>348.87707830451615</v>
      </c>
    </row>
    <row r="13" x14ac:dyDescent="0.3">
      <c r="A13">
        <f t="shared" si="0"/>
        <v>12</v>
      </c>
      <c r="B13" s="1">
        <v>244.40078948176867</v>
      </c>
      <c r="C13" s="0">
        <v>143.62578948176869</v>
      </c>
      <c r="D13" s="0">
        <v>345.17578948176862</v>
      </c>
      <c r="E13">
        <v>345.17578948176862</v>
      </c>
    </row>
    <row r="14" x14ac:dyDescent="0.3">
      <c r="A14">
        <f t="shared" si="0"/>
        <v>13</v>
      </c>
      <c r="B14" s="1">
        <v>233.54114362682071</v>
      </c>
      <c r="C14" s="0">
        <v>134.64064156920756</v>
      </c>
      <c r="D14" s="0">
        <v>332.44164568443387</v>
      </c>
      <c r="E14">
        <v>332.44164568443387</v>
      </c>
    </row>
    <row r="15" x14ac:dyDescent="0.3">
      <c r="A15">
        <f t="shared" si="0"/>
        <v>14</v>
      </c>
      <c r="B15" s="1">
        <v>228.51297767893729</v>
      </c>
      <c r="C15" s="0">
        <v>129.61247562132414</v>
      </c>
      <c r="D15" s="0">
        <v>327.41347973655047</v>
      </c>
      <c r="E15">
        <v>327.41347973655047</v>
      </c>
    </row>
    <row r="16" x14ac:dyDescent="0.3">
      <c r="A16">
        <f t="shared" si="0"/>
        <v>15</v>
      </c>
      <c r="B16" s="1">
        <v>227.1861005538014</v>
      </c>
      <c r="C16" s="0">
        <v>128.28559849618824</v>
      </c>
      <c r="D16" s="0">
        <v>326.08660261141455</v>
      </c>
      <c r="E16">
        <v>326.08660261141455</v>
      </c>
    </row>
    <row r="17" x14ac:dyDescent="0.3">
      <c r="A17">
        <f t="shared" si="0"/>
        <v>16</v>
      </c>
      <c r="B17" s="1">
        <v>222.99596226389855</v>
      </c>
      <c r="C17" s="0">
        <v>124.0954602062854</v>
      </c>
      <c r="D17" s="0">
        <v>321.8964643215117</v>
      </c>
      <c r="E17">
        <v>321.8964643215117</v>
      </c>
    </row>
    <row r="18" x14ac:dyDescent="0.3">
      <c r="A18">
        <f t="shared" si="0"/>
        <v>17</v>
      </c>
      <c r="B18" s="1">
        <v>219.22483780298597</v>
      </c>
      <c r="C18" s="0">
        <v>120.32433574537284</v>
      </c>
      <c r="D18" s="0">
        <v>318.12533986059913</v>
      </c>
      <c r="E18">
        <v>318.12533986059913</v>
      </c>
    </row>
    <row r="19" x14ac:dyDescent="0.3">
      <c r="A19">
        <f t="shared" si="0"/>
        <v>18</v>
      </c>
      <c r="B19" s="1">
        <v>220.41204365179181</v>
      </c>
      <c r="C19" s="0">
        <v>121.51154159417864</v>
      </c>
      <c r="D19" s="0">
        <v>319.31254570940496</v>
      </c>
      <c r="E19">
        <v>319.31254570940496</v>
      </c>
    </row>
    <row r="20" x14ac:dyDescent="0.3">
      <c r="A20">
        <f t="shared" si="0"/>
        <v>19</v>
      </c>
      <c r="B20" s="1">
        <v>220.76122184261703</v>
      </c>
      <c r="C20" s="0">
        <v>121.86071978500388</v>
      </c>
      <c r="D20" s="0">
        <v>319.66172390023019</v>
      </c>
      <c r="E20">
        <v>319.66172390023019</v>
      </c>
    </row>
    <row r="21" x14ac:dyDescent="0.3">
      <c r="A21">
        <f t="shared" si="0"/>
        <v>20</v>
      </c>
      <c r="B21" s="1">
        <v>228.16379948811206</v>
      </c>
      <c r="C21" s="0">
        <v>129.26329743049891</v>
      </c>
      <c r="D21" s="0">
        <v>327.06430154572519</v>
      </c>
      <c r="E21">
        <v>327.06430154572519</v>
      </c>
    </row>
    <row r="22" x14ac:dyDescent="0.3">
      <c r="A22">
        <f t="shared" si="0"/>
        <v>21</v>
      </c>
      <c r="B22" s="1">
        <v>235.77588404810223</v>
      </c>
      <c r="C22" s="0">
        <v>136.87538199048907</v>
      </c>
      <c r="D22" s="0">
        <v>334.67638610571538</v>
      </c>
      <c r="E22">
        <v>334.67638610571538</v>
      </c>
    </row>
    <row r="23" x14ac:dyDescent="0.3">
      <c r="A23">
        <f t="shared" si="0"/>
        <v>22</v>
      </c>
      <c r="B23" s="1">
        <v>242.34043403561668</v>
      </c>
      <c r="C23" s="0">
        <v>143.43993197800353</v>
      </c>
      <c r="D23" s="0">
        <v>341.24093609322983</v>
      </c>
      <c r="E23">
        <v>341.24093609322983</v>
      </c>
    </row>
    <row r="24" x14ac:dyDescent="0.3">
      <c r="A24">
        <f t="shared" si="0"/>
        <v>23</v>
      </c>
      <c r="B24" s="1">
        <v>241.99125584479145</v>
      </c>
      <c r="C24" s="0">
        <v>143.0907537871783</v>
      </c>
      <c r="D24" s="0">
        <v>340.89175790240461</v>
      </c>
      <c r="E24">
        <v>340.89175790240461</v>
      </c>
    </row>
    <row r="25" x14ac:dyDescent="0.3">
      <c r="A25">
        <f t="shared" si="0"/>
        <v>24</v>
      </c>
      <c r="B25" s="1">
        <v>249.11449093762627</v>
      </c>
      <c r="C25" s="0">
        <v>150.21398888001312</v>
      </c>
      <c r="D25" s="0">
        <v>348.01499299523942</v>
      </c>
      <c r="E25">
        <v>348.01499299523942</v>
      </c>
    </row>
    <row r="26" x14ac:dyDescent="0.3">
      <c r="A26">
        <f t="shared" si="0"/>
        <v>25</v>
      </c>
      <c r="B26" s="1">
        <v>298.00145717950039</v>
      </c>
      <c r="C26" s="0">
        <v>180.55503742641397</v>
      </c>
      <c r="D26" s="0">
        <v>415.44787693258678</v>
      </c>
      <c r="E26">
        <v>415.44787693258678</v>
      </c>
    </row>
    <row r="27" x14ac:dyDescent="0.3">
      <c r="A27">
        <f t="shared" si="0"/>
        <v>26</v>
      </c>
      <c r="B27" s="1">
        <v>290.24970134318011</v>
      </c>
      <c r="C27" s="0">
        <v>172.80328159009372</v>
      </c>
      <c r="D27" s="0">
        <v>407.69612109626649</v>
      </c>
      <c r="E27">
        <v>407.69612109626649</v>
      </c>
    </row>
    <row r="28" x14ac:dyDescent="0.3">
      <c r="A28">
        <f t="shared" si="0"/>
        <v>27</v>
      </c>
      <c r="B28" s="1">
        <v>290.04019442868497</v>
      </c>
      <c r="C28" s="0">
        <v>172.59377467559855</v>
      </c>
      <c r="D28" s="0">
        <v>407.48661418177136</v>
      </c>
      <c r="E28">
        <v>407.48661418177136</v>
      </c>
    </row>
    <row r="29" x14ac:dyDescent="0.3">
      <c r="A29">
        <f t="shared" si="0"/>
        <v>28</v>
      </c>
      <c r="B29" s="1">
        <v>297.16342952151979</v>
      </c>
      <c r="C29" s="0">
        <v>179.7170097684334</v>
      </c>
      <c r="D29" s="0">
        <v>414.60984927460618</v>
      </c>
      <c r="E29">
        <v>414.60984927460618</v>
      </c>
    </row>
    <row r="30" x14ac:dyDescent="0.3">
      <c r="A30">
        <f t="shared" si="0"/>
        <v>29</v>
      </c>
      <c r="B30" s="1">
        <v>309.45450183856815</v>
      </c>
      <c r="C30" s="0">
        <v>192.00808208548173</v>
      </c>
      <c r="D30" s="0">
        <v>426.90092159165454</v>
      </c>
      <c r="E30">
        <v>426.90092159165454</v>
      </c>
    </row>
    <row r="31" x14ac:dyDescent="0.3">
      <c r="A31">
        <f t="shared" si="0"/>
        <v>30</v>
      </c>
      <c r="B31" s="1">
        <v>319.16165554350977</v>
      </c>
      <c r="C31" s="0">
        <v>201.71523579042332</v>
      </c>
      <c r="D31" s="0">
        <v>436.60807529659616</v>
      </c>
      <c r="E31">
        <v>436.60807529659616</v>
      </c>
    </row>
    <row r="32" x14ac:dyDescent="0.3">
      <c r="A32">
        <f t="shared" si="0"/>
        <v>31</v>
      </c>
      <c r="B32" s="1">
        <v>334.59533157798523</v>
      </c>
      <c r="C32" s="0">
        <v>217.14891182489882</v>
      </c>
      <c r="D32" s="0">
        <v>452.04175133107162</v>
      </c>
      <c r="E32">
        <v>452.04175133107162</v>
      </c>
    </row>
    <row r="33" x14ac:dyDescent="0.3">
      <c r="A33">
        <f t="shared" si="0"/>
        <v>32</v>
      </c>
      <c r="B33" s="1">
        <v>354.98733792217911</v>
      </c>
      <c r="C33" s="0">
        <v>237.54091816909266</v>
      </c>
      <c r="D33" s="0">
        <v>472.4337576752655</v>
      </c>
      <c r="E33">
        <v>472.4337576752655</v>
      </c>
    </row>
    <row r="34" x14ac:dyDescent="0.3">
      <c r="A34">
        <f t="shared" si="0"/>
        <v>33</v>
      </c>
      <c r="B34" s="1">
        <v>406.73554580247924</v>
      </c>
      <c r="C34" s="0">
        <v>289.28912604939279</v>
      </c>
      <c r="D34" s="0">
        <v>524.18196555556563</v>
      </c>
      <c r="E34">
        <v>524.18196555556563</v>
      </c>
    </row>
    <row r="35" x14ac:dyDescent="0.3">
      <c r="A35">
        <f t="shared" si="0"/>
        <v>34</v>
      </c>
      <c r="B35" s="1">
        <v>464.07060473598312</v>
      </c>
      <c r="C35" s="0">
        <v>346.62418498289674</v>
      </c>
      <c r="D35" s="0">
        <v>581.51702448906951</v>
      </c>
      <c r="E35">
        <v>581.51702448906951</v>
      </c>
    </row>
    <row r="36" x14ac:dyDescent="0.3">
      <c r="A36">
        <f t="shared" si="0"/>
        <v>35</v>
      </c>
      <c r="B36" s="1">
        <v>440.11698084537187</v>
      </c>
      <c r="C36" s="0">
        <v>322.67056109228542</v>
      </c>
      <c r="D36" s="0">
        <v>557.5634005984582</v>
      </c>
      <c r="E36">
        <v>557.5634005984582</v>
      </c>
    </row>
    <row r="37" x14ac:dyDescent="0.3">
      <c r="A37">
        <f t="shared" si="0"/>
        <v>36</v>
      </c>
      <c r="B37" s="1">
        <v>512.81588017518629</v>
      </c>
      <c r="C37" s="0">
        <v>395.36946042209979</v>
      </c>
      <c r="D37" s="0">
        <v>630.26229992827257</v>
      </c>
      <c r="E37">
        <v>630.26229992827257</v>
      </c>
    </row>
    <row r="38" x14ac:dyDescent="0.3">
      <c r="A38">
        <f t="shared" si="0"/>
        <v>37</v>
      </c>
      <c r="B38" s="1">
        <v>482.82345156303302</v>
      </c>
      <c r="C38" s="0">
        <v>347.2126490938972</v>
      </c>
      <c r="D38" s="0">
        <v>618.43425403216884</v>
      </c>
      <c r="E38">
        <v>618.43425403216884</v>
      </c>
    </row>
    <row r="39" x14ac:dyDescent="0.3">
      <c r="A39">
        <f t="shared" si="0"/>
        <v>38</v>
      </c>
      <c r="B39" s="1">
        <v>475.6303808320331</v>
      </c>
      <c r="C39" s="0">
        <v>340.01957836289733</v>
      </c>
      <c r="D39" s="0">
        <v>611.24118330116892</v>
      </c>
      <c r="E39">
        <v>611.24118330116892</v>
      </c>
    </row>
    <row r="40" x14ac:dyDescent="0.3">
      <c r="A40">
        <f t="shared" si="0"/>
        <v>39</v>
      </c>
      <c r="B40" s="1">
        <v>581.5012082902449</v>
      </c>
      <c r="C40" s="0">
        <v>445.8904058211092</v>
      </c>
      <c r="D40" s="0">
        <v>717.11201075938084</v>
      </c>
      <c r="E40">
        <v>717.11201075938084</v>
      </c>
    </row>
    <row r="41" x14ac:dyDescent="0.3">
      <c r="A41">
        <f t="shared" si="0"/>
        <v>40</v>
      </c>
      <c r="B41" s="1">
        <v>510.33869300006165</v>
      </c>
      <c r="C41" s="0">
        <v>374.72789053092589</v>
      </c>
      <c r="D41" s="0">
        <v>645.94949546919747</v>
      </c>
      <c r="E41">
        <v>645.94949546919747</v>
      </c>
    </row>
    <row r="42" x14ac:dyDescent="0.3">
      <c r="A42">
        <f t="shared" si="0"/>
        <v>41</v>
      </c>
      <c r="B42" s="1">
        <v>489.17849463605228</v>
      </c>
      <c r="C42" s="0">
        <v>353.56769216691657</v>
      </c>
      <c r="D42" s="0">
        <v>624.7892971051881</v>
      </c>
      <c r="E42">
        <v>624.7892971051881</v>
      </c>
    </row>
    <row r="43" x14ac:dyDescent="0.3">
      <c r="A43">
        <f t="shared" si="0"/>
        <v>42</v>
      </c>
      <c r="B43" s="1">
        <v>519.83633979050808</v>
      </c>
      <c r="C43" s="0">
        <v>384.22553732137237</v>
      </c>
      <c r="D43" s="0">
        <v>655.4471422596439</v>
      </c>
      <c r="E43">
        <v>655.4471422596439</v>
      </c>
    </row>
    <row r="44" x14ac:dyDescent="0.3">
      <c r="A44">
        <f t="shared" si="0"/>
        <v>43</v>
      </c>
      <c r="B44" s="1">
        <v>643.93426880979735</v>
      </c>
      <c r="C44" s="0">
        <v>508.32346634066158</v>
      </c>
      <c r="D44" s="0">
        <v>779.54507127893316</v>
      </c>
      <c r="E44">
        <v>779.54507127893316</v>
      </c>
    </row>
    <row r="45" x14ac:dyDescent="0.3">
      <c r="A45">
        <f t="shared" si="0"/>
        <v>44</v>
      </c>
      <c r="B45" s="1">
        <v>774.59674781660112</v>
      </c>
      <c r="C45" s="0">
        <v>638.9859453474653</v>
      </c>
      <c r="D45" s="0">
        <v>910.20755028573694</v>
      </c>
      <c r="E45">
        <v>910.20755028573694</v>
      </c>
    </row>
    <row r="46" x14ac:dyDescent="0.3">
      <c r="A46">
        <f t="shared" si="0"/>
        <v>45</v>
      </c>
      <c r="B46" s="1">
        <v>698.19655966403911</v>
      </c>
      <c r="C46" s="0">
        <v>562.58575719490341</v>
      </c>
      <c r="D46" s="0">
        <v>833.80736213317505</v>
      </c>
      <c r="E46">
        <v>833.80736213317505</v>
      </c>
    </row>
    <row r="47" x14ac:dyDescent="0.3">
      <c r="A47">
        <f t="shared" si="0"/>
        <v>46</v>
      </c>
      <c r="B47" s="1">
        <v>557.96659822862398</v>
      </c>
      <c r="C47" s="0">
        <v>422.35579575948827</v>
      </c>
      <c r="D47" s="0">
        <v>693.5774006977598</v>
      </c>
      <c r="E47">
        <v>693.5774006977598</v>
      </c>
    </row>
    <row r="48" x14ac:dyDescent="0.3">
      <c r="A48">
        <f t="shared" si="0"/>
        <v>47</v>
      </c>
      <c r="B48" s="1">
        <v>534.92083763415837</v>
      </c>
      <c r="C48" s="0">
        <v>399.31003516502255</v>
      </c>
      <c r="D48" s="0">
        <v>670.53164010329419</v>
      </c>
      <c r="E48">
        <v>670.53164010329419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Ammonia</vt:lpstr>
      <vt:lpstr>Ammonia summary</vt:lpstr>
      <vt:lpstr>Ammonia high low</vt:lpstr>
      <vt:lpstr>Ammonia avoidance</vt:lpstr>
      <vt:lpstr>Methanol</vt:lpstr>
      <vt:lpstr>Methanol summary</vt:lpstr>
      <vt:lpstr>Methanol high low</vt:lpstr>
      <vt:lpstr>Methanol avoidance</vt:lpstr>
      <vt:lpstr>LCOH</vt:lpstr>
      <vt:lpstr>Ammonia MP</vt:lpstr>
      <vt:lpstr>Methanol MP</vt:lpstr>
      <vt:lpstr>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2022-09-15T21:09:22Z</dcterms:created>
  <dcterms:modified xsi:type="dcterms:W3CDTF">2023-05-12T19:03:11Z</dcterms:modified>
</cp:coreProperties>
</file>