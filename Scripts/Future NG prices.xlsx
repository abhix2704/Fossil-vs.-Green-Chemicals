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"/>
    </mc:Choice>
  </mc:AlternateContent>
  <xr:revisionPtr revIDLastSave="0" documentId="13_ncr:1_{ACF9FD20-EF0E-4EEC-B5B2-D2B26B944B10}" xr6:coauthVersionLast="47" xr6:coauthVersionMax="47" xr10:uidLastSave="{00000000-0000-0000-0000-000000000000}"/>
  <bookViews>
    <workbookView xWindow="-108" yWindow="-108" windowWidth="30936" windowHeight="16896" activeTab="1"/>
  </bookViews>
  <sheets>
    <sheet name="Sheet1" sheetId="1" r:id="rId1"/>
    <sheet name="Sheet2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<sst xmlns="http://schemas.openxmlformats.org/spreadsheetml/2006/main" count="17" uniqueCount="17">
  <si>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Jan</t>
  </si>
  <si>
    <t>Feb</t>
  </si>
  <si>
    <t>Mar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</si>
  <si>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</si>
  <si>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</si>
  <si>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</si>
  <si>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</si>
  <si>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</si>
  <si>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</si>
  <si>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</si>
  <si>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</si>
  <si>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</si>
  <si>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Average</t>
  </si>
  <si>
    <t>Time</t>
  </si>
  <si>
    <t>Ammonia</t>
  </si>
  <si>
    <t>Methanol</t>
  </si>
  <si>
    <t>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</si>
</sst>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true"/>
    <xf numFmtId="0" fontId="0" fillId="0" borderId="0" xfId="0" applyAlignment="true">
      <alignment horizontal="center"/>
    </xf>
    <xf numFmtId="2" fontId="0" fillId="0" borderId="0" xfId="0" applyNumberFormat="true" applyAlignment="true">
      <alignment horizont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2.xml" Type="http://schemas.openxmlformats.org/officeDocument/2006/relationships/customXml" Id="rId8"/><Relationship Target="theme/theme1.xml" Type="http://schemas.openxmlformats.org/officeDocument/2006/relationships/theme" Id="rId3"/><Relationship Target="../customXml/item1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../customXml/item3.xml" Type="http://schemas.openxmlformats.org/officeDocument/2006/relationships/custom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8C28-101D-47F5-8ADD-AADAF9CA459B}">
  <dimension ref="A1:D15"/>
  <sheetViews>
    <sheetView workbookViewId="0">
      <selection activeCell="F26" sqref="F26"/>
    </sheetView>
  </sheetViews>
  <sheetFormatPr defaultRowHeight="14.4" x14ac:dyDescent="0.3"/>
  <cols>
    <col min="2" max="2" width="12" bestFit="true" customWidth="true"/>
  </cols>
  <sheetData>
    <row r="1" x14ac:dyDescent="0.3">
      <c r="B1" s="2">
        <v>2023</v>
      </c>
      <c r="C1" s="2">
        <v>2024</v>
      </c>
      <c r="D1" s="2">
        <v>2025</v>
      </c>
    </row>
    <row r="2" x14ac:dyDescent="0.3">
      <c r="A2" t="s">
        <v>0</v>
      </c>
      <c r="B2" s="3">
        <v>173.51</v>
      </c>
      <c r="C2" s="3">
        <v>167.1</v>
      </c>
      <c r="D2" s="3">
        <v>107.745</v>
      </c>
    </row>
    <row r="3" x14ac:dyDescent="0.3">
      <c r="A3" t="s">
        <v>1</v>
      </c>
      <c r="B3" s="3">
        <v>174.715</v>
      </c>
      <c r="C3" s="3">
        <v>163.54</v>
      </c>
      <c r="D3" s="3">
        <v>106.82</v>
      </c>
    </row>
    <row r="4" x14ac:dyDescent="0.3">
      <c r="A4" t="s">
        <v>2</v>
      </c>
      <c r="B4" s="3">
        <v>172.94499999999999</v>
      </c>
      <c r="C4" s="3">
        <v>147.41999999999999</v>
      </c>
      <c r="D4" s="3">
        <v>106.075</v>
      </c>
    </row>
    <row r="5" x14ac:dyDescent="0.3">
      <c r="A5" t="s">
        <v>3</v>
      </c>
      <c r="B5" s="3">
        <v>168.82</v>
      </c>
      <c r="C5" s="3">
        <v>126.345</v>
      </c>
      <c r="D5" s="3">
        <v>91.254999999999995</v>
      </c>
    </row>
    <row r="6" x14ac:dyDescent="0.3">
      <c r="A6" t="s">
        <v>4</v>
      </c>
      <c r="B6" s="3">
        <v>167.22</v>
      </c>
      <c r="C6" s="3">
        <v>105.35</v>
      </c>
      <c r="D6" s="3">
        <v>81.239999999999995</v>
      </c>
    </row>
    <row r="7" x14ac:dyDescent="0.3">
      <c r="A7" t="s">
        <v>6</v>
      </c>
      <c r="B7" s="3">
        <v>166.63499999999999</v>
      </c>
      <c r="C7" s="3">
        <v>98.73</v>
      </c>
      <c r="D7" s="3">
        <v>73.644999999999996</v>
      </c>
    </row>
    <row r="8" x14ac:dyDescent="0.3">
      <c r="A8" t="s">
        <v>5</v>
      </c>
      <c r="B8" s="3">
        <v>166.17500000000001</v>
      </c>
      <c r="C8" s="3">
        <v>103.16</v>
      </c>
      <c r="D8" s="3">
        <v>75.2</v>
      </c>
    </row>
    <row r="9" x14ac:dyDescent="0.3">
      <c r="A9" t="s">
        <v>7</v>
      </c>
      <c r="B9" s="3">
        <v>166.60499999999999</v>
      </c>
      <c r="C9" s="3">
        <v>106.08499999999999</v>
      </c>
      <c r="D9" s="3">
        <v>77.89</v>
      </c>
    </row>
    <row r="10" x14ac:dyDescent="0.3">
      <c r="A10" t="s">
        <v>8</v>
      </c>
      <c r="B10" s="3">
        <v>167.42500000000001</v>
      </c>
      <c r="C10" s="3">
        <v>107.435</v>
      </c>
      <c r="D10" s="3">
        <v>77.894999999999996</v>
      </c>
    </row>
    <row r="11" x14ac:dyDescent="0.3">
      <c r="A11" t="s">
        <v>9</v>
      </c>
      <c r="B11" s="3">
        <v>166.17500000000001</v>
      </c>
      <c r="C11" s="3">
        <v>106</v>
      </c>
      <c r="D11" s="3">
        <v>81.67</v>
      </c>
    </row>
    <row r="12" x14ac:dyDescent="0.3">
      <c r="A12" t="s">
        <v>10</v>
      </c>
      <c r="B12" s="3">
        <v>168.99</v>
      </c>
      <c r="C12" s="3">
        <v>107.965</v>
      </c>
      <c r="D12" s="3">
        <v>82.454999999999998</v>
      </c>
    </row>
    <row r="13" x14ac:dyDescent="0.3">
      <c r="A13" t="s">
        <v>11</v>
      </c>
      <c r="B13" s="3">
        <v>170.85</v>
      </c>
      <c r="C13" s="3">
        <v>107.55</v>
      </c>
      <c r="D13" s="3">
        <v>81.12</v>
      </c>
    </row>
    <row r="14" x14ac:dyDescent="0.3">
      <c r="A14" t="s">
        <v>12</v>
      </c>
      <c r="B14" s="3">
        <f>AVERAGE(B2:B13)</f>
        <v>169.17208333333332</v>
      </c>
      <c r="C14" s="3">
        <f>AVERAGE(C2:C13)</f>
        <v>120.55666666666666</v>
      </c>
      <c r="D14" s="3">
        <f>AVERAGE(D2:D13)</f>
        <v>86.917500000000004</v>
      </c>
    </row>
    <row r="15" x14ac:dyDescent="0.3">
      <c r="B15" s="3">
        <f>B14*13.1</f>
        <v>2216.1542916666663</v>
      </c>
      <c r="C15" s="3">
        <f>C14*13.1</f>
        <v>1579.2923333333331</v>
      </c>
      <c r="D15" s="3">
        <f>D14*13.1</f>
        <v>1138.61925</v>
      </c>
    </row>
  </sheetData>
  <pageMargins left="0.7" right="0.7" top="0.75" bottom="0.75" header="0.3" footer="0.3"/>
  <ignoredErrors>
    <ignoredError sqref="B14:C14" formulaRange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EFD3-D3A7-4012-8DE5-91F788AB98C1}">
  <dimension ref="A1:D4"/>
  <sheetViews>
    <sheetView tabSelected="true" workbookViewId="0">
      <selection activeCell="Q14" sqref="Q14"/>
    </sheetView>
  </sheetViews>
  <sheetFormatPr defaultRowHeight="14.4" x14ac:dyDescent="0.3"/>
  <cols>
    <col min="3" max="3" width="8.93359375" customWidth="true"/>
    <col min="5" max="5" width="11.6640625" customWidth="true"/>
    <col min="4" max="4" width="9.046875" customWidth="true"/>
  </cols>
  <sheetData>
    <row r="1" x14ac:dyDescent="0.3">
      <c r="A1" s="2" t="s">
        <v>13</v>
      </c>
      <c r="B1" s="2" t="s">
        <v>16</v>
      </c>
      <c r="C1" t="s">
        <v>14</v>
      </c>
      <c r="D1" t="s">
        <v>15</v>
      </c>
    </row>
    <row r="2" x14ac:dyDescent="0.3">
      <c r="A2">
        <v>2023</v>
      </c>
      <c r="B2" s="1">
        <f>Sheet1!B15</f>
        <v>2216.1542916666663</v>
      </c>
      <c r="C2" s="1"/>
      <c r="D2" s="3"/>
    </row>
    <row r="3" x14ac:dyDescent="0.3">
      <c r="A3">
        <v>2024</v>
      </c>
      <c r="B3" s="1">
        <f>Sheet1!C15</f>
        <v>1579.2923333333331</v>
      </c>
      <c r="C3" s="1"/>
      <c r="D3" s="3"/>
    </row>
    <row r="4" x14ac:dyDescent="0.3">
      <c r="A4">
        <v>2025</v>
      </c>
      <c r="B4" s="1">
        <f>Sheet1!D15</f>
        <v>1138.61925</v>
      </c>
      <c r="C4" s="1"/>
      <c r="D4" s="3"/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8DF40CD9A3B44587AAB1FD56DC671E" ma:contentTypeVersion="2" ma:contentTypeDescription="Ein neues Dokument erstellen." ma:contentTypeScope="" ma:versionID="cdb715065f5be80fbaa4438811f6027f">
  <xsd:schema xmlns:xsd="http://www.w3.org/2001/XMLSchema" xmlns:xs="http://www.w3.org/2001/XMLSchema" xmlns:p="http://schemas.microsoft.com/office/2006/metadata/properties" xmlns:ns3="f30197e0-efdf-4595-839f-c8827cc2872e" targetNamespace="http://schemas.microsoft.com/office/2006/metadata/properties" ma:root="true" ma:fieldsID="ccf031096f2e0f2db73bbc03ce79d8f2" ns3:_="">
    <xsd:import namespace="f30197e0-efdf-4595-839f-c8827cc287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197e0-efdf-4595-839f-c8827cc28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B8004A-E170-458C-8A8E-F2A9925F31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784130-ADE4-46CB-A622-8C7B8D8C8420}">
  <ds:schemaRefs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f30197e0-efdf-4595-839f-c8827cc2872e"/>
    <ds:schemaRef ds:uri="http://purl.org/dc/dcmitype/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A315B31-4CC5-4B16-83D2-25AB0BFE25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197e0-efdf-4595-839f-c8827cc287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2022-10-11T09:03:47Z</dcterms:created>
  <dcterms:modified xsi:type="dcterms:W3CDTF">2022-10-25T12:39:49Z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0x010100FF8DF40CD9A3B44587AAB1FD56DC671E</vt:lpwstr>
  </property>
</Properties>
</file>