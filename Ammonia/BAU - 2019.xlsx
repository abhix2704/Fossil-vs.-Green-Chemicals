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4"/>
  <workbookPr/>
  <mc:AlternateContent xmlns:mc="http://schemas.openxmlformats.org/markup-compatibility/2006">
    <mc:Choice Requires="x15">
      <x15ac:absPath xmlns:x15ac="http://schemas.microsoft.com/office/spreadsheetml/2010/11/ac" url="C:\Users\anabera\Desktop\Natural gas v chemicals\Ammonia\"/>
    </mc:Choice>
  </mc:AlternateContent>
  <xr:revisionPtr revIDLastSave="0" documentId="13_ncr:1_{37A31360-524D-4497-ABA9-BC20DA100E37}" xr6:coauthVersionLast="36" xr6:coauthVersionMax="47" xr10:uidLastSave="{00000000-0000-0000-0000-000000000000}"/>
  <bookViews>
    <workbookView xWindow="-108" yWindow="-108" windowWidth="30936" windowHeight="16896" activeTab="3" xr2:uid="{00000000-000D-0000-FFFF-FFFF00000000}"/>
  </bookViews>
  <sheets>
    <sheet name="CAPEX" sheetId="7" r:id="rId1"/>
    <sheet name="Production Costs" sheetId="12" r:id="rId2"/>
    <sheet name="Catalyst Costs" sheetId="13" r:id="rId3"/>
    <sheet name="OPEX" sheetId="8" r:id="rId4"/>
    <sheet name="Summary" sheetId="1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2" i="8" l="1"/>
  <c r="M8" i="8"/>
  <c r="K19" i="8" l="1"/>
  <c r="K17" i="8"/>
  <c r="K16" i="8"/>
  <c r="K15" i="8"/>
  <c r="K13" i="8"/>
  <c r="K12" i="8"/>
  <c r="K9" i="8"/>
  <c r="K8" i="8"/>
  <c r="K6" i="8"/>
  <c r="K5" i="8"/>
  <c r="F7" i="11" l="1"/>
  <c r="H109" i="7" l="1"/>
  <c r="H108" i="7"/>
  <c r="H107" i="7"/>
  <c r="H110" i="7" l="1"/>
  <c r="D17" i="8"/>
  <c r="D16" i="8"/>
  <c r="D15" i="8"/>
  <c r="D19" i="8" l="1"/>
  <c r="D13" i="8" l="1"/>
  <c r="D12" i="8"/>
  <c r="D8" i="8"/>
  <c r="D6" i="8"/>
  <c r="D5" i="8"/>
  <c r="F3" i="11" l="1"/>
  <c r="F4" i="11"/>
  <c r="L24" i="7"/>
  <c r="D96" i="7"/>
  <c r="L23" i="7"/>
  <c r="D93" i="7"/>
  <c r="F17" i="8"/>
  <c r="D78" i="7" l="1"/>
  <c r="M25" i="7"/>
  <c r="N25" i="7" s="1"/>
  <c r="O25" i="7" s="1"/>
  <c r="Q25" i="7" s="1"/>
  <c r="D77" i="7"/>
  <c r="H75" i="7"/>
  <c r="H72" i="7"/>
  <c r="H73" i="7"/>
  <c r="H74" i="7"/>
  <c r="G17" i="8" l="1"/>
  <c r="F10" i="8" l="1"/>
  <c r="G10" i="8" s="1"/>
  <c r="H71" i="7" l="1"/>
  <c r="H70" i="7"/>
  <c r="H69" i="7" l="1"/>
  <c r="H68" i="7"/>
  <c r="H67" i="7"/>
  <c r="H66" i="7"/>
  <c r="H65" i="7"/>
  <c r="H64" i="7"/>
  <c r="F3" i="13" l="1"/>
  <c r="G3" i="13" s="1"/>
  <c r="E10" i="13" l="1"/>
  <c r="F10" i="13" s="1"/>
  <c r="G10" i="13" s="1"/>
  <c r="E9" i="13"/>
  <c r="F9" i="13" s="1"/>
  <c r="G9" i="13" s="1"/>
  <c r="E6" i="13"/>
  <c r="F6" i="13" s="1"/>
  <c r="G6" i="13" s="1"/>
  <c r="E5" i="13"/>
  <c r="F5" i="13" s="1"/>
  <c r="G5" i="13" s="1"/>
  <c r="E7" i="13"/>
  <c r="F7" i="13" s="1"/>
  <c r="G7" i="13" s="1"/>
  <c r="E8" i="13"/>
  <c r="F8" i="13" s="1"/>
  <c r="G8" i="13" s="1"/>
  <c r="E4" i="13"/>
  <c r="F4" i="13" s="1"/>
  <c r="G4" i="13" s="1"/>
  <c r="G11" i="13" l="1"/>
  <c r="G20" i="8" s="1"/>
  <c r="F19" i="8" l="1"/>
  <c r="G19" i="8" s="1"/>
  <c r="F16" i="8"/>
  <c r="G16" i="8" s="1"/>
  <c r="F15" i="8"/>
  <c r="G15" i="8" s="1"/>
  <c r="H104" i="7"/>
  <c r="H103" i="7"/>
  <c r="H101" i="7"/>
  <c r="H100" i="7"/>
  <c r="H99" i="7"/>
  <c r="H98" i="7"/>
  <c r="H93" i="7" l="1"/>
  <c r="H96" i="7"/>
  <c r="F12" i="8" l="1"/>
  <c r="G12" i="8" s="1"/>
  <c r="C6" i="12"/>
  <c r="M24" i="7"/>
  <c r="N24" i="7" s="1"/>
  <c r="M23" i="7"/>
  <c r="N23" i="7" s="1"/>
  <c r="H90" i="7"/>
  <c r="M22" i="7"/>
  <c r="N22" i="7" s="1"/>
  <c r="O22" i="7" s="1"/>
  <c r="Q22" i="7" s="1"/>
  <c r="D87" i="7" s="1"/>
  <c r="H87" i="7" s="1"/>
  <c r="M21" i="7"/>
  <c r="N21" i="7" s="1"/>
  <c r="O21" i="7" s="1"/>
  <c r="Q21" i="7" s="1"/>
  <c r="D86" i="7" s="1"/>
  <c r="H86" i="7" s="1"/>
  <c r="H78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O24" i="7" l="1"/>
  <c r="Q24" i="7" s="1"/>
  <c r="D95" i="7" s="1"/>
  <c r="H95" i="7" s="1"/>
  <c r="O23" i="7"/>
  <c r="Q23" i="7" s="1"/>
  <c r="D92" i="7" s="1"/>
  <c r="H92" i="7" s="1"/>
  <c r="C7" i="12" l="1"/>
  <c r="C8" i="12" l="1"/>
  <c r="C9" i="12" s="1"/>
  <c r="C11" i="11" l="1"/>
  <c r="C16" i="11"/>
  <c r="C15" i="11"/>
  <c r="H89" i="7"/>
  <c r="M20" i="7"/>
  <c r="N20" i="7" s="1"/>
  <c r="O20" i="7" s="1"/>
  <c r="Q20" i="7" s="1"/>
  <c r="D85" i="7" s="1"/>
  <c r="M19" i="7"/>
  <c r="N19" i="7" s="1"/>
  <c r="O19" i="7" s="1"/>
  <c r="Q19" i="7" s="1"/>
  <c r="D84" i="7" s="1"/>
  <c r="M18" i="7"/>
  <c r="N18" i="7" s="1"/>
  <c r="O18" i="7" s="1"/>
  <c r="Q18" i="7" s="1"/>
  <c r="D83" i="7" s="1"/>
  <c r="H77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31" i="7"/>
  <c r="H14" i="7"/>
  <c r="H25" i="7"/>
  <c r="H24" i="7"/>
  <c r="H23" i="7"/>
  <c r="H22" i="7"/>
  <c r="H21" i="7"/>
  <c r="H20" i="7"/>
  <c r="H19" i="7"/>
  <c r="H85" i="7" l="1"/>
  <c r="H84" i="7"/>
  <c r="H83" i="7"/>
  <c r="H30" i="7"/>
  <c r="H29" i="7"/>
  <c r="H28" i="7"/>
  <c r="H27" i="7"/>
  <c r="H18" i="7"/>
  <c r="H17" i="7"/>
  <c r="H16" i="7"/>
  <c r="H15" i="7"/>
  <c r="F13" i="8" l="1"/>
  <c r="G13" i="8" s="1"/>
  <c r="F9" i="8"/>
  <c r="G9" i="8" s="1"/>
  <c r="F8" i="8"/>
  <c r="G8" i="8" s="1"/>
  <c r="F6" i="8"/>
  <c r="G6" i="8" s="1"/>
  <c r="F5" i="8"/>
  <c r="B125" i="7"/>
  <c r="C17" i="11" s="1"/>
  <c r="G4" i="11" l="1"/>
  <c r="G7" i="11"/>
  <c r="G8" i="11"/>
  <c r="G5" i="8"/>
  <c r="G21" i="8" l="1"/>
  <c r="C20" i="11" s="1"/>
  <c r="G3" i="11"/>
  <c r="M17" i="7"/>
  <c r="N17" i="7" s="1"/>
  <c r="O17" i="7" s="1"/>
  <c r="Q17" i="7" s="1"/>
  <c r="D81" i="7" s="1"/>
  <c r="H81" i="7" s="1"/>
  <c r="M16" i="7"/>
  <c r="N16" i="7" s="1"/>
  <c r="O16" i="7" s="1"/>
  <c r="Q16" i="7" s="1"/>
  <c r="D80" i="7" s="1"/>
  <c r="H80" i="7" s="1"/>
  <c r="M15" i="7"/>
  <c r="N15" i="7" s="1"/>
  <c r="O15" i="7" s="1"/>
  <c r="Q15" i="7" s="1"/>
  <c r="M14" i="7"/>
  <c r="N14" i="7" s="1"/>
  <c r="O14" i="7" s="1"/>
  <c r="Q14" i="7" s="1"/>
  <c r="M13" i="7"/>
  <c r="N13" i="7" s="1"/>
  <c r="O13" i="7" s="1"/>
  <c r="Q13" i="7" s="1"/>
  <c r="D79" i="7" l="1"/>
  <c r="H79" i="7" s="1"/>
  <c r="H105" i="7" s="1"/>
  <c r="B115" i="7" s="1"/>
  <c r="B116" i="7" l="1"/>
  <c r="C3" i="11"/>
  <c r="C11" i="12" l="1"/>
  <c r="B120" i="7"/>
  <c r="B117" i="7"/>
  <c r="B119" i="7" s="1"/>
  <c r="C7" i="11" s="1"/>
  <c r="C4" i="11"/>
  <c r="C15" i="12" l="1"/>
  <c r="C120" i="7"/>
  <c r="B121" i="7"/>
  <c r="C8" i="11"/>
  <c r="C14" i="12"/>
  <c r="C12" i="12"/>
  <c r="C12" i="11" s="1"/>
  <c r="B118" i="7"/>
  <c r="C6" i="11" s="1"/>
  <c r="C5" i="11"/>
  <c r="C16" i="12" l="1"/>
  <c r="C13" i="11" s="1"/>
  <c r="B122" i="7"/>
  <c r="B126" i="7" s="1"/>
  <c r="B127" i="7" s="1"/>
  <c r="C18" i="11" s="1"/>
  <c r="G9" i="11" s="1"/>
  <c r="C18" i="12"/>
  <c r="C19" i="12" s="1"/>
  <c r="C9" i="11"/>
  <c r="C10" i="11" l="1"/>
  <c r="C14" i="11"/>
  <c r="C20" i="12"/>
  <c r="C19" i="11" s="1"/>
  <c r="G10" i="11" l="1"/>
  <c r="G11" i="11" s="1"/>
  <c r="C21" i="11"/>
  <c r="C22" i="11" s="1"/>
  <c r="C24" i="11" s="1"/>
</calcChain>
</file>

<file path=xl/sharedStrings.xml><?xml version="1.0" encoding="utf-8"?>
<sst xmlns="http://schemas.openxmlformats.org/spreadsheetml/2006/main" count="471" uniqueCount="250">
  <si>
    <t>Cost factors</t>
  </si>
  <si>
    <t>Equipment erection</t>
  </si>
  <si>
    <t>Piping</t>
  </si>
  <si>
    <t>Instrumentation and control</t>
  </si>
  <si>
    <t>Electrical</t>
  </si>
  <si>
    <t>Civil</t>
  </si>
  <si>
    <t>Structures and buildings</t>
  </si>
  <si>
    <t>Lagging and paint</t>
  </si>
  <si>
    <t>Material factor for 304 SS</t>
  </si>
  <si>
    <t xml:space="preserve">Equipment </t>
  </si>
  <si>
    <t>a</t>
  </si>
  <si>
    <t>b</t>
  </si>
  <si>
    <t>n</t>
  </si>
  <si>
    <t>Equipment approximated as</t>
  </si>
  <si>
    <t>Dimension needed</t>
  </si>
  <si>
    <t>Value</t>
  </si>
  <si>
    <t>Volume</t>
  </si>
  <si>
    <t>h (m)</t>
  </si>
  <si>
    <t>Shell mass (kg)</t>
  </si>
  <si>
    <r>
      <t>Purchased Cost (C</t>
    </r>
    <r>
      <rPr>
        <b/>
        <vertAlign val="subscript"/>
        <sz val="11"/>
        <color theme="1"/>
        <rFont val="Calibri"/>
        <family val="2"/>
        <scheme val="minor"/>
      </rPr>
      <t>e,i,a</t>
    </r>
    <r>
      <rPr>
        <b/>
        <sz val="11"/>
        <color theme="1"/>
        <rFont val="Calibri"/>
        <family val="2"/>
        <scheme val="minor"/>
      </rPr>
      <t>)</t>
    </r>
  </si>
  <si>
    <t>SMR</t>
  </si>
  <si>
    <t>Internal diameter (m)</t>
  </si>
  <si>
    <t>External diameter (m)</t>
  </si>
  <si>
    <t>Equipment</t>
  </si>
  <si>
    <t>Material</t>
  </si>
  <si>
    <t>Total cost</t>
  </si>
  <si>
    <t>Raw Material Costs</t>
  </si>
  <si>
    <t>Cooling water</t>
  </si>
  <si>
    <t>Utility Costs</t>
  </si>
  <si>
    <t>Additional Costs (purge,etc)</t>
  </si>
  <si>
    <t>Electricity</t>
  </si>
  <si>
    <t>Project lifetime</t>
  </si>
  <si>
    <t>Interest rate</t>
  </si>
  <si>
    <t>ACCR</t>
  </si>
  <si>
    <t>Unit</t>
  </si>
  <si>
    <t>Quantity</t>
  </si>
  <si>
    <t>Price ($/unit)</t>
  </si>
  <si>
    <t>ton/hr</t>
  </si>
  <si>
    <t>GJ/hr</t>
  </si>
  <si>
    <t>kWh</t>
  </si>
  <si>
    <t>OPEX</t>
  </si>
  <si>
    <t>CEPCI 2010</t>
  </si>
  <si>
    <t>CEPCI 2019</t>
  </si>
  <si>
    <t>CAPEX (M$/year)</t>
  </si>
  <si>
    <t>M$/year</t>
  </si>
  <si>
    <r>
      <t>f</t>
    </r>
    <r>
      <rPr>
        <vertAlign val="subscript"/>
        <sz val="11"/>
        <color theme="1"/>
        <rFont val="Calibri"/>
        <family val="2"/>
        <scheme val="minor"/>
      </rPr>
      <t>er</t>
    </r>
  </si>
  <si>
    <r>
      <t>f</t>
    </r>
    <r>
      <rPr>
        <vertAlign val="subscript"/>
        <sz val="11"/>
        <color theme="1"/>
        <rFont val="Calibri"/>
        <family val="2"/>
        <scheme val="minor"/>
      </rPr>
      <t>p</t>
    </r>
  </si>
  <si>
    <r>
      <t>f</t>
    </r>
    <r>
      <rPr>
        <vertAlign val="subscript"/>
        <sz val="11"/>
        <color theme="1"/>
        <rFont val="Calibri"/>
        <family val="2"/>
        <scheme val="minor"/>
      </rPr>
      <t>i</t>
    </r>
  </si>
  <si>
    <r>
      <t>f</t>
    </r>
    <r>
      <rPr>
        <vertAlign val="subscript"/>
        <sz val="11"/>
        <color theme="1"/>
        <rFont val="Calibri"/>
        <family val="2"/>
        <scheme val="minor"/>
      </rPr>
      <t>el</t>
    </r>
  </si>
  <si>
    <r>
      <t>f</t>
    </r>
    <r>
      <rPr>
        <vertAlign val="subscript"/>
        <sz val="11"/>
        <color theme="1"/>
        <rFont val="Calibri"/>
        <family val="2"/>
        <scheme val="minor"/>
      </rPr>
      <t>c</t>
    </r>
  </si>
  <si>
    <r>
      <t>f</t>
    </r>
    <r>
      <rPr>
        <vertAlign val="subscript"/>
        <sz val="11"/>
        <color theme="1"/>
        <rFont val="Calibri"/>
        <family val="2"/>
        <scheme val="minor"/>
      </rPr>
      <t>s</t>
    </r>
  </si>
  <si>
    <r>
      <t>f</t>
    </r>
    <r>
      <rPr>
        <vertAlign val="subscript"/>
        <sz val="11"/>
        <color theme="1"/>
        <rFont val="Calibri"/>
        <family val="2"/>
        <scheme val="minor"/>
      </rPr>
      <t>l</t>
    </r>
  </si>
  <si>
    <r>
      <t>f</t>
    </r>
    <r>
      <rPr>
        <vertAlign val="subscript"/>
        <sz val="11"/>
        <color theme="1"/>
        <rFont val="Calibri"/>
        <family val="2"/>
        <scheme val="minor"/>
      </rPr>
      <t>m</t>
    </r>
  </si>
  <si>
    <t>K-102</t>
  </si>
  <si>
    <t>K-103</t>
  </si>
  <si>
    <t>K-105</t>
  </si>
  <si>
    <t>K-402</t>
  </si>
  <si>
    <t>K-100</t>
  </si>
  <si>
    <t>K-101</t>
  </si>
  <si>
    <t>K-109</t>
  </si>
  <si>
    <t>K-101-5</t>
  </si>
  <si>
    <t>K-101-2</t>
  </si>
  <si>
    <t>K-101-3</t>
  </si>
  <si>
    <t>K-101-4</t>
  </si>
  <si>
    <t>E-139</t>
  </si>
  <si>
    <t>E-142</t>
  </si>
  <si>
    <t>E-141</t>
  </si>
  <si>
    <t>E-137</t>
  </si>
  <si>
    <t>ATR</t>
  </si>
  <si>
    <t>HTWGS</t>
  </si>
  <si>
    <t>LTWGS</t>
  </si>
  <si>
    <t>BED1</t>
  </si>
  <si>
    <t>BED2</t>
  </si>
  <si>
    <t>BED3</t>
  </si>
  <si>
    <t>V-502</t>
  </si>
  <si>
    <t>V-100</t>
  </si>
  <si>
    <t>V-101</t>
  </si>
  <si>
    <r>
      <t>Area for shell (m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</si>
  <si>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r>
      <t>Density (kg/m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)</t>
    </r>
  </si>
  <si>
    <t xml:space="preserve">Centrifugal Compressor </t>
  </si>
  <si>
    <t>U Tube HEX</t>
  </si>
  <si>
    <t>Furnace</t>
  </si>
  <si>
    <t>Pressure Vessel</t>
  </si>
  <si>
    <t>P-100</t>
  </si>
  <si>
    <t>Centrifugal Pump</t>
  </si>
  <si>
    <t>Power, kW</t>
  </si>
  <si>
    <t xml:space="preserve">Area </t>
  </si>
  <si>
    <t>Duty, MW</t>
  </si>
  <si>
    <t>Flow, litres/s</t>
  </si>
  <si>
    <t>Water</t>
  </si>
  <si>
    <t>Total Ammonia Produced (kg/hr)</t>
  </si>
  <si>
    <t>Total Expenses ($/hr)</t>
  </si>
  <si>
    <t>Cost of Ammonia per kg</t>
  </si>
  <si>
    <t>Compressors</t>
  </si>
  <si>
    <t>Heat Exchangers</t>
  </si>
  <si>
    <t>Reactors</t>
  </si>
  <si>
    <t>Flash Separators</t>
  </si>
  <si>
    <t>Pumps</t>
  </si>
  <si>
    <t>Shell mass, kg</t>
  </si>
  <si>
    <t>Purchased equipment cost 2019</t>
  </si>
  <si>
    <t>Installed capital cost</t>
  </si>
  <si>
    <t>Offsites (OS)</t>
  </si>
  <si>
    <t>Design and Engineering (D&amp;E)</t>
  </si>
  <si>
    <t>Contingency (X)</t>
  </si>
  <si>
    <t>Fixed capital investment</t>
  </si>
  <si>
    <t>Total investment</t>
  </si>
  <si>
    <t>Annualized capital</t>
  </si>
  <si>
    <t>Working capital</t>
  </si>
  <si>
    <t>Purchased equipment cost 2019 (M$/year)</t>
  </si>
  <si>
    <t>Labor Costs</t>
  </si>
  <si>
    <t>Supervision</t>
  </si>
  <si>
    <t>25% of operating Labor</t>
  </si>
  <si>
    <t>Description</t>
  </si>
  <si>
    <t>Assumption</t>
  </si>
  <si>
    <t>Direct overhead</t>
  </si>
  <si>
    <t>45% of labor and supervision</t>
  </si>
  <si>
    <t>Maintanance Costs</t>
  </si>
  <si>
    <t xml:space="preserve">Maintanance </t>
  </si>
  <si>
    <t>3% of the installed capital cost</t>
  </si>
  <si>
    <t>Overhead expenses</t>
  </si>
  <si>
    <t>Overhead Expenses</t>
  </si>
  <si>
    <t>Plant overhead</t>
  </si>
  <si>
    <t>Operating labor</t>
  </si>
  <si>
    <t>65% of labor and maintanace</t>
  </si>
  <si>
    <t>Tax &amp; Insurance</t>
  </si>
  <si>
    <t>Design and engineering (D&amp;E)</t>
  </si>
  <si>
    <t>2% of installed cost and offsites</t>
  </si>
  <si>
    <t>Interest</t>
  </si>
  <si>
    <t>Interest on debit</t>
  </si>
  <si>
    <t>6% of working capital</t>
  </si>
  <si>
    <t>Labor costs</t>
  </si>
  <si>
    <t>Maintanance costs</t>
  </si>
  <si>
    <t>Total fixed production costs</t>
  </si>
  <si>
    <t>Fixed Production Costs (M$/year)</t>
  </si>
  <si>
    <t>Total Expenses (M$/year)</t>
  </si>
  <si>
    <t>Reference</t>
  </si>
  <si>
    <t>Turton2018 (Pg. 246)</t>
  </si>
  <si>
    <t>K-108</t>
  </si>
  <si>
    <t>E-166</t>
  </si>
  <si>
    <t>E-174</t>
  </si>
  <si>
    <t>E-164</t>
  </si>
  <si>
    <t>E-151</t>
  </si>
  <si>
    <t>E-147</t>
  </si>
  <si>
    <t>E-145</t>
  </si>
  <si>
    <t>E-149</t>
  </si>
  <si>
    <t>E-165</t>
  </si>
  <si>
    <t>E-167</t>
  </si>
  <si>
    <t>E-169</t>
  </si>
  <si>
    <t>E-175</t>
  </si>
  <si>
    <t>E-163</t>
  </si>
  <si>
    <t>E-150</t>
  </si>
  <si>
    <t>E-146</t>
  </si>
  <si>
    <t>E-168</t>
  </si>
  <si>
    <t>E-170</t>
  </si>
  <si>
    <t>E-172</t>
  </si>
  <si>
    <t>E-152</t>
  </si>
  <si>
    <t>E-154</t>
  </si>
  <si>
    <t>E-156</t>
  </si>
  <si>
    <t>E-160</t>
  </si>
  <si>
    <t>E-171</t>
  </si>
  <si>
    <t>E-173</t>
  </si>
  <si>
    <t>E-155</t>
  </si>
  <si>
    <t>E-157</t>
  </si>
  <si>
    <t>E-144</t>
  </si>
  <si>
    <t>E-148</t>
  </si>
  <si>
    <t>Methanator</t>
  </si>
  <si>
    <t>V-102</t>
  </si>
  <si>
    <t>V-103</t>
  </si>
  <si>
    <t>P-101</t>
  </si>
  <si>
    <t>Absorption Column T-100</t>
  </si>
  <si>
    <t>Absorption Column T-101</t>
  </si>
  <si>
    <t>T-100</t>
  </si>
  <si>
    <t>T-101</t>
  </si>
  <si>
    <t>Structure</t>
  </si>
  <si>
    <t>Valve trays</t>
  </si>
  <si>
    <t>Tray</t>
  </si>
  <si>
    <t>9 shift positions, 9 operators/shift</t>
  </si>
  <si>
    <t>diameter, m</t>
  </si>
  <si>
    <t>CEPCI 2018</t>
  </si>
  <si>
    <t>Reference Data</t>
  </si>
  <si>
    <t>2019 costs</t>
  </si>
  <si>
    <r>
      <t>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emissions</t>
    </r>
  </si>
  <si>
    <t xml:space="preserve">OPEX (M$/year) </t>
  </si>
  <si>
    <t>https://markets.businessinsider.com/commodities/co2-european-emission-allowances</t>
  </si>
  <si>
    <t>HP-100</t>
  </si>
  <si>
    <t>HP-102</t>
  </si>
  <si>
    <t>HP-103</t>
  </si>
  <si>
    <t>HP-104</t>
  </si>
  <si>
    <t>MP and LP Steam Utilization</t>
  </si>
  <si>
    <t>Turbine</t>
  </si>
  <si>
    <t>MLP-106</t>
  </si>
  <si>
    <t>MLP-107</t>
  </si>
  <si>
    <t>24 USD2018/MWh @ 47.1 MJ/kg</t>
  </si>
  <si>
    <t>Natural gas</t>
  </si>
  <si>
    <t>E-162</t>
  </si>
  <si>
    <t>Unit operation</t>
  </si>
  <si>
    <t>Catalyst used</t>
  </si>
  <si>
    <t>Total kg</t>
  </si>
  <si>
    <t>Hydro-desulfurization</t>
  </si>
  <si>
    <t>CoMo</t>
  </si>
  <si>
    <t>Desulfurization</t>
  </si>
  <si>
    <t>ZnO</t>
  </si>
  <si>
    <t>NiO</t>
  </si>
  <si>
    <t>Methanation</t>
  </si>
  <si>
    <t>Ammonia synthesis</t>
  </si>
  <si>
    <r>
      <t>Fe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O</t>
    </r>
    <r>
      <rPr>
        <vertAlign val="subscript"/>
        <sz val="11"/>
        <color theme="1"/>
        <rFont val="Calibri"/>
        <family val="2"/>
        <scheme val="minor"/>
      </rPr>
      <t>3</t>
    </r>
  </si>
  <si>
    <t>$/kg</t>
  </si>
  <si>
    <t>$</t>
  </si>
  <si>
    <t>CEPCI 2015</t>
  </si>
  <si>
    <t>2019$</t>
  </si>
  <si>
    <t>Cora2019 (table S4)</t>
  </si>
  <si>
    <t>Alibaba</t>
  </si>
  <si>
    <t>Year</t>
  </si>
  <si>
    <t>Total catalayst cost (M$/year)</t>
  </si>
  <si>
    <t>Catalyst costs</t>
  </si>
  <si>
    <t>Refer Catalyst Costs sheet</t>
  </si>
  <si>
    <t>E-138</t>
  </si>
  <si>
    <t>E-153</t>
  </si>
  <si>
    <t>E-140</t>
  </si>
  <si>
    <t>E-159</t>
  </si>
  <si>
    <t>Fired Heat - Natural Gas</t>
  </si>
  <si>
    <t>E-143</t>
  </si>
  <si>
    <t>E-161</t>
  </si>
  <si>
    <t>E-158</t>
  </si>
  <si>
    <t>External Furnace for SMR Heating</t>
  </si>
  <si>
    <t>Purge gas emissions</t>
  </si>
  <si>
    <t>We are not costing emissions from the purge</t>
  </si>
  <si>
    <t>E-128</t>
  </si>
  <si>
    <t>E-129</t>
  </si>
  <si>
    <t>E-130</t>
  </si>
  <si>
    <t>E-131</t>
  </si>
  <si>
    <t>E-132</t>
  </si>
  <si>
    <t>E-133</t>
  </si>
  <si>
    <t>E-134</t>
  </si>
  <si>
    <t>E-135</t>
  </si>
  <si>
    <t>E-136</t>
  </si>
  <si>
    <t>E-102</t>
  </si>
  <si>
    <t>Special Reactors</t>
  </si>
  <si>
    <t>Jiang2017, Pg. 110</t>
  </si>
  <si>
    <r>
      <t>Output, Nm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/hr</t>
    </r>
  </si>
  <si>
    <t>Jiang2017, Pg. 111</t>
  </si>
  <si>
    <t>Output, tonnes/day</t>
  </si>
  <si>
    <t>CEPCI 2017</t>
  </si>
  <si>
    <t>CAPEX</t>
  </si>
  <si>
    <t>Other utilities</t>
  </si>
  <si>
    <t>Fixed costs</t>
  </si>
  <si>
    <t>Nitrogen</t>
  </si>
  <si>
    <t>Hydrogen</t>
  </si>
  <si>
    <t>$/kg ammonia</t>
  </si>
  <si>
    <t>Unit/kg ammonia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</si>
</sst>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8" fillId="3" borderId="5" applyNumberFormat="0" applyAlignment="0" applyProtection="0"/>
  </cellStyleXfs>
  <cellXfs count="5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/>
    </xf>
    <xf numFmtId="164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164" fontId="0" fillId="0" borderId="1" xfId="0" applyNumberFormat="1" applyBorder="1"/>
    <xf numFmtId="2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2" fontId="0" fillId="0" borderId="1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164" fontId="0" fillId="0" borderId="0" xfId="0" applyNumberFormat="1"/>
    <xf numFmtId="2" fontId="0" fillId="0" borderId="1" xfId="0" applyNumberFormat="1" applyBorder="1" applyAlignment="1">
      <alignment horizontal="center"/>
    </xf>
    <xf numFmtId="2" fontId="0" fillId="0" borderId="3" xfId="0" applyNumberFormat="1" applyBorder="1"/>
    <xf numFmtId="2" fontId="1" fillId="0" borderId="4" xfId="0" applyNumberFormat="1" applyFont="1" applyBorder="1"/>
    <xf numFmtId="2" fontId="0" fillId="4" borderId="1" xfId="0" applyNumberFormat="1" applyFill="1" applyBorder="1"/>
    <xf numFmtId="2" fontId="4" fillId="0" borderId="1" xfId="0" applyNumberFormat="1" applyFont="1" applyBorder="1"/>
    <xf numFmtId="0" fontId="8" fillId="0" borderId="0" xfId="2" applyFill="1" applyBorder="1"/>
    <xf numFmtId="0" fontId="8" fillId="3" borderId="1" xfId="2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0" fillId="0" borderId="0" xfId="0" applyNumberFormat="1" applyAlignment="1">
      <alignment horizontal="right"/>
    </xf>
    <xf numFmtId="164" fontId="0" fillId="0" borderId="1" xfId="0" applyNumberFormat="1" applyBorder="1" applyAlignment="1">
      <alignment horizontal="center"/>
    </xf>
    <xf numFmtId="2" fontId="0" fillId="0" borderId="0" xfId="0" applyNumberFormat="1"/>
    <xf numFmtId="165" fontId="0" fillId="0" borderId="1" xfId="0" applyNumberFormat="1" applyBorder="1"/>
    <xf numFmtId="1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2" borderId="1" xfId="0" applyNumberFormat="1" applyFill="1" applyBorder="1" applyAlignment="1">
      <alignment horizontal="right"/>
    </xf>
    <xf numFmtId="0" fontId="9" fillId="0" borderId="1" xfId="1" applyFont="1" applyBorder="1" applyAlignment="1">
      <alignment horizontal="center"/>
    </xf>
    <xf numFmtId="2" fontId="9" fillId="0" borderId="1" xfId="0" applyNumberFormat="1" applyFont="1" applyBorder="1" applyAlignment="1">
      <alignment horizontal="center"/>
    </xf>
    <xf numFmtId="164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/>
    </xf>
    <xf numFmtId="2" fontId="9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11" fontId="0" fillId="0" borderId="0" xfId="0" applyNumberFormat="1"/>
    <xf numFmtId="0" fontId="7" fillId="0" borderId="2" xfId="1" applyFont="1" applyBorder="1" applyAlignment="1">
      <alignment horizontal="center"/>
    </xf>
    <xf numFmtId="0" fontId="7" fillId="0" borderId="3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3">
    <cellStyle name="Check Cell" xfId="2" builtinId="23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7"/>
  <sheetViews>
    <sheetView workbookViewId="0">
      <selection activeCell="G124" sqref="G124"/>
    </sheetView>
  </sheetViews>
  <sheetFormatPr defaultRowHeight="14.4" x14ac:dyDescent="0.3"/>
  <cols>
    <col min="1" max="1" width="28.5546875" bestFit="1" customWidth="1"/>
    <col min="2" max="2" width="19.77734375" bestFit="1" customWidth="1"/>
    <col min="3" max="3" width="16.109375" bestFit="1" customWidth="1"/>
    <col min="4" max="4" width="9.5546875" style="31" bestFit="1" customWidth="1"/>
    <col min="5" max="5" width="7.77734375" bestFit="1" customWidth="1"/>
    <col min="6" max="6" width="6.88671875" bestFit="1" customWidth="1"/>
    <col min="7" max="7" width="5.77734375" bestFit="1" customWidth="1"/>
    <col min="8" max="8" width="9.21875" bestFit="1" customWidth="1"/>
    <col min="10" max="10" width="11.109375" bestFit="1" customWidth="1"/>
    <col min="11" max="11" width="11.5546875" bestFit="1" customWidth="1"/>
    <col min="12" max="12" width="7" bestFit="1" customWidth="1"/>
    <col min="13" max="13" width="9.21875" bestFit="1" customWidth="1"/>
    <col min="14" max="14" width="9" bestFit="1" customWidth="1"/>
    <col min="15" max="15" width="8.21875" bestFit="1" customWidth="1"/>
    <col min="16" max="16" width="9.21875" bestFit="1" customWidth="1"/>
    <col min="17" max="17" width="10.88671875" bestFit="1" customWidth="1"/>
  </cols>
  <sheetData>
    <row r="1" spans="1:17" x14ac:dyDescent="0.3">
      <c r="A1" s="2" t="s">
        <v>0</v>
      </c>
      <c r="B1" s="3"/>
      <c r="C1" s="3"/>
    </row>
    <row r="2" spans="1:17" ht="15.6" x14ac:dyDescent="0.35">
      <c r="A2" s="3" t="s">
        <v>1</v>
      </c>
      <c r="B2" s="3" t="s">
        <v>45</v>
      </c>
      <c r="C2" s="3">
        <v>0.3</v>
      </c>
    </row>
    <row r="3" spans="1:17" ht="15.6" x14ac:dyDescent="0.35">
      <c r="A3" s="3" t="s">
        <v>2</v>
      </c>
      <c r="B3" s="3" t="s">
        <v>46</v>
      </c>
      <c r="C3" s="3">
        <v>0.8</v>
      </c>
    </row>
    <row r="4" spans="1:17" ht="15.6" x14ac:dyDescent="0.35">
      <c r="A4" s="3" t="s">
        <v>3</v>
      </c>
      <c r="B4" s="3" t="s">
        <v>47</v>
      </c>
      <c r="C4" s="3">
        <v>0.3</v>
      </c>
    </row>
    <row r="5" spans="1:17" ht="15.6" x14ac:dyDescent="0.35">
      <c r="A5" s="3" t="s">
        <v>4</v>
      </c>
      <c r="B5" s="3" t="s">
        <v>48</v>
      </c>
      <c r="C5" s="3">
        <v>0.2</v>
      </c>
    </row>
    <row r="6" spans="1:17" ht="15.6" x14ac:dyDescent="0.35">
      <c r="A6" s="3" t="s">
        <v>5</v>
      </c>
      <c r="B6" s="3" t="s">
        <v>49</v>
      </c>
      <c r="C6" s="3">
        <v>0.3</v>
      </c>
    </row>
    <row r="7" spans="1:17" ht="15.6" x14ac:dyDescent="0.35">
      <c r="A7" s="3" t="s">
        <v>6</v>
      </c>
      <c r="B7" s="3" t="s">
        <v>50</v>
      </c>
      <c r="C7" s="3">
        <v>0.2</v>
      </c>
    </row>
    <row r="8" spans="1:17" ht="15.6" x14ac:dyDescent="0.35">
      <c r="A8" s="3" t="s">
        <v>7</v>
      </c>
      <c r="B8" s="3" t="s">
        <v>51</v>
      </c>
      <c r="C8" s="3">
        <v>0.1</v>
      </c>
    </row>
    <row r="9" spans="1:17" ht="15.6" x14ac:dyDescent="0.35">
      <c r="A9" s="3" t="s">
        <v>8</v>
      </c>
      <c r="B9" s="3" t="s">
        <v>52</v>
      </c>
      <c r="C9" s="3">
        <v>1.3</v>
      </c>
    </row>
    <row r="10" spans="1:17" x14ac:dyDescent="0.3">
      <c r="A10" s="18"/>
      <c r="B10" s="18"/>
      <c r="C10" s="18"/>
    </row>
    <row r="12" spans="1:17" ht="44.4" x14ac:dyDescent="0.35">
      <c r="A12" s="2" t="s">
        <v>9</v>
      </c>
      <c r="B12" s="4" t="s">
        <v>13</v>
      </c>
      <c r="C12" s="4" t="s">
        <v>14</v>
      </c>
      <c r="D12" s="16" t="s">
        <v>15</v>
      </c>
      <c r="E12" s="2" t="s">
        <v>10</v>
      </c>
      <c r="F12" s="2" t="s">
        <v>11</v>
      </c>
      <c r="G12" s="2" t="s">
        <v>12</v>
      </c>
      <c r="H12" s="4" t="s">
        <v>19</v>
      </c>
      <c r="J12" s="2" t="s">
        <v>23</v>
      </c>
      <c r="K12" s="4" t="s">
        <v>21</v>
      </c>
      <c r="L12" s="4" t="s">
        <v>17</v>
      </c>
      <c r="M12" s="4" t="s">
        <v>22</v>
      </c>
      <c r="N12" s="4" t="s">
        <v>77</v>
      </c>
      <c r="O12" s="4" t="s">
        <v>16</v>
      </c>
      <c r="P12" s="4" t="s">
        <v>78</v>
      </c>
      <c r="Q12" s="4" t="s">
        <v>18</v>
      </c>
    </row>
    <row r="13" spans="1:17" x14ac:dyDescent="0.3">
      <c r="A13" s="49" t="s">
        <v>93</v>
      </c>
      <c r="B13" s="50"/>
      <c r="C13" s="50"/>
      <c r="D13" s="50"/>
      <c r="E13" s="50"/>
      <c r="F13" s="50"/>
      <c r="G13" s="50"/>
      <c r="H13" s="51"/>
      <c r="J13" s="38" t="s">
        <v>69</v>
      </c>
      <c r="K13" s="39">
        <v>3.048</v>
      </c>
      <c r="L13" s="39">
        <v>10.667999999999999</v>
      </c>
      <c r="M13" s="40">
        <f t="shared" ref="M13:M20" si="0">K13+0.0254</f>
        <v>3.0733999999999999</v>
      </c>
      <c r="N13" s="40">
        <f t="shared" ref="N13:N20" si="1">PI()*(M13*M13-K13*K13)/4</f>
        <v>0.12211650246249588</v>
      </c>
      <c r="O13" s="40">
        <f t="shared" ref="O13:O20" si="2">N13*L13</f>
        <v>1.3027388482699058</v>
      </c>
      <c r="P13" s="41">
        <v>8000</v>
      </c>
      <c r="Q13" s="42">
        <f t="shared" ref="Q13:Q20" si="3">P13*O13</f>
        <v>10421.910786159247</v>
      </c>
    </row>
    <row r="14" spans="1:17" x14ac:dyDescent="0.3">
      <c r="A14" s="3" t="s">
        <v>137</v>
      </c>
      <c r="B14" s="3" t="s">
        <v>79</v>
      </c>
      <c r="C14" s="3" t="s">
        <v>85</v>
      </c>
      <c r="D14" s="8">
        <v>520.97381448557303</v>
      </c>
      <c r="E14" s="7">
        <v>580000</v>
      </c>
      <c r="F14" s="7">
        <v>20000</v>
      </c>
      <c r="G14" s="8">
        <v>0.6</v>
      </c>
      <c r="H14" s="8">
        <f t="shared" ref="H14" si="4">(E14+(F14*(D14^G14)))/1000000</f>
        <v>1.4333349486777818</v>
      </c>
      <c r="J14" s="38" t="s">
        <v>70</v>
      </c>
      <c r="K14" s="39">
        <v>3.048</v>
      </c>
      <c r="L14" s="39">
        <v>10.667999999999999</v>
      </c>
      <c r="M14" s="40">
        <f t="shared" si="0"/>
        <v>3.0733999999999999</v>
      </c>
      <c r="N14" s="40">
        <f t="shared" si="1"/>
        <v>0.12211650246249588</v>
      </c>
      <c r="O14" s="40">
        <f t="shared" si="2"/>
        <v>1.3027388482699058</v>
      </c>
      <c r="P14" s="41">
        <v>8000</v>
      </c>
      <c r="Q14" s="42">
        <f t="shared" si="3"/>
        <v>10421.910786159247</v>
      </c>
    </row>
    <row r="15" spans="1:17" x14ac:dyDescent="0.3">
      <c r="A15" s="3" t="s">
        <v>60</v>
      </c>
      <c r="B15" s="3" t="s">
        <v>79</v>
      </c>
      <c r="C15" s="3" t="s">
        <v>85</v>
      </c>
      <c r="D15" s="8">
        <v>1918.81235047826</v>
      </c>
      <c r="E15" s="7">
        <v>580000</v>
      </c>
      <c r="F15" s="7">
        <v>20000</v>
      </c>
      <c r="G15" s="8">
        <v>0.6</v>
      </c>
      <c r="H15" s="8">
        <f t="shared" ref="H15:H30" si="5">(E15+(F15*(D15^G15)))/1000000</f>
        <v>2.4457330240750479</v>
      </c>
      <c r="J15" s="5" t="s">
        <v>71</v>
      </c>
      <c r="K15" s="22">
        <v>2</v>
      </c>
      <c r="L15" s="22">
        <v>2.13</v>
      </c>
      <c r="M15" s="6">
        <f t="shared" si="0"/>
        <v>2.0253999999999999</v>
      </c>
      <c r="N15" s="6">
        <f t="shared" si="1"/>
        <v>8.0303160880278113E-2</v>
      </c>
      <c r="O15" s="6">
        <f t="shared" si="2"/>
        <v>0.17104573267499237</v>
      </c>
      <c r="P15" s="3">
        <v>8000</v>
      </c>
      <c r="Q15" s="8">
        <f t="shared" si="3"/>
        <v>1368.3658613999389</v>
      </c>
    </row>
    <row r="16" spans="1:17" x14ac:dyDescent="0.3">
      <c r="A16" s="3" t="s">
        <v>61</v>
      </c>
      <c r="B16" s="3" t="s">
        <v>79</v>
      </c>
      <c r="C16" s="3" t="s">
        <v>85</v>
      </c>
      <c r="D16" s="8">
        <v>1918.9630424387799</v>
      </c>
      <c r="E16" s="7">
        <v>580000</v>
      </c>
      <c r="F16" s="7">
        <v>20000</v>
      </c>
      <c r="G16" s="8">
        <v>0.6</v>
      </c>
      <c r="H16" s="8">
        <f t="shared" si="5"/>
        <v>2.4458209367522783</v>
      </c>
      <c r="J16" s="3" t="s">
        <v>72</v>
      </c>
      <c r="K16" s="22">
        <v>2</v>
      </c>
      <c r="L16" s="22">
        <v>3.07</v>
      </c>
      <c r="M16" s="6">
        <f t="shared" si="0"/>
        <v>2.0253999999999999</v>
      </c>
      <c r="N16" s="6">
        <f t="shared" si="1"/>
        <v>8.0303160880278113E-2</v>
      </c>
      <c r="O16" s="6">
        <f t="shared" si="2"/>
        <v>0.2465307039024538</v>
      </c>
      <c r="P16" s="3">
        <v>8000</v>
      </c>
      <c r="Q16" s="8">
        <f t="shared" si="3"/>
        <v>1972.2456312196305</v>
      </c>
    </row>
    <row r="17" spans="1:17" x14ac:dyDescent="0.3">
      <c r="A17" s="3" t="s">
        <v>62</v>
      </c>
      <c r="B17" s="3" t="s">
        <v>79</v>
      </c>
      <c r="C17" s="3" t="s">
        <v>85</v>
      </c>
      <c r="D17" s="8">
        <v>1919.1059745955399</v>
      </c>
      <c r="E17" s="7">
        <v>580000</v>
      </c>
      <c r="F17" s="7">
        <v>20000</v>
      </c>
      <c r="G17" s="8">
        <v>0.6</v>
      </c>
      <c r="H17" s="8">
        <f t="shared" si="5"/>
        <v>2.4459043198603694</v>
      </c>
      <c r="J17" s="3" t="s">
        <v>73</v>
      </c>
      <c r="K17" s="22">
        <v>2</v>
      </c>
      <c r="L17" s="22">
        <v>4.84</v>
      </c>
      <c r="M17" s="6">
        <f t="shared" si="0"/>
        <v>2.0253999999999999</v>
      </c>
      <c r="N17" s="6">
        <f t="shared" si="1"/>
        <v>8.0303160880278113E-2</v>
      </c>
      <c r="O17" s="6">
        <f t="shared" si="2"/>
        <v>0.38866729866054606</v>
      </c>
      <c r="P17" s="3">
        <v>8000</v>
      </c>
      <c r="Q17" s="8">
        <f t="shared" si="3"/>
        <v>3109.3383892843685</v>
      </c>
    </row>
    <row r="18" spans="1:17" x14ac:dyDescent="0.3">
      <c r="A18" s="3" t="s">
        <v>63</v>
      </c>
      <c r="B18" s="3" t="s">
        <v>79</v>
      </c>
      <c r="C18" s="3" t="s">
        <v>85</v>
      </c>
      <c r="D18" s="8">
        <v>1953.1508851747999</v>
      </c>
      <c r="E18" s="7">
        <v>580000</v>
      </c>
      <c r="F18" s="7">
        <v>20000</v>
      </c>
      <c r="G18" s="8">
        <v>0.6</v>
      </c>
      <c r="H18" s="8">
        <f t="shared" si="5"/>
        <v>2.4656950999187046</v>
      </c>
      <c r="J18" s="3" t="s">
        <v>74</v>
      </c>
      <c r="K18" s="22">
        <v>3.9624000000000001</v>
      </c>
      <c r="L18" s="22">
        <v>13.868399999999999</v>
      </c>
      <c r="M18" s="6">
        <f t="shared" si="0"/>
        <v>3.9878</v>
      </c>
      <c r="N18" s="6">
        <f t="shared" si="1"/>
        <v>0.15859944095751552</v>
      </c>
      <c r="O18" s="6">
        <f t="shared" si="2"/>
        <v>2.1995204869752083</v>
      </c>
      <c r="P18" s="3">
        <v>8000</v>
      </c>
      <c r="Q18" s="8">
        <f t="shared" si="3"/>
        <v>17596.163895801667</v>
      </c>
    </row>
    <row r="19" spans="1:17" x14ac:dyDescent="0.3">
      <c r="A19" s="3" t="s">
        <v>53</v>
      </c>
      <c r="B19" s="3" t="s">
        <v>79</v>
      </c>
      <c r="C19" s="3" t="s">
        <v>85</v>
      </c>
      <c r="D19" s="8">
        <v>3248.87293128595</v>
      </c>
      <c r="E19" s="7">
        <v>580000</v>
      </c>
      <c r="F19" s="7">
        <v>20000</v>
      </c>
      <c r="G19" s="8">
        <v>0.6</v>
      </c>
      <c r="H19" s="8">
        <f t="shared" ref="H19:H25" si="6">(E19+(F19*(D19^G19)))/1000000</f>
        <v>3.1389961417395664</v>
      </c>
      <c r="J19" s="3" t="s">
        <v>75</v>
      </c>
      <c r="K19" s="22">
        <v>1.524</v>
      </c>
      <c r="L19" s="22">
        <v>8.3819999999999997</v>
      </c>
      <c r="M19" s="6">
        <f t="shared" si="0"/>
        <v>1.5494000000000001</v>
      </c>
      <c r="N19" s="6">
        <f t="shared" si="1"/>
        <v>6.1311604970797184E-2</v>
      </c>
      <c r="O19" s="6">
        <f t="shared" si="2"/>
        <v>0.51391387286522194</v>
      </c>
      <c r="P19" s="3">
        <v>8000</v>
      </c>
      <c r="Q19" s="8">
        <f t="shared" si="3"/>
        <v>4111.3109829217756</v>
      </c>
    </row>
    <row r="20" spans="1:17" x14ac:dyDescent="0.3">
      <c r="A20" s="3" t="s">
        <v>54</v>
      </c>
      <c r="B20" s="3" t="s">
        <v>79</v>
      </c>
      <c r="C20" s="3" t="s">
        <v>85</v>
      </c>
      <c r="D20" s="8">
        <v>8923.6286639289792</v>
      </c>
      <c r="E20" s="7">
        <v>580000</v>
      </c>
      <c r="F20" s="7">
        <v>20000</v>
      </c>
      <c r="G20" s="8">
        <v>0.6</v>
      </c>
      <c r="H20" s="8">
        <f t="shared" si="6"/>
        <v>5.2719663586015084</v>
      </c>
      <c r="J20" s="3" t="s">
        <v>76</v>
      </c>
      <c r="K20" s="22">
        <v>1.524</v>
      </c>
      <c r="L20" s="22">
        <v>8.3819999999999997</v>
      </c>
      <c r="M20" s="6">
        <f t="shared" si="0"/>
        <v>1.5494000000000001</v>
      </c>
      <c r="N20" s="6">
        <f t="shared" si="1"/>
        <v>6.1311604970797184E-2</v>
      </c>
      <c r="O20" s="6">
        <f t="shared" si="2"/>
        <v>0.51391387286522194</v>
      </c>
      <c r="P20" s="3">
        <v>8000</v>
      </c>
      <c r="Q20" s="8">
        <f t="shared" si="3"/>
        <v>4111.3109829217756</v>
      </c>
    </row>
    <row r="21" spans="1:17" x14ac:dyDescent="0.3">
      <c r="A21" s="3" t="s">
        <v>55</v>
      </c>
      <c r="B21" s="3" t="s">
        <v>79</v>
      </c>
      <c r="C21" s="3" t="s">
        <v>85</v>
      </c>
      <c r="D21" s="8">
        <v>7774.6048566686704</v>
      </c>
      <c r="E21" s="7">
        <v>580000</v>
      </c>
      <c r="F21" s="7">
        <v>20000</v>
      </c>
      <c r="G21" s="8">
        <v>0.6</v>
      </c>
      <c r="H21" s="8">
        <f t="shared" si="6"/>
        <v>4.8995349355340361</v>
      </c>
      <c r="J21" s="3" t="s">
        <v>166</v>
      </c>
      <c r="K21" s="22">
        <v>1.3715999999999999</v>
      </c>
      <c r="L21" s="22">
        <v>4.8006000000000002</v>
      </c>
      <c r="M21" s="6">
        <f t="shared" ref="M21:M22" si="7">K21+0.0254</f>
        <v>1.397</v>
      </c>
      <c r="N21" s="6">
        <f t="shared" ref="N21:N22" si="8">PI()*(M21*M21-K21*K21)/4</f>
        <v>5.5231115221627589E-2</v>
      </c>
      <c r="O21" s="6">
        <f t="shared" ref="O21:O22" si="9">N21*L21</f>
        <v>0.26514249173294541</v>
      </c>
      <c r="P21" s="3">
        <v>8000</v>
      </c>
      <c r="Q21" s="8">
        <f t="shared" ref="Q21:Q22" si="10">P21*O21</f>
        <v>2121.1399338635633</v>
      </c>
    </row>
    <row r="22" spans="1:17" x14ac:dyDescent="0.3">
      <c r="A22" s="3" t="s">
        <v>56</v>
      </c>
      <c r="B22" s="3" t="s">
        <v>79</v>
      </c>
      <c r="C22" s="3" t="s">
        <v>85</v>
      </c>
      <c r="D22" s="8">
        <v>2615.6889962314999</v>
      </c>
      <c r="E22" s="7">
        <v>580000</v>
      </c>
      <c r="F22" s="7">
        <v>20000</v>
      </c>
      <c r="G22" s="8">
        <v>0.6</v>
      </c>
      <c r="H22" s="8">
        <f t="shared" si="6"/>
        <v>2.8268892111042603</v>
      </c>
      <c r="J22" s="3" t="s">
        <v>167</v>
      </c>
      <c r="K22" s="22">
        <v>3.6576</v>
      </c>
      <c r="L22" s="22">
        <v>12.801600000000001</v>
      </c>
      <c r="M22" s="6">
        <f t="shared" si="7"/>
        <v>3.6829999999999998</v>
      </c>
      <c r="N22" s="6">
        <f t="shared" si="8"/>
        <v>0.14643846145917563</v>
      </c>
      <c r="O22" s="6">
        <f t="shared" si="9"/>
        <v>1.8746466082157829</v>
      </c>
      <c r="P22" s="3">
        <v>8000</v>
      </c>
      <c r="Q22" s="8">
        <f t="shared" si="10"/>
        <v>14997.172865726263</v>
      </c>
    </row>
    <row r="23" spans="1:17" x14ac:dyDescent="0.3">
      <c r="A23" s="3" t="s">
        <v>57</v>
      </c>
      <c r="B23" s="3" t="s">
        <v>79</v>
      </c>
      <c r="C23" s="3" t="s">
        <v>85</v>
      </c>
      <c r="D23" s="8">
        <v>41.043825831590198</v>
      </c>
      <c r="E23" s="7">
        <v>580000</v>
      </c>
      <c r="F23" s="7">
        <v>20000</v>
      </c>
      <c r="G23" s="8">
        <v>0.6</v>
      </c>
      <c r="H23" s="8">
        <f t="shared" si="6"/>
        <v>0.76577133295499256</v>
      </c>
      <c r="J23" s="3" t="s">
        <v>171</v>
      </c>
      <c r="K23" s="22">
        <v>3.1139999999999999</v>
      </c>
      <c r="L23" s="22">
        <f>0.60960000000058*(10)</f>
        <v>6.0960000000057999</v>
      </c>
      <c r="M23" s="6">
        <f t="shared" ref="M23" si="11">K23+0.0254</f>
        <v>3.1393999999999997</v>
      </c>
      <c r="N23" s="6">
        <f t="shared" ref="N23" si="12">PI()*(M23*M23-K23*K23)/4</f>
        <v>0.12474978542473628</v>
      </c>
      <c r="O23" s="6">
        <f t="shared" ref="O23" si="13">N23*L23</f>
        <v>0.7604746919499159</v>
      </c>
      <c r="P23" s="3">
        <v>8000</v>
      </c>
      <c r="Q23" s="8">
        <f t="shared" ref="Q23" si="14">P23*O23</f>
        <v>6083.7975355993276</v>
      </c>
    </row>
    <row r="24" spans="1:17" x14ac:dyDescent="0.3">
      <c r="A24" s="3" t="s">
        <v>58</v>
      </c>
      <c r="B24" s="3" t="s">
        <v>79</v>
      </c>
      <c r="C24" s="3" t="s">
        <v>85</v>
      </c>
      <c r="D24" s="8">
        <v>3297.1211213977399</v>
      </c>
      <c r="E24" s="7">
        <v>580000</v>
      </c>
      <c r="F24" s="7">
        <v>20000</v>
      </c>
      <c r="G24" s="8">
        <v>0.6</v>
      </c>
      <c r="H24" s="8">
        <f t="shared" si="6"/>
        <v>3.1617306848419324</v>
      </c>
      <c r="J24" s="3" t="s">
        <v>172</v>
      </c>
      <c r="K24" s="22">
        <v>5.1494999999999997</v>
      </c>
      <c r="L24" s="22">
        <f>0.60960000000058*(10)</f>
        <v>6.0960000000057999</v>
      </c>
      <c r="M24" s="6">
        <f t="shared" ref="M24:M25" si="15">K24+0.0254</f>
        <v>5.1749000000000001</v>
      </c>
      <c r="N24" s="6">
        <f t="shared" ref="N24:N25" si="16">PI()*(M24*M24-K24*K24)/4</f>
        <v>0.20596262587379036</v>
      </c>
      <c r="O24" s="6">
        <f t="shared" ref="O24:O25" si="17">N24*L24</f>
        <v>1.2555481673278206</v>
      </c>
      <c r="P24" s="3">
        <v>8000</v>
      </c>
      <c r="Q24" s="8">
        <f t="shared" ref="Q24:Q25" si="18">P24*O24</f>
        <v>10044.385338622566</v>
      </c>
    </row>
    <row r="25" spans="1:17" x14ac:dyDescent="0.3">
      <c r="A25" s="3" t="s">
        <v>59</v>
      </c>
      <c r="B25" s="3" t="s">
        <v>79</v>
      </c>
      <c r="C25" s="3" t="s">
        <v>85</v>
      </c>
      <c r="D25" s="8">
        <v>4754.89114523018</v>
      </c>
      <c r="E25" s="7">
        <v>580000</v>
      </c>
      <c r="F25" s="7">
        <v>20000</v>
      </c>
      <c r="G25" s="8">
        <v>0.6</v>
      </c>
      <c r="H25" s="8">
        <f t="shared" si="6"/>
        <v>3.7959874334015109</v>
      </c>
      <c r="J25" s="38" t="s">
        <v>68</v>
      </c>
      <c r="K25" s="39">
        <v>3.048</v>
      </c>
      <c r="L25" s="39">
        <v>10.667999999999999</v>
      </c>
      <c r="M25" s="40">
        <f t="shared" si="15"/>
        <v>3.0733999999999999</v>
      </c>
      <c r="N25" s="40">
        <f t="shared" si="16"/>
        <v>0.12211650246249588</v>
      </c>
      <c r="O25" s="40">
        <f t="shared" si="17"/>
        <v>1.3027388482699058</v>
      </c>
      <c r="P25" s="41">
        <v>8000</v>
      </c>
      <c r="Q25" s="42">
        <f t="shared" si="18"/>
        <v>10421.910786159247</v>
      </c>
    </row>
    <row r="26" spans="1:17" x14ac:dyDescent="0.3">
      <c r="A26" s="49" t="s">
        <v>94</v>
      </c>
      <c r="B26" s="50"/>
      <c r="C26" s="50"/>
      <c r="D26" s="50"/>
      <c r="E26" s="50"/>
      <c r="F26" s="50"/>
      <c r="G26" s="50"/>
      <c r="H26" s="51"/>
      <c r="K26" s="21"/>
    </row>
    <row r="27" spans="1:17" x14ac:dyDescent="0.3">
      <c r="A27" s="3" t="s">
        <v>227</v>
      </c>
      <c r="B27" s="3" t="s">
        <v>80</v>
      </c>
      <c r="C27" s="3" t="s">
        <v>86</v>
      </c>
      <c r="D27" s="8">
        <v>623.957380897946</v>
      </c>
      <c r="E27" s="7">
        <v>28000</v>
      </c>
      <c r="F27" s="7">
        <v>54</v>
      </c>
      <c r="G27" s="8">
        <v>1.2</v>
      </c>
      <c r="H27" s="8">
        <f t="shared" si="5"/>
        <v>0.15006177231166687</v>
      </c>
    </row>
    <row r="28" spans="1:17" x14ac:dyDescent="0.3">
      <c r="A28" s="3" t="s">
        <v>228</v>
      </c>
      <c r="B28" s="3" t="s">
        <v>80</v>
      </c>
      <c r="C28" s="3" t="s">
        <v>86</v>
      </c>
      <c r="D28" s="8">
        <v>85.277032207767604</v>
      </c>
      <c r="E28" s="7">
        <v>28000</v>
      </c>
      <c r="F28" s="7">
        <v>54</v>
      </c>
      <c r="G28" s="8">
        <v>1.2</v>
      </c>
      <c r="H28" s="8">
        <f t="shared" si="5"/>
        <v>3.9204494121636277E-2</v>
      </c>
    </row>
    <row r="29" spans="1:17" x14ac:dyDescent="0.3">
      <c r="A29" s="3" t="s">
        <v>229</v>
      </c>
      <c r="B29" s="3" t="s">
        <v>80</v>
      </c>
      <c r="C29" s="3" t="s">
        <v>86</v>
      </c>
      <c r="D29" s="8">
        <v>56.302091293308202</v>
      </c>
      <c r="E29" s="7">
        <v>28000</v>
      </c>
      <c r="F29" s="7">
        <v>54</v>
      </c>
      <c r="G29" s="8">
        <v>1.2</v>
      </c>
      <c r="H29" s="8">
        <f t="shared" si="5"/>
        <v>3.4808057134972717E-2</v>
      </c>
    </row>
    <row r="30" spans="1:17" x14ac:dyDescent="0.3">
      <c r="A30" s="3" t="s">
        <v>230</v>
      </c>
      <c r="B30" s="3" t="s">
        <v>80</v>
      </c>
      <c r="C30" s="3" t="s">
        <v>86</v>
      </c>
      <c r="D30" s="8">
        <v>162.29127132950799</v>
      </c>
      <c r="E30" s="7">
        <v>28000</v>
      </c>
      <c r="F30" s="7">
        <v>54</v>
      </c>
      <c r="G30" s="8">
        <v>1.2</v>
      </c>
      <c r="H30" s="8">
        <f t="shared" si="5"/>
        <v>5.2252022063433635E-2</v>
      </c>
    </row>
    <row r="31" spans="1:17" x14ac:dyDescent="0.3">
      <c r="A31" s="3" t="s">
        <v>231</v>
      </c>
      <c r="B31" s="3" t="s">
        <v>80</v>
      </c>
      <c r="C31" s="3" t="s">
        <v>86</v>
      </c>
      <c r="D31" s="8">
        <v>2320.2029007226101</v>
      </c>
      <c r="E31" s="7">
        <v>28000</v>
      </c>
      <c r="F31" s="7">
        <v>54</v>
      </c>
      <c r="G31" s="8">
        <v>1.2</v>
      </c>
      <c r="H31" s="8">
        <f t="shared" ref="H31:H63" si="19">(E31+(F31*(D31^G31)))/1000000</f>
        <v>0.61823494484437247</v>
      </c>
    </row>
    <row r="32" spans="1:17" x14ac:dyDescent="0.3">
      <c r="A32" s="3" t="s">
        <v>232</v>
      </c>
      <c r="B32" s="3" t="s">
        <v>80</v>
      </c>
      <c r="C32" s="3" t="s">
        <v>86</v>
      </c>
      <c r="D32" s="8">
        <v>160.80250699081</v>
      </c>
      <c r="E32" s="7">
        <v>28000</v>
      </c>
      <c r="F32" s="7">
        <v>54</v>
      </c>
      <c r="G32" s="8">
        <v>1.2</v>
      </c>
      <c r="H32" s="8">
        <f t="shared" ref="H32:H50" si="20">(E32+(F32*(D32^G32)))/1000000</f>
        <v>5.1985299081928747E-2</v>
      </c>
    </row>
    <row r="33" spans="1:8" x14ac:dyDescent="0.3">
      <c r="A33" s="3" t="s">
        <v>233</v>
      </c>
      <c r="B33" s="3" t="s">
        <v>80</v>
      </c>
      <c r="C33" s="3" t="s">
        <v>86</v>
      </c>
      <c r="D33" s="8">
        <v>1396.5433588374101</v>
      </c>
      <c r="E33" s="7">
        <v>28000</v>
      </c>
      <c r="F33" s="7">
        <v>54</v>
      </c>
      <c r="G33" s="8">
        <v>1.2</v>
      </c>
      <c r="H33" s="8">
        <f t="shared" si="20"/>
        <v>0.34896602850543468</v>
      </c>
    </row>
    <row r="34" spans="1:8" x14ac:dyDescent="0.3">
      <c r="A34" s="3" t="s">
        <v>234</v>
      </c>
      <c r="B34" s="3" t="s">
        <v>80</v>
      </c>
      <c r="C34" s="3" t="s">
        <v>86</v>
      </c>
      <c r="D34" s="8">
        <v>4119.7170196487796</v>
      </c>
      <c r="E34" s="7">
        <v>28000</v>
      </c>
      <c r="F34" s="7">
        <v>54</v>
      </c>
      <c r="G34" s="8">
        <v>1.2</v>
      </c>
      <c r="H34" s="8">
        <f t="shared" si="20"/>
        <v>1.2035324514444676</v>
      </c>
    </row>
    <row r="35" spans="1:8" x14ac:dyDescent="0.3">
      <c r="A35" s="3" t="s">
        <v>235</v>
      </c>
      <c r="B35" s="3" t="s">
        <v>80</v>
      </c>
      <c r="C35" s="3" t="s">
        <v>86</v>
      </c>
      <c r="D35" s="8">
        <v>4.5208053897524003</v>
      </c>
      <c r="E35" s="7">
        <v>28000</v>
      </c>
      <c r="F35" s="7">
        <v>54</v>
      </c>
      <c r="G35" s="8">
        <v>1.2</v>
      </c>
      <c r="H35" s="8">
        <f t="shared" si="20"/>
        <v>2.8330105480220108E-2</v>
      </c>
    </row>
    <row r="36" spans="1:8" x14ac:dyDescent="0.3">
      <c r="A36" s="3" t="s">
        <v>67</v>
      </c>
      <c r="B36" s="3" t="s">
        <v>80</v>
      </c>
      <c r="C36" s="3" t="s">
        <v>86</v>
      </c>
      <c r="D36" s="8">
        <v>687.95728382378002</v>
      </c>
      <c r="E36" s="7">
        <v>28000</v>
      </c>
      <c r="F36" s="7">
        <v>54</v>
      </c>
      <c r="G36" s="8">
        <v>1.2</v>
      </c>
      <c r="H36" s="8">
        <f t="shared" si="20"/>
        <v>0.165235834532828</v>
      </c>
    </row>
    <row r="37" spans="1:8" x14ac:dyDescent="0.3">
      <c r="A37" s="3" t="s">
        <v>216</v>
      </c>
      <c r="B37" s="3" t="s">
        <v>80</v>
      </c>
      <c r="C37" s="3" t="s">
        <v>86</v>
      </c>
      <c r="D37" s="8">
        <v>1353.3089029190701</v>
      </c>
      <c r="E37" s="7">
        <v>28000</v>
      </c>
      <c r="F37" s="7">
        <v>54</v>
      </c>
      <c r="G37" s="8">
        <v>1.2</v>
      </c>
      <c r="H37" s="8">
        <f t="shared" si="20"/>
        <v>0.33707941849685852</v>
      </c>
    </row>
    <row r="38" spans="1:8" x14ac:dyDescent="0.3">
      <c r="A38" s="3" t="s">
        <v>64</v>
      </c>
      <c r="B38" s="3" t="s">
        <v>80</v>
      </c>
      <c r="C38" s="3" t="s">
        <v>86</v>
      </c>
      <c r="D38" s="8">
        <v>5159.0463351099197</v>
      </c>
      <c r="E38" s="7">
        <v>28000</v>
      </c>
      <c r="F38" s="7">
        <v>54</v>
      </c>
      <c r="G38" s="8">
        <v>1.2</v>
      </c>
      <c r="H38" s="8">
        <f t="shared" si="20"/>
        <v>1.5678452367226035</v>
      </c>
    </row>
    <row r="39" spans="1:8" x14ac:dyDescent="0.3">
      <c r="A39" s="3" t="s">
        <v>218</v>
      </c>
      <c r="B39" s="3" t="s">
        <v>80</v>
      </c>
      <c r="C39" s="3" t="s">
        <v>86</v>
      </c>
      <c r="D39" s="8">
        <v>7081.28282248095</v>
      </c>
      <c r="E39" s="7">
        <v>28000</v>
      </c>
      <c r="F39" s="7">
        <v>54</v>
      </c>
      <c r="G39" s="8">
        <v>1.2</v>
      </c>
      <c r="H39" s="8">
        <f t="shared" si="20"/>
        <v>2.2797910470459684</v>
      </c>
    </row>
    <row r="40" spans="1:8" x14ac:dyDescent="0.3">
      <c r="A40" s="3" t="s">
        <v>66</v>
      </c>
      <c r="B40" s="3" t="s">
        <v>80</v>
      </c>
      <c r="C40" s="3" t="s">
        <v>86</v>
      </c>
      <c r="D40" s="8">
        <v>617.56380515965998</v>
      </c>
      <c r="E40" s="7">
        <v>28000</v>
      </c>
      <c r="F40" s="7">
        <v>54</v>
      </c>
      <c r="G40" s="8">
        <v>1.2</v>
      </c>
      <c r="H40" s="8">
        <f t="shared" si="20"/>
        <v>0.14856242121794144</v>
      </c>
    </row>
    <row r="41" spans="1:8" x14ac:dyDescent="0.3">
      <c r="A41" s="3" t="s">
        <v>65</v>
      </c>
      <c r="B41" s="3" t="s">
        <v>80</v>
      </c>
      <c r="C41" s="3" t="s">
        <v>86</v>
      </c>
      <c r="D41" s="8">
        <v>612.61507478991803</v>
      </c>
      <c r="E41" s="7">
        <v>28000</v>
      </c>
      <c r="F41" s="7">
        <v>54</v>
      </c>
      <c r="G41" s="8">
        <v>1.2</v>
      </c>
      <c r="H41" s="8">
        <f t="shared" si="20"/>
        <v>0.1474040273105032</v>
      </c>
    </row>
    <row r="42" spans="1:8" x14ac:dyDescent="0.3">
      <c r="A42" s="3" t="s">
        <v>221</v>
      </c>
      <c r="B42" s="3" t="s">
        <v>80</v>
      </c>
      <c r="C42" s="3" t="s">
        <v>86</v>
      </c>
      <c r="D42" s="8">
        <v>7.6603851575309898</v>
      </c>
      <c r="E42" s="7">
        <v>28000</v>
      </c>
      <c r="F42" s="7">
        <v>54</v>
      </c>
      <c r="G42" s="8">
        <v>1.2</v>
      </c>
      <c r="H42" s="8">
        <f t="shared" si="20"/>
        <v>2.862157635757745E-2</v>
      </c>
    </row>
    <row r="43" spans="1:8" x14ac:dyDescent="0.3">
      <c r="A43" s="3" t="s">
        <v>163</v>
      </c>
      <c r="B43" s="3" t="s">
        <v>80</v>
      </c>
      <c r="C43" s="3" t="s">
        <v>86</v>
      </c>
      <c r="D43" s="8">
        <v>830.49669448436305</v>
      </c>
      <c r="E43" s="7">
        <v>28000</v>
      </c>
      <c r="F43" s="7">
        <v>54</v>
      </c>
      <c r="G43" s="8">
        <v>1.2</v>
      </c>
      <c r="H43" s="8">
        <f t="shared" si="20"/>
        <v>0.20002804334984978</v>
      </c>
    </row>
    <row r="44" spans="1:8" x14ac:dyDescent="0.3">
      <c r="A44" s="3" t="s">
        <v>143</v>
      </c>
      <c r="B44" s="3" t="s">
        <v>80</v>
      </c>
      <c r="C44" s="3" t="s">
        <v>86</v>
      </c>
      <c r="D44" s="8">
        <v>810.61406803440195</v>
      </c>
      <c r="E44" s="7">
        <v>28000</v>
      </c>
      <c r="F44" s="7">
        <v>54</v>
      </c>
      <c r="G44" s="8">
        <v>1.2</v>
      </c>
      <c r="H44" s="8">
        <f t="shared" si="20"/>
        <v>0.19509779679080222</v>
      </c>
    </row>
    <row r="45" spans="1:8" x14ac:dyDescent="0.3">
      <c r="A45" s="3" t="s">
        <v>151</v>
      </c>
      <c r="B45" s="3" t="s">
        <v>80</v>
      </c>
      <c r="C45" s="3" t="s">
        <v>86</v>
      </c>
      <c r="D45" s="8">
        <v>2615.78604322704</v>
      </c>
      <c r="E45" s="7">
        <v>28000</v>
      </c>
      <c r="F45" s="7">
        <v>54</v>
      </c>
      <c r="G45" s="8">
        <v>1.2</v>
      </c>
      <c r="H45" s="8">
        <f t="shared" si="20"/>
        <v>0.70957934635868025</v>
      </c>
    </row>
    <row r="46" spans="1:8" x14ac:dyDescent="0.3">
      <c r="A46" s="3" t="s">
        <v>142</v>
      </c>
      <c r="B46" s="3" t="s">
        <v>80</v>
      </c>
      <c r="C46" s="3" t="s">
        <v>86</v>
      </c>
      <c r="D46" s="8">
        <v>537.04664912134001</v>
      </c>
      <c r="E46" s="7">
        <v>28000</v>
      </c>
      <c r="F46" s="7">
        <v>54</v>
      </c>
      <c r="G46" s="8">
        <v>1.2</v>
      </c>
      <c r="H46" s="8">
        <f t="shared" si="20"/>
        <v>0.12995491648309332</v>
      </c>
    </row>
    <row r="47" spans="1:8" x14ac:dyDescent="0.3">
      <c r="A47" s="3" t="s">
        <v>164</v>
      </c>
      <c r="B47" s="3" t="s">
        <v>80</v>
      </c>
      <c r="C47" s="3" t="s">
        <v>86</v>
      </c>
      <c r="D47" s="8">
        <v>398.79484976505802</v>
      </c>
      <c r="E47" s="7">
        <v>28000</v>
      </c>
      <c r="F47" s="7">
        <v>54</v>
      </c>
      <c r="G47" s="8">
        <v>1.2</v>
      </c>
      <c r="H47" s="8">
        <f t="shared" si="20"/>
        <v>9.9333446727538813E-2</v>
      </c>
    </row>
    <row r="48" spans="1:8" x14ac:dyDescent="0.3">
      <c r="A48" s="3" t="s">
        <v>144</v>
      </c>
      <c r="B48" s="3" t="s">
        <v>80</v>
      </c>
      <c r="C48" s="3" t="s">
        <v>86</v>
      </c>
      <c r="D48" s="8">
        <v>727.98793470174598</v>
      </c>
      <c r="E48" s="7">
        <v>28000</v>
      </c>
      <c r="F48" s="7">
        <v>54</v>
      </c>
      <c r="G48" s="8">
        <v>1.2</v>
      </c>
      <c r="H48" s="8">
        <f t="shared" si="20"/>
        <v>0.17487327459617005</v>
      </c>
    </row>
    <row r="49" spans="1:8" x14ac:dyDescent="0.3">
      <c r="A49" s="3" t="s">
        <v>150</v>
      </c>
      <c r="B49" s="3" t="s">
        <v>80</v>
      </c>
      <c r="C49" s="3" t="s">
        <v>86</v>
      </c>
      <c r="D49" s="8">
        <v>24.993636912250299</v>
      </c>
      <c r="E49" s="7">
        <v>28000</v>
      </c>
      <c r="F49" s="7">
        <v>54</v>
      </c>
      <c r="G49" s="8">
        <v>1.2</v>
      </c>
      <c r="H49" s="8">
        <f t="shared" si="20"/>
        <v>3.0569147907260806E-2</v>
      </c>
    </row>
    <row r="50" spans="1:8" x14ac:dyDescent="0.3">
      <c r="A50" s="3" t="s">
        <v>141</v>
      </c>
      <c r="B50" s="3" t="s">
        <v>80</v>
      </c>
      <c r="C50" s="3" t="s">
        <v>86</v>
      </c>
      <c r="D50" s="8">
        <v>14.372065561721399</v>
      </c>
      <c r="E50" s="7">
        <v>28000</v>
      </c>
      <c r="F50" s="7">
        <v>54</v>
      </c>
      <c r="G50" s="8">
        <v>1.2</v>
      </c>
      <c r="H50" s="8">
        <f t="shared" si="20"/>
        <v>2.9322564275117112E-2</v>
      </c>
    </row>
    <row r="51" spans="1:8" x14ac:dyDescent="0.3">
      <c r="A51" s="3" t="s">
        <v>155</v>
      </c>
      <c r="B51" s="3" t="s">
        <v>80</v>
      </c>
      <c r="C51" s="3" t="s">
        <v>86</v>
      </c>
      <c r="D51" s="8">
        <v>56.845413381833097</v>
      </c>
      <c r="E51" s="7">
        <v>28000</v>
      </c>
      <c r="F51" s="7">
        <v>54</v>
      </c>
      <c r="G51" s="8">
        <v>1.2</v>
      </c>
      <c r="H51" s="8">
        <f t="shared" si="19"/>
        <v>3.4886971323903913E-2</v>
      </c>
    </row>
    <row r="52" spans="1:8" x14ac:dyDescent="0.3">
      <c r="A52" s="3" t="s">
        <v>217</v>
      </c>
      <c r="B52" s="3" t="s">
        <v>80</v>
      </c>
      <c r="C52" s="3" t="s">
        <v>86</v>
      </c>
      <c r="D52" s="8">
        <v>68.405575246322798</v>
      </c>
      <c r="E52" s="7">
        <v>28000</v>
      </c>
      <c r="F52" s="7">
        <v>54</v>
      </c>
      <c r="G52" s="8">
        <v>1.2</v>
      </c>
      <c r="H52" s="8">
        <f t="shared" si="19"/>
        <v>3.6600101147171264E-2</v>
      </c>
    </row>
    <row r="53" spans="1:8" x14ac:dyDescent="0.3">
      <c r="A53" s="3" t="s">
        <v>156</v>
      </c>
      <c r="B53" s="3" t="s">
        <v>80</v>
      </c>
      <c r="C53" s="3" t="s">
        <v>86</v>
      </c>
      <c r="D53" s="8">
        <v>263.93191723235401</v>
      </c>
      <c r="E53" s="7">
        <v>28000</v>
      </c>
      <c r="F53" s="7">
        <v>54</v>
      </c>
      <c r="G53" s="8">
        <v>1.2</v>
      </c>
      <c r="H53" s="8">
        <f t="shared" si="19"/>
        <v>7.1469440949851165E-2</v>
      </c>
    </row>
    <row r="54" spans="1:8" x14ac:dyDescent="0.3">
      <c r="A54" s="3" t="s">
        <v>161</v>
      </c>
      <c r="B54" s="3" t="s">
        <v>80</v>
      </c>
      <c r="C54" s="3" t="s">
        <v>86</v>
      </c>
      <c r="D54" s="8">
        <v>997.07668830407101</v>
      </c>
      <c r="E54" s="7">
        <v>28000</v>
      </c>
      <c r="F54" s="7">
        <v>54</v>
      </c>
      <c r="G54" s="8">
        <v>1.2</v>
      </c>
      <c r="H54" s="8">
        <f t="shared" si="19"/>
        <v>0.24222395593521642</v>
      </c>
    </row>
    <row r="55" spans="1:8" x14ac:dyDescent="0.3">
      <c r="A55" s="3" t="s">
        <v>157</v>
      </c>
      <c r="B55" s="3" t="s">
        <v>80</v>
      </c>
      <c r="C55" s="3" t="s">
        <v>86</v>
      </c>
      <c r="D55" s="8">
        <v>1767.60128464887</v>
      </c>
      <c r="E55" s="7">
        <v>28000</v>
      </c>
      <c r="F55" s="7">
        <v>54</v>
      </c>
      <c r="G55" s="8">
        <v>1.2</v>
      </c>
      <c r="H55" s="8">
        <f t="shared" si="19"/>
        <v>0.45384831194824077</v>
      </c>
    </row>
    <row r="56" spans="1:8" x14ac:dyDescent="0.3">
      <c r="A56" s="3" t="s">
        <v>162</v>
      </c>
      <c r="B56" s="3" t="s">
        <v>80</v>
      </c>
      <c r="C56" s="3" t="s">
        <v>86</v>
      </c>
      <c r="D56" s="8">
        <v>1235.25860717761</v>
      </c>
      <c r="E56" s="7">
        <v>28000</v>
      </c>
      <c r="F56" s="7">
        <v>54</v>
      </c>
      <c r="G56" s="8">
        <v>1.2</v>
      </c>
      <c r="H56" s="8">
        <f t="shared" si="19"/>
        <v>0.30501496178167603</v>
      </c>
    </row>
    <row r="57" spans="1:8" x14ac:dyDescent="0.3">
      <c r="A57" s="3" t="s">
        <v>223</v>
      </c>
      <c r="B57" s="3" t="s">
        <v>80</v>
      </c>
      <c r="C57" s="3" t="s">
        <v>86</v>
      </c>
      <c r="D57" s="8">
        <v>205.64404783722901</v>
      </c>
      <c r="E57" s="7">
        <v>28000</v>
      </c>
      <c r="F57" s="7">
        <v>54</v>
      </c>
      <c r="G57" s="8">
        <v>1.2</v>
      </c>
      <c r="H57" s="8">
        <f t="shared" si="19"/>
        <v>6.0220563569434032E-2</v>
      </c>
    </row>
    <row r="58" spans="1:8" x14ac:dyDescent="0.3">
      <c r="A58" s="3" t="s">
        <v>219</v>
      </c>
      <c r="B58" s="3" t="s">
        <v>80</v>
      </c>
      <c r="C58" s="3" t="s">
        <v>86</v>
      </c>
      <c r="D58" s="8">
        <v>145.72122061644899</v>
      </c>
      <c r="E58" s="7">
        <v>28000</v>
      </c>
      <c r="F58" s="7">
        <v>54</v>
      </c>
      <c r="G58" s="8">
        <v>1.2</v>
      </c>
      <c r="H58" s="8">
        <f t="shared" si="19"/>
        <v>4.9311848504011081E-2</v>
      </c>
    </row>
    <row r="59" spans="1:8" x14ac:dyDescent="0.3">
      <c r="A59" s="3" t="s">
        <v>158</v>
      </c>
      <c r="B59" s="3" t="s">
        <v>80</v>
      </c>
      <c r="C59" s="3" t="s">
        <v>86</v>
      </c>
      <c r="D59" s="8">
        <v>1817.58570379807</v>
      </c>
      <c r="E59" s="7">
        <v>28000</v>
      </c>
      <c r="F59" s="7">
        <v>54</v>
      </c>
      <c r="G59" s="8">
        <v>1.2</v>
      </c>
      <c r="H59" s="8">
        <f t="shared" si="19"/>
        <v>0.46833949249901546</v>
      </c>
    </row>
    <row r="60" spans="1:8" x14ac:dyDescent="0.3">
      <c r="A60" s="3" t="s">
        <v>222</v>
      </c>
      <c r="B60" s="3" t="s">
        <v>80</v>
      </c>
      <c r="C60" s="3" t="s">
        <v>86</v>
      </c>
      <c r="D60" s="8">
        <v>824.13202559591502</v>
      </c>
      <c r="E60" s="7">
        <v>28000</v>
      </c>
      <c r="F60" s="7">
        <v>54</v>
      </c>
      <c r="G60" s="8">
        <v>1.2</v>
      </c>
      <c r="H60" s="8">
        <f t="shared" si="19"/>
        <v>0.19844721483110955</v>
      </c>
    </row>
    <row r="61" spans="1:8" x14ac:dyDescent="0.3">
      <c r="A61" s="3" t="s">
        <v>194</v>
      </c>
      <c r="B61" s="3" t="s">
        <v>80</v>
      </c>
      <c r="C61" s="3" t="s">
        <v>86</v>
      </c>
      <c r="D61" s="8">
        <v>64.306505383683799</v>
      </c>
      <c r="E61" s="7">
        <v>28000</v>
      </c>
      <c r="F61" s="7">
        <v>54</v>
      </c>
      <c r="G61" s="8">
        <v>1.2</v>
      </c>
      <c r="H61" s="8">
        <f t="shared" si="19"/>
        <v>3.5985454711711266E-2</v>
      </c>
    </row>
    <row r="62" spans="1:8" x14ac:dyDescent="0.3">
      <c r="A62" s="3" t="s">
        <v>149</v>
      </c>
      <c r="B62" s="3" t="s">
        <v>80</v>
      </c>
      <c r="C62" s="3" t="s">
        <v>86</v>
      </c>
      <c r="D62" s="8">
        <v>814.48370230568196</v>
      </c>
      <c r="E62" s="7">
        <v>28000</v>
      </c>
      <c r="F62" s="7">
        <v>54</v>
      </c>
      <c r="G62" s="8">
        <v>1.2</v>
      </c>
      <c r="H62" s="8">
        <f t="shared" si="19"/>
        <v>0.1960554643161416</v>
      </c>
    </row>
    <row r="63" spans="1:8" x14ac:dyDescent="0.3">
      <c r="A63" s="3" t="s">
        <v>140</v>
      </c>
      <c r="B63" s="3" t="s">
        <v>80</v>
      </c>
      <c r="C63" s="3" t="s">
        <v>86</v>
      </c>
      <c r="D63" s="8">
        <v>81.1659297510393</v>
      </c>
      <c r="E63" s="7">
        <v>28000</v>
      </c>
      <c r="F63" s="7">
        <v>54</v>
      </c>
      <c r="G63" s="8">
        <v>1.2</v>
      </c>
      <c r="H63" s="8">
        <f t="shared" si="19"/>
        <v>3.8559473903649999E-2</v>
      </c>
    </row>
    <row r="64" spans="1:8" x14ac:dyDescent="0.3">
      <c r="A64" s="36" t="s">
        <v>145</v>
      </c>
      <c r="B64" s="3" t="s">
        <v>80</v>
      </c>
      <c r="C64" s="3" t="s">
        <v>86</v>
      </c>
      <c r="D64" s="8">
        <v>987.38861678047294</v>
      </c>
      <c r="E64" s="7">
        <v>28000</v>
      </c>
      <c r="F64" s="7">
        <v>54</v>
      </c>
      <c r="G64" s="8">
        <v>1.2</v>
      </c>
      <c r="H64" s="8">
        <f t="shared" ref="H64:H69" si="21">(E64+(F64*(D64^G64)))/1000000</f>
        <v>0.23972858697167809</v>
      </c>
    </row>
    <row r="65" spans="1:8" x14ac:dyDescent="0.3">
      <c r="A65" s="36" t="s">
        <v>138</v>
      </c>
      <c r="B65" s="3" t="s">
        <v>80</v>
      </c>
      <c r="C65" s="3" t="s">
        <v>86</v>
      </c>
      <c r="D65" s="8">
        <v>386.03714545381598</v>
      </c>
      <c r="E65" s="7">
        <v>28000</v>
      </c>
      <c r="F65" s="7">
        <v>54</v>
      </c>
      <c r="G65" s="8">
        <v>1.2</v>
      </c>
      <c r="H65" s="8">
        <f t="shared" si="21"/>
        <v>9.6603879353721694E-2</v>
      </c>
    </row>
    <row r="66" spans="1:8" x14ac:dyDescent="0.3">
      <c r="A66" s="36" t="s">
        <v>146</v>
      </c>
      <c r="B66" s="3" t="s">
        <v>80</v>
      </c>
      <c r="C66" s="3" t="s">
        <v>86</v>
      </c>
      <c r="D66" s="8">
        <v>616.26284142025497</v>
      </c>
      <c r="E66" s="7">
        <v>28000</v>
      </c>
      <c r="F66" s="7">
        <v>54</v>
      </c>
      <c r="G66" s="8">
        <v>1.2</v>
      </c>
      <c r="H66" s="8">
        <f t="shared" si="21"/>
        <v>0.1482577124052305</v>
      </c>
    </row>
    <row r="67" spans="1:8" x14ac:dyDescent="0.3">
      <c r="A67" s="36" t="s">
        <v>152</v>
      </c>
      <c r="B67" s="3" t="s">
        <v>80</v>
      </c>
      <c r="C67" s="3" t="s">
        <v>86</v>
      </c>
      <c r="D67" s="8">
        <v>39.347703320906398</v>
      </c>
      <c r="E67" s="7">
        <v>28000</v>
      </c>
      <c r="F67" s="7">
        <v>54</v>
      </c>
      <c r="G67" s="8">
        <v>1.2</v>
      </c>
      <c r="H67" s="8">
        <f t="shared" si="21"/>
        <v>3.2428911739478532E-2</v>
      </c>
    </row>
    <row r="68" spans="1:8" x14ac:dyDescent="0.3">
      <c r="A68" s="36" t="s">
        <v>147</v>
      </c>
      <c r="B68" s="3" t="s">
        <v>80</v>
      </c>
      <c r="C68" s="3" t="s">
        <v>86</v>
      </c>
      <c r="D68" s="8">
        <v>1424.8040813765699</v>
      </c>
      <c r="E68" s="7">
        <v>28000</v>
      </c>
      <c r="F68" s="7">
        <v>54</v>
      </c>
      <c r="G68" s="8">
        <v>1.2</v>
      </c>
      <c r="H68" s="8">
        <f t="shared" si="21"/>
        <v>0.35677587360593593</v>
      </c>
    </row>
    <row r="69" spans="1:8" x14ac:dyDescent="0.3">
      <c r="A69" s="36" t="s">
        <v>153</v>
      </c>
      <c r="B69" s="3" t="s">
        <v>80</v>
      </c>
      <c r="C69" s="3" t="s">
        <v>86</v>
      </c>
      <c r="D69" s="8">
        <v>565.52874057869201</v>
      </c>
      <c r="E69" s="7">
        <v>28000</v>
      </c>
      <c r="F69" s="7">
        <v>54</v>
      </c>
      <c r="G69" s="8">
        <v>1.2</v>
      </c>
      <c r="H69" s="8">
        <f t="shared" si="21"/>
        <v>0.13647742737014801</v>
      </c>
    </row>
    <row r="70" spans="1:8" x14ac:dyDescent="0.3">
      <c r="A70" s="36" t="s">
        <v>159</v>
      </c>
      <c r="B70" s="3" t="s">
        <v>80</v>
      </c>
      <c r="C70" s="3" t="s">
        <v>86</v>
      </c>
      <c r="D70" s="8">
        <v>489.46342814881501</v>
      </c>
      <c r="E70" s="7">
        <v>28000</v>
      </c>
      <c r="F70" s="7">
        <v>54</v>
      </c>
      <c r="G70" s="8">
        <v>1.2</v>
      </c>
      <c r="H70" s="8">
        <f t="shared" ref="H70:H71" si="22">(E70+(F70*(D70^G70)))/1000000</f>
        <v>0.11921327661422625</v>
      </c>
    </row>
    <row r="71" spans="1:8" x14ac:dyDescent="0.3">
      <c r="A71" s="36" t="s">
        <v>154</v>
      </c>
      <c r="B71" s="3" t="s">
        <v>80</v>
      </c>
      <c r="C71" s="3" t="s">
        <v>86</v>
      </c>
      <c r="D71" s="8">
        <v>725.12241053195999</v>
      </c>
      <c r="E71" s="7">
        <v>28000</v>
      </c>
      <c r="F71" s="7">
        <v>54</v>
      </c>
      <c r="G71" s="8">
        <v>1.2</v>
      </c>
      <c r="H71" s="8">
        <f t="shared" si="22"/>
        <v>0.17417979648666293</v>
      </c>
    </row>
    <row r="72" spans="1:8" x14ac:dyDescent="0.3">
      <c r="A72" s="36" t="s">
        <v>160</v>
      </c>
      <c r="B72" s="3" t="s">
        <v>80</v>
      </c>
      <c r="C72" s="3" t="s">
        <v>86</v>
      </c>
      <c r="D72" s="8">
        <v>2311.6913299928501</v>
      </c>
      <c r="E72" s="7">
        <v>28000</v>
      </c>
      <c r="F72" s="7">
        <v>54</v>
      </c>
      <c r="G72" s="8">
        <v>1.2</v>
      </c>
      <c r="H72" s="8">
        <f t="shared" ref="H72:H74" si="23">(E72+(F72*(D72^G72)))/1000000</f>
        <v>0.61563759525793771</v>
      </c>
    </row>
    <row r="73" spans="1:8" x14ac:dyDescent="0.3">
      <c r="A73" s="36" t="s">
        <v>139</v>
      </c>
      <c r="B73" s="3" t="s">
        <v>80</v>
      </c>
      <c r="C73" s="3" t="s">
        <v>86</v>
      </c>
      <c r="D73" s="8">
        <v>1173.10399048205</v>
      </c>
      <c r="E73" s="7">
        <v>28000</v>
      </c>
      <c r="F73" s="7">
        <v>54</v>
      </c>
      <c r="G73" s="8">
        <v>1.2</v>
      </c>
      <c r="H73" s="8">
        <f t="shared" si="23"/>
        <v>0.28837397563329698</v>
      </c>
    </row>
    <row r="74" spans="1:8" x14ac:dyDescent="0.3">
      <c r="A74" s="36" t="s">
        <v>148</v>
      </c>
      <c r="B74" s="3" t="s">
        <v>80</v>
      </c>
      <c r="C74" s="3" t="s">
        <v>86</v>
      </c>
      <c r="D74" s="8">
        <v>869.80459221921103</v>
      </c>
      <c r="E74" s="7">
        <v>28000</v>
      </c>
      <c r="F74" s="7">
        <v>54</v>
      </c>
      <c r="G74" s="8">
        <v>1.2</v>
      </c>
      <c r="H74" s="8">
        <f t="shared" si="23"/>
        <v>0.20984434307647046</v>
      </c>
    </row>
    <row r="75" spans="1:8" x14ac:dyDescent="0.3">
      <c r="A75" s="36" t="s">
        <v>236</v>
      </c>
      <c r="B75" s="3" t="s">
        <v>80</v>
      </c>
      <c r="C75" s="3" t="s">
        <v>86</v>
      </c>
      <c r="D75" s="8">
        <v>60.318578948923999</v>
      </c>
      <c r="E75" s="7">
        <v>28000</v>
      </c>
      <c r="F75" s="7">
        <v>54</v>
      </c>
      <c r="G75" s="8">
        <v>1.2</v>
      </c>
      <c r="H75" s="8">
        <f>(E75+(F75*(D75^G75)))/1000000</f>
        <v>3.5394947268507226E-2</v>
      </c>
    </row>
    <row r="76" spans="1:8" x14ac:dyDescent="0.3">
      <c r="A76" s="46" t="s">
        <v>95</v>
      </c>
      <c r="B76" s="47"/>
      <c r="C76" s="47"/>
      <c r="D76" s="47"/>
      <c r="E76" s="47"/>
      <c r="F76" s="47"/>
      <c r="G76" s="47"/>
      <c r="H76" s="48"/>
    </row>
    <row r="77" spans="1:8" x14ac:dyDescent="0.3">
      <c r="A77" s="5" t="s">
        <v>20</v>
      </c>
      <c r="B77" s="3" t="s">
        <v>81</v>
      </c>
      <c r="C77" s="3" t="s">
        <v>87</v>
      </c>
      <c r="D77" s="8">
        <f>317324616.548787/3600/1000</f>
        <v>88.145726819107495</v>
      </c>
      <c r="E77" s="7">
        <v>80000</v>
      </c>
      <c r="F77" s="7">
        <v>109000</v>
      </c>
      <c r="G77" s="8">
        <v>0.8</v>
      </c>
      <c r="H77" s="8">
        <f>(E77+(F77*(D77^G77)))/1000000</f>
        <v>4.0027217952543328</v>
      </c>
    </row>
    <row r="78" spans="1:8" x14ac:dyDescent="0.3">
      <c r="A78" s="5" t="s">
        <v>165</v>
      </c>
      <c r="B78" s="3" t="s">
        <v>81</v>
      </c>
      <c r="C78" s="3" t="s">
        <v>87</v>
      </c>
      <c r="D78" s="8">
        <f>2900425.6074054/3600/1000</f>
        <v>0.80567377983483335</v>
      </c>
      <c r="E78" s="7">
        <v>80000</v>
      </c>
      <c r="F78" s="7">
        <v>109000</v>
      </c>
      <c r="G78" s="8">
        <v>0.8</v>
      </c>
      <c r="H78" s="8">
        <f t="shared" ref="H78" si="24">(E78+(F78*(D78^G78)))/1000000</f>
        <v>0.17169673705254745</v>
      </c>
    </row>
    <row r="79" spans="1:8" x14ac:dyDescent="0.3">
      <c r="A79" s="5" t="s">
        <v>71</v>
      </c>
      <c r="B79" s="3" t="s">
        <v>82</v>
      </c>
      <c r="C79" s="3" t="s">
        <v>98</v>
      </c>
      <c r="D79" s="8">
        <f>SUM(Q15)</f>
        <v>1368.3658613999389</v>
      </c>
      <c r="E79" s="7">
        <v>12800</v>
      </c>
      <c r="F79" s="7">
        <v>73</v>
      </c>
      <c r="G79" s="8">
        <v>0.85</v>
      </c>
      <c r="H79" s="8">
        <f t="shared" ref="H79" si="25">(E79+(F79*(D79^G79)))/1000000</f>
        <v>4.6613860466002591E-2</v>
      </c>
    </row>
    <row r="80" spans="1:8" x14ac:dyDescent="0.3">
      <c r="A80" s="3" t="s">
        <v>72</v>
      </c>
      <c r="B80" s="3" t="s">
        <v>82</v>
      </c>
      <c r="C80" s="3" t="s">
        <v>98</v>
      </c>
      <c r="D80" s="8">
        <f>SUM(Q16)</f>
        <v>1972.2456312196305</v>
      </c>
      <c r="E80" s="7">
        <v>12800</v>
      </c>
      <c r="F80" s="7">
        <v>73</v>
      </c>
      <c r="G80" s="8">
        <v>0.85</v>
      </c>
      <c r="H80" s="8">
        <f>(E80+(F80*(D80^G80)))/1000000</f>
        <v>5.8935975994231539E-2</v>
      </c>
    </row>
    <row r="81" spans="1:8" x14ac:dyDescent="0.3">
      <c r="A81" s="3" t="s">
        <v>73</v>
      </c>
      <c r="B81" s="3" t="s">
        <v>82</v>
      </c>
      <c r="C81" s="3" t="s">
        <v>98</v>
      </c>
      <c r="D81" s="8">
        <f>SUM(Q17)</f>
        <v>3109.3383892843685</v>
      </c>
      <c r="E81" s="7">
        <v>12800</v>
      </c>
      <c r="F81" s="7">
        <v>73</v>
      </c>
      <c r="G81" s="8">
        <v>0.85</v>
      </c>
      <c r="H81" s="8">
        <f>(E81+(F81*(D81^G81)))/1000000</f>
        <v>8.0734541818729244E-2</v>
      </c>
    </row>
    <row r="82" spans="1:8" x14ac:dyDescent="0.3">
      <c r="A82" s="49" t="s">
        <v>96</v>
      </c>
      <c r="B82" s="50"/>
      <c r="C82" s="50"/>
      <c r="D82" s="50"/>
      <c r="E82" s="50"/>
      <c r="F82" s="50"/>
      <c r="G82" s="50"/>
      <c r="H82" s="51"/>
    </row>
    <row r="83" spans="1:8" x14ac:dyDescent="0.3">
      <c r="A83" s="3" t="s">
        <v>74</v>
      </c>
      <c r="B83" s="3" t="s">
        <v>82</v>
      </c>
      <c r="C83" s="3" t="s">
        <v>98</v>
      </c>
      <c r="D83" s="8">
        <f>SUM(Q18)</f>
        <v>17596.163895801667</v>
      </c>
      <c r="E83" s="7">
        <v>17400</v>
      </c>
      <c r="F83" s="7">
        <v>79</v>
      </c>
      <c r="G83" s="8">
        <v>0.85</v>
      </c>
      <c r="H83" s="8">
        <f>(E83+(F83*(D83^G83)))/1000000</f>
        <v>0.33819854510330521</v>
      </c>
    </row>
    <row r="84" spans="1:8" x14ac:dyDescent="0.3">
      <c r="A84" s="3" t="s">
        <v>75</v>
      </c>
      <c r="B84" s="3" t="s">
        <v>82</v>
      </c>
      <c r="C84" s="3" t="s">
        <v>98</v>
      </c>
      <c r="D84" s="8">
        <f>SUM(Q19)</f>
        <v>4111.3109829217756</v>
      </c>
      <c r="E84" s="7">
        <v>17400</v>
      </c>
      <c r="F84" s="7">
        <v>79</v>
      </c>
      <c r="G84" s="8">
        <v>0.85</v>
      </c>
      <c r="H84" s="8">
        <f>(E84+(F84*(D84^G84)))/1000000</f>
        <v>0.11062027299794096</v>
      </c>
    </row>
    <row r="85" spans="1:8" x14ac:dyDescent="0.3">
      <c r="A85" s="3" t="s">
        <v>76</v>
      </c>
      <c r="B85" s="3" t="s">
        <v>82</v>
      </c>
      <c r="C85" s="3" t="s">
        <v>98</v>
      </c>
      <c r="D85" s="8">
        <f>SUM(Q20)</f>
        <v>4111.3109829217756</v>
      </c>
      <c r="E85" s="7">
        <v>17400</v>
      </c>
      <c r="F85" s="7">
        <v>79</v>
      </c>
      <c r="G85" s="8">
        <v>0.85</v>
      </c>
      <c r="H85" s="8">
        <f>(E85+(F85*(D85^G85)))/1000000</f>
        <v>0.11062027299794096</v>
      </c>
    </row>
    <row r="86" spans="1:8" x14ac:dyDescent="0.3">
      <c r="A86" s="3" t="s">
        <v>166</v>
      </c>
      <c r="B86" s="3" t="s">
        <v>82</v>
      </c>
      <c r="C86" s="3" t="s">
        <v>98</v>
      </c>
      <c r="D86" s="8">
        <f>SUM(Q21)</f>
        <v>2121.1399338635633</v>
      </c>
      <c r="E86" s="7">
        <v>17400</v>
      </c>
      <c r="F86" s="7">
        <v>79</v>
      </c>
      <c r="G86" s="8">
        <v>0.85</v>
      </c>
      <c r="H86" s="8">
        <f t="shared" ref="H86:H87" si="26">(E86+(F86*(D86^G86)))/1000000</f>
        <v>7.0514245129096029E-2</v>
      </c>
    </row>
    <row r="87" spans="1:8" ht="15.75" customHeight="1" x14ac:dyDescent="0.3">
      <c r="A87" s="3" t="s">
        <v>167</v>
      </c>
      <c r="B87" s="3" t="s">
        <v>82</v>
      </c>
      <c r="C87" s="3" t="s">
        <v>98</v>
      </c>
      <c r="D87" s="8">
        <f>SUM(Q22)</f>
        <v>14997.172865726263</v>
      </c>
      <c r="E87" s="7">
        <v>17400</v>
      </c>
      <c r="F87" s="7">
        <v>79</v>
      </c>
      <c r="G87" s="8">
        <v>0.85</v>
      </c>
      <c r="H87" s="8">
        <f t="shared" si="26"/>
        <v>0.29744967893014834</v>
      </c>
    </row>
    <row r="88" spans="1:8" x14ac:dyDescent="0.3">
      <c r="A88" s="49" t="s">
        <v>97</v>
      </c>
      <c r="B88" s="50"/>
      <c r="C88" s="50"/>
      <c r="D88" s="50"/>
      <c r="E88" s="50"/>
      <c r="F88" s="50"/>
      <c r="G88" s="50"/>
      <c r="H88" s="51"/>
    </row>
    <row r="89" spans="1:8" x14ac:dyDescent="0.3">
      <c r="A89" s="3" t="s">
        <v>83</v>
      </c>
      <c r="B89" s="3" t="s">
        <v>84</v>
      </c>
      <c r="C89" s="3" t="s">
        <v>88</v>
      </c>
      <c r="D89" s="8">
        <v>15.55</v>
      </c>
      <c r="E89" s="7">
        <v>8000</v>
      </c>
      <c r="F89" s="7">
        <v>240</v>
      </c>
      <c r="G89" s="8">
        <v>0.9</v>
      </c>
      <c r="H89" s="8">
        <f>(E89+(F89*(D89^G89)))/1000000</f>
        <v>1.0836407308490014E-2</v>
      </c>
    </row>
    <row r="90" spans="1:8" ht="15.75" customHeight="1" x14ac:dyDescent="0.3">
      <c r="A90" s="3" t="s">
        <v>168</v>
      </c>
      <c r="B90" s="3" t="s">
        <v>84</v>
      </c>
      <c r="C90" s="3" t="s">
        <v>88</v>
      </c>
      <c r="D90" s="8">
        <v>4.7889999999999997</v>
      </c>
      <c r="E90" s="7">
        <v>8000</v>
      </c>
      <c r="F90" s="7">
        <v>240</v>
      </c>
      <c r="G90" s="8">
        <v>0.9</v>
      </c>
      <c r="H90" s="8">
        <f t="shared" ref="H90" si="27">(E90+(F90*(D90^G90)))/1000000</f>
        <v>8.9827240736913769E-3</v>
      </c>
    </row>
    <row r="91" spans="1:8" ht="15.75" customHeight="1" x14ac:dyDescent="0.3">
      <c r="A91" s="49" t="s">
        <v>169</v>
      </c>
      <c r="B91" s="50"/>
      <c r="C91" s="50"/>
      <c r="D91" s="50"/>
      <c r="E91" s="50"/>
      <c r="F91" s="50"/>
      <c r="G91" s="50"/>
      <c r="H91" s="51"/>
    </row>
    <row r="92" spans="1:8" ht="15.75" customHeight="1" x14ac:dyDescent="0.3">
      <c r="A92" s="3" t="s">
        <v>173</v>
      </c>
      <c r="B92" s="3" t="s">
        <v>82</v>
      </c>
      <c r="C92" s="3" t="s">
        <v>98</v>
      </c>
      <c r="D92" s="8">
        <f>SUM(Q23)</f>
        <v>6083.7975355993276</v>
      </c>
      <c r="E92" s="7">
        <v>17400</v>
      </c>
      <c r="F92" s="7">
        <v>79</v>
      </c>
      <c r="G92" s="8">
        <v>0.85</v>
      </c>
      <c r="H92" s="8">
        <f t="shared" ref="H92" si="28">(E92+(F92*(D92^G92)))/1000000</f>
        <v>0.14746954798989254</v>
      </c>
    </row>
    <row r="93" spans="1:8" ht="15.75" customHeight="1" x14ac:dyDescent="0.3">
      <c r="A93" s="3" t="s">
        <v>174</v>
      </c>
      <c r="B93" s="3" t="s">
        <v>175</v>
      </c>
      <c r="C93" s="3" t="s">
        <v>177</v>
      </c>
      <c r="D93" s="8">
        <f>K23</f>
        <v>3.1139999999999999</v>
      </c>
      <c r="E93" s="7">
        <v>210</v>
      </c>
      <c r="F93" s="7">
        <v>400</v>
      </c>
      <c r="G93" s="8">
        <v>1.9</v>
      </c>
      <c r="H93" s="8">
        <f>(E93+(F93*(D93^G93)))*10/1000000</f>
        <v>3.6723051917087038E-2</v>
      </c>
    </row>
    <row r="94" spans="1:8" ht="15.75" customHeight="1" x14ac:dyDescent="0.3">
      <c r="A94" s="49" t="s">
        <v>170</v>
      </c>
      <c r="B94" s="50"/>
      <c r="C94" s="50"/>
      <c r="D94" s="50"/>
      <c r="E94" s="50"/>
      <c r="F94" s="50"/>
      <c r="G94" s="50"/>
      <c r="H94" s="51"/>
    </row>
    <row r="95" spans="1:8" ht="15.75" customHeight="1" x14ac:dyDescent="0.3">
      <c r="A95" s="3" t="s">
        <v>173</v>
      </c>
      <c r="B95" s="3" t="s">
        <v>82</v>
      </c>
      <c r="C95" s="3" t="s">
        <v>98</v>
      </c>
      <c r="D95" s="8">
        <f>SUM(Q24)</f>
        <v>10044.385338622566</v>
      </c>
      <c r="E95" s="7">
        <v>17400</v>
      </c>
      <c r="F95" s="7">
        <v>79</v>
      </c>
      <c r="G95" s="8">
        <v>0.85</v>
      </c>
      <c r="H95" s="8">
        <f t="shared" ref="H95" si="29">(E95+(F95*(D95^G95)))/1000000</f>
        <v>0.21658744088419818</v>
      </c>
    </row>
    <row r="96" spans="1:8" ht="15.75" customHeight="1" x14ac:dyDescent="0.3">
      <c r="A96" s="3" t="s">
        <v>174</v>
      </c>
      <c r="B96" s="3" t="s">
        <v>175</v>
      </c>
      <c r="C96" s="3" t="s">
        <v>177</v>
      </c>
      <c r="D96" s="8">
        <f>K24</f>
        <v>5.1494999999999997</v>
      </c>
      <c r="E96" s="7">
        <v>210</v>
      </c>
      <c r="F96" s="7">
        <v>400</v>
      </c>
      <c r="G96" s="8">
        <v>1.9</v>
      </c>
      <c r="H96" s="8">
        <f>(E96+(F96*(D96^G96)))*10/1000000</f>
        <v>9.2135464618487012E-2</v>
      </c>
    </row>
    <row r="97" spans="1:8" ht="15.75" customHeight="1" x14ac:dyDescent="0.3">
      <c r="A97" s="49" t="s">
        <v>224</v>
      </c>
      <c r="B97" s="50"/>
      <c r="C97" s="50"/>
      <c r="D97" s="50"/>
      <c r="E97" s="50"/>
      <c r="F97" s="50"/>
      <c r="G97" s="50"/>
      <c r="H97" s="51"/>
    </row>
    <row r="98" spans="1:8" ht="15.75" customHeight="1" x14ac:dyDescent="0.3">
      <c r="A98" s="3" t="s">
        <v>184</v>
      </c>
      <c r="B98" s="3" t="s">
        <v>79</v>
      </c>
      <c r="C98" s="3" t="s">
        <v>85</v>
      </c>
      <c r="D98" s="8">
        <v>10973.265283455399</v>
      </c>
      <c r="E98" s="7">
        <v>580000</v>
      </c>
      <c r="F98" s="7">
        <v>20000</v>
      </c>
      <c r="G98" s="8">
        <v>0.6</v>
      </c>
      <c r="H98" s="37">
        <f t="shared" ref="H98:H101" si="30">(E98+(F98*(D98^G98)))/1000000</f>
        <v>5.8916753470054939</v>
      </c>
    </row>
    <row r="99" spans="1:8" ht="15.75" customHeight="1" x14ac:dyDescent="0.3">
      <c r="A99" s="3" t="s">
        <v>185</v>
      </c>
      <c r="B99" s="3" t="s">
        <v>79</v>
      </c>
      <c r="C99" s="3" t="s">
        <v>85</v>
      </c>
      <c r="D99" s="8">
        <v>14988.312316494401</v>
      </c>
      <c r="E99" s="7">
        <v>580000</v>
      </c>
      <c r="F99" s="7">
        <v>20000</v>
      </c>
      <c r="G99" s="8">
        <v>0.6</v>
      </c>
      <c r="H99" s="37">
        <f t="shared" si="30"/>
        <v>6.9844470014612954</v>
      </c>
    </row>
    <row r="100" spans="1:8" ht="15.75" customHeight="1" x14ac:dyDescent="0.3">
      <c r="A100" s="3" t="s">
        <v>186</v>
      </c>
      <c r="B100" s="3" t="s">
        <v>79</v>
      </c>
      <c r="C100" s="3" t="s">
        <v>85</v>
      </c>
      <c r="D100" s="8">
        <v>20199.9622873507</v>
      </c>
      <c r="E100" s="7">
        <v>580000</v>
      </c>
      <c r="F100" s="7">
        <v>20000</v>
      </c>
      <c r="G100" s="8">
        <v>0.6</v>
      </c>
      <c r="H100" s="37">
        <f t="shared" si="30"/>
        <v>8.2402039170784409</v>
      </c>
    </row>
    <row r="101" spans="1:8" ht="15.75" customHeight="1" x14ac:dyDescent="0.3">
      <c r="A101" s="3" t="s">
        <v>187</v>
      </c>
      <c r="B101" s="3" t="s">
        <v>79</v>
      </c>
      <c r="C101" s="3" t="s">
        <v>85</v>
      </c>
      <c r="D101" s="8">
        <v>6492.82521579271</v>
      </c>
      <c r="E101" s="7">
        <v>580000</v>
      </c>
      <c r="F101" s="7">
        <v>20000</v>
      </c>
      <c r="G101" s="8">
        <v>0.6</v>
      </c>
      <c r="H101" s="37">
        <f t="shared" si="30"/>
        <v>4.4569502035510435</v>
      </c>
    </row>
    <row r="102" spans="1:8" ht="15.75" customHeight="1" x14ac:dyDescent="0.3">
      <c r="A102" s="49" t="s">
        <v>188</v>
      </c>
      <c r="B102" s="50"/>
      <c r="C102" s="50"/>
      <c r="D102" s="50"/>
      <c r="E102" s="50"/>
      <c r="F102" s="50"/>
      <c r="G102" s="50"/>
      <c r="H102" s="51"/>
    </row>
    <row r="103" spans="1:8" ht="15.75" customHeight="1" x14ac:dyDescent="0.3">
      <c r="A103" s="3" t="s">
        <v>190</v>
      </c>
      <c r="B103" s="3" t="s">
        <v>189</v>
      </c>
      <c r="C103" s="3" t="s">
        <v>85</v>
      </c>
      <c r="D103" s="8">
        <v>1630.7469591494901</v>
      </c>
      <c r="E103" s="7">
        <v>-14000</v>
      </c>
      <c r="F103" s="7">
        <v>1900</v>
      </c>
      <c r="G103" s="8">
        <v>0.75</v>
      </c>
      <c r="H103" s="37">
        <f t="shared" ref="H103:H104" si="31">(E103+(F103*(D103^G103)))/1000000</f>
        <v>0.47357736274480722</v>
      </c>
    </row>
    <row r="104" spans="1:8" ht="15.75" customHeight="1" x14ac:dyDescent="0.3">
      <c r="A104" s="3" t="s">
        <v>191</v>
      </c>
      <c r="B104" s="3" t="s">
        <v>189</v>
      </c>
      <c r="C104" s="3" t="s">
        <v>85</v>
      </c>
      <c r="D104" s="8">
        <v>6046.5225581467403</v>
      </c>
      <c r="E104" s="7">
        <v>-14000</v>
      </c>
      <c r="F104" s="7">
        <v>1900</v>
      </c>
      <c r="G104" s="8">
        <v>0.75</v>
      </c>
      <c r="H104" s="37">
        <f t="shared" si="31"/>
        <v>1.2888153265775812</v>
      </c>
    </row>
    <row r="105" spans="1:8" x14ac:dyDescent="0.3">
      <c r="A105" s="2"/>
      <c r="B105" s="2"/>
      <c r="C105" s="2"/>
      <c r="D105" s="10"/>
      <c r="E105" s="9"/>
      <c r="F105" s="9"/>
      <c r="G105" s="9"/>
      <c r="H105" s="10">
        <f>SUM(H14:H96)</f>
        <v>54.312757844363475</v>
      </c>
    </row>
    <row r="106" spans="1:8" x14ac:dyDescent="0.3">
      <c r="A106" s="46" t="s">
        <v>237</v>
      </c>
      <c r="B106" s="47"/>
      <c r="C106" s="47"/>
      <c r="D106" s="47"/>
      <c r="E106" s="47"/>
      <c r="F106" s="47"/>
      <c r="G106" s="47"/>
      <c r="H106" s="48"/>
    </row>
    <row r="107" spans="1:8" ht="16.2" x14ac:dyDescent="0.3">
      <c r="A107" s="5" t="s">
        <v>68</v>
      </c>
      <c r="B107" s="3" t="s">
        <v>238</v>
      </c>
      <c r="C107" s="3" t="s">
        <v>239</v>
      </c>
      <c r="D107" s="8">
        <v>237639.58696588999</v>
      </c>
      <c r="E107" s="7">
        <v>3.27</v>
      </c>
      <c r="F107" s="7">
        <v>430639</v>
      </c>
      <c r="G107" s="8">
        <v>0.67</v>
      </c>
      <c r="H107" s="8">
        <f>E107*(D107/F107)^G107</f>
        <v>2.1956210768140227</v>
      </c>
    </row>
    <row r="108" spans="1:8" x14ac:dyDescent="0.3">
      <c r="A108" s="5" t="s">
        <v>69</v>
      </c>
      <c r="B108" s="3" t="s">
        <v>240</v>
      </c>
      <c r="C108" s="3" t="s">
        <v>241</v>
      </c>
      <c r="D108" s="8">
        <v>3859.2</v>
      </c>
      <c r="E108" s="7">
        <v>3.07</v>
      </c>
      <c r="F108" s="7">
        <v>2556</v>
      </c>
      <c r="G108" s="8">
        <v>0.65</v>
      </c>
      <c r="H108" s="8">
        <f>E108/2*(D108/F108)^G108*(2)^0.9</f>
        <v>3.744070861354662</v>
      </c>
    </row>
    <row r="109" spans="1:8" x14ac:dyDescent="0.3">
      <c r="A109" s="5" t="s">
        <v>70</v>
      </c>
      <c r="B109" s="3" t="s">
        <v>240</v>
      </c>
      <c r="C109" s="3" t="s">
        <v>241</v>
      </c>
      <c r="D109" s="8">
        <v>3624</v>
      </c>
      <c r="E109" s="7">
        <v>3.07</v>
      </c>
      <c r="F109" s="7">
        <v>2556</v>
      </c>
      <c r="G109" s="8">
        <v>0.65</v>
      </c>
      <c r="H109" s="8">
        <f>E109/2*(D109/F109)^G109*(2)^0.9</f>
        <v>3.5941247454637004</v>
      </c>
    </row>
    <row r="110" spans="1:8" x14ac:dyDescent="0.3">
      <c r="A110" s="5"/>
      <c r="B110" s="2"/>
      <c r="C110" s="2"/>
      <c r="D110" s="9"/>
      <c r="E110" s="9"/>
      <c r="F110" s="9"/>
      <c r="G110" s="9"/>
      <c r="H110" s="10">
        <f>SUM(H107:H109)</f>
        <v>9.5338166836323843</v>
      </c>
    </row>
    <row r="112" spans="1:8" x14ac:dyDescent="0.3">
      <c r="A112" s="19" t="s">
        <v>242</v>
      </c>
      <c r="B112" s="17">
        <v>567.5</v>
      </c>
    </row>
    <row r="113" spans="1:3" x14ac:dyDescent="0.3">
      <c r="A113" s="19" t="s">
        <v>41</v>
      </c>
      <c r="B113" s="17">
        <v>532.9</v>
      </c>
    </row>
    <row r="114" spans="1:3" x14ac:dyDescent="0.3">
      <c r="A114" s="19" t="s">
        <v>42</v>
      </c>
      <c r="B114" s="17">
        <v>607.5</v>
      </c>
    </row>
    <row r="115" spans="1:3" x14ac:dyDescent="0.3">
      <c r="A115" s="19" t="s">
        <v>99</v>
      </c>
      <c r="B115" s="17">
        <f>H105*B114/B113+H110*B114/B112</f>
        <v>72.121736189847297</v>
      </c>
    </row>
    <row r="116" spans="1:3" x14ac:dyDescent="0.3">
      <c r="A116" s="19" t="s">
        <v>100</v>
      </c>
      <c r="B116" s="17">
        <f>(B115)*((1+C3)+(C2+C5+C4+C6+C7+C8)/C9)*C9</f>
        <v>269.73529335002894</v>
      </c>
    </row>
    <row r="117" spans="1:3" x14ac:dyDescent="0.3">
      <c r="A117" s="19" t="s">
        <v>101</v>
      </c>
      <c r="B117" s="17">
        <f>0.3*B116</f>
        <v>80.920588005008682</v>
      </c>
    </row>
    <row r="118" spans="1:3" x14ac:dyDescent="0.3">
      <c r="A118" s="19" t="s">
        <v>102</v>
      </c>
      <c r="B118" s="17">
        <f>0.3*SUM(B116:B117)</f>
        <v>105.19676440651129</v>
      </c>
    </row>
    <row r="119" spans="1:3" x14ac:dyDescent="0.3">
      <c r="A119" s="19" t="s">
        <v>103</v>
      </c>
      <c r="B119" s="17">
        <f>0.1*SUM(B116:B117)</f>
        <v>35.065588135503766</v>
      </c>
      <c r="C119" s="27"/>
    </row>
    <row r="120" spans="1:3" x14ac:dyDescent="0.3">
      <c r="A120" s="19" t="s">
        <v>104</v>
      </c>
      <c r="B120" s="17">
        <f>B116*(1+0.3)*(1+0.3+0.1)</f>
        <v>490.91823389705274</v>
      </c>
      <c r="C120" s="28">
        <f>B120/B115</f>
        <v>6.8068000000000026</v>
      </c>
    </row>
    <row r="121" spans="1:3" x14ac:dyDescent="0.3">
      <c r="A121" s="19" t="s">
        <v>107</v>
      </c>
      <c r="B121" s="17">
        <f>B120*0.15</f>
        <v>73.637735084557903</v>
      </c>
    </row>
    <row r="122" spans="1:3" x14ac:dyDescent="0.3">
      <c r="A122" s="19" t="s">
        <v>105</v>
      </c>
      <c r="B122" s="25">
        <f>B120+B121</f>
        <v>564.5559689816107</v>
      </c>
    </row>
    <row r="123" spans="1:3" x14ac:dyDescent="0.3">
      <c r="A123" s="19" t="s">
        <v>31</v>
      </c>
      <c r="B123" s="11">
        <v>25</v>
      </c>
    </row>
    <row r="124" spans="1:3" x14ac:dyDescent="0.3">
      <c r="A124" s="19" t="s">
        <v>32</v>
      </c>
      <c r="B124" s="11">
        <v>0.12</v>
      </c>
    </row>
    <row r="125" spans="1:3" x14ac:dyDescent="0.3">
      <c r="A125" s="19" t="s">
        <v>33</v>
      </c>
      <c r="B125" s="13">
        <f>(B124*((1+B124)^B123))/(((1+B124)^B123)-1)</f>
        <v>0.12749996980950773</v>
      </c>
    </row>
    <row r="126" spans="1:3" x14ac:dyDescent="0.3">
      <c r="A126" s="19" t="s">
        <v>106</v>
      </c>
      <c r="B126" s="17">
        <f>B125*B122</f>
        <v>71.980869000932742</v>
      </c>
    </row>
    <row r="127" spans="1:3" x14ac:dyDescent="0.3">
      <c r="A127" s="20" t="s">
        <v>43</v>
      </c>
      <c r="B127" s="14">
        <f>B126</f>
        <v>71.980869000932742</v>
      </c>
    </row>
  </sheetData>
  <mergeCells count="10">
    <mergeCell ref="A13:H13"/>
    <mergeCell ref="A26:H26"/>
    <mergeCell ref="A76:H76"/>
    <mergeCell ref="A82:H82"/>
    <mergeCell ref="A88:H88"/>
    <mergeCell ref="A106:H106"/>
    <mergeCell ref="A97:H97"/>
    <mergeCell ref="A102:H102"/>
    <mergeCell ref="A91:H91"/>
    <mergeCell ref="A94:H9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C20"/>
  <sheetViews>
    <sheetView workbookViewId="0">
      <selection activeCell="F12" sqref="F12"/>
    </sheetView>
  </sheetViews>
  <sheetFormatPr defaultRowHeight="14.4" x14ac:dyDescent="0.3"/>
  <cols>
    <col min="1" max="1" width="13.88671875" bestFit="1" customWidth="1"/>
    <col min="2" max="2" width="34.44140625" customWidth="1"/>
    <col min="3" max="3" width="7.77734375" bestFit="1" customWidth="1"/>
  </cols>
  <sheetData>
    <row r="4" spans="1:3" x14ac:dyDescent="0.3">
      <c r="A4" s="2" t="s">
        <v>112</v>
      </c>
      <c r="B4" s="2" t="s">
        <v>113</v>
      </c>
      <c r="C4" s="12" t="s">
        <v>44</v>
      </c>
    </row>
    <row r="5" spans="1:3" x14ac:dyDescent="0.3">
      <c r="A5" s="52" t="s">
        <v>109</v>
      </c>
      <c r="B5" s="52"/>
      <c r="C5" s="52"/>
    </row>
    <row r="6" spans="1:3" x14ac:dyDescent="0.3">
      <c r="A6" s="11" t="s">
        <v>122</v>
      </c>
      <c r="B6" s="11" t="s">
        <v>176</v>
      </c>
      <c r="C6" s="11">
        <f>50000*9*9/1000000</f>
        <v>4.05</v>
      </c>
    </row>
    <row r="7" spans="1:3" x14ac:dyDescent="0.3">
      <c r="A7" s="11" t="s">
        <v>110</v>
      </c>
      <c r="B7" s="11" t="s">
        <v>111</v>
      </c>
      <c r="C7" s="17">
        <f>0.25*C6</f>
        <v>1.0125</v>
      </c>
    </row>
    <row r="8" spans="1:3" x14ac:dyDescent="0.3">
      <c r="A8" s="11" t="s">
        <v>114</v>
      </c>
      <c r="B8" s="11" t="s">
        <v>115</v>
      </c>
      <c r="C8" s="17">
        <f>0.45*(C6+C7)</f>
        <v>2.2781250000000002</v>
      </c>
    </row>
    <row r="9" spans="1:3" x14ac:dyDescent="0.3">
      <c r="A9" s="49"/>
      <c r="B9" s="51"/>
      <c r="C9" s="14">
        <f>SUM(C6:C8)</f>
        <v>7.3406250000000002</v>
      </c>
    </row>
    <row r="10" spans="1:3" x14ac:dyDescent="0.3">
      <c r="A10" s="52" t="s">
        <v>116</v>
      </c>
      <c r="B10" s="52"/>
      <c r="C10" s="52"/>
    </row>
    <row r="11" spans="1:3" x14ac:dyDescent="0.3">
      <c r="A11" s="11" t="s">
        <v>117</v>
      </c>
      <c r="B11" s="11" t="s">
        <v>118</v>
      </c>
      <c r="C11" s="17">
        <f>0.03*CAPEX!B116</f>
        <v>8.0920588005008671</v>
      </c>
    </row>
    <row r="12" spans="1:3" x14ac:dyDescent="0.3">
      <c r="A12" s="52"/>
      <c r="B12" s="52"/>
      <c r="C12" s="24">
        <f>C11</f>
        <v>8.0920588005008671</v>
      </c>
    </row>
    <row r="13" spans="1:3" x14ac:dyDescent="0.3">
      <c r="A13" s="49" t="s">
        <v>120</v>
      </c>
      <c r="B13" s="50"/>
      <c r="C13" s="51"/>
    </row>
    <row r="14" spans="1:3" x14ac:dyDescent="0.3">
      <c r="A14" s="11" t="s">
        <v>121</v>
      </c>
      <c r="B14" s="11" t="s">
        <v>123</v>
      </c>
      <c r="C14" s="17">
        <f>0.65*(C6+C7+C8+C11)</f>
        <v>10.031244470325564</v>
      </c>
    </row>
    <row r="15" spans="1:3" x14ac:dyDescent="0.3">
      <c r="A15" s="11" t="s">
        <v>124</v>
      </c>
      <c r="B15" s="11" t="s">
        <v>126</v>
      </c>
      <c r="C15" s="17">
        <f>0.02*(CAPEX!B116+CAPEX!B117)</f>
        <v>7.0131176271007529</v>
      </c>
    </row>
    <row r="16" spans="1:3" x14ac:dyDescent="0.3">
      <c r="A16" s="52"/>
      <c r="B16" s="52"/>
      <c r="C16" s="24">
        <f>SUM(C14:C15)</f>
        <v>17.044362097426315</v>
      </c>
    </row>
    <row r="17" spans="1:3" x14ac:dyDescent="0.3">
      <c r="A17" s="49" t="s">
        <v>127</v>
      </c>
      <c r="B17" s="50"/>
      <c r="C17" s="51"/>
    </row>
    <row r="18" spans="1:3" x14ac:dyDescent="0.3">
      <c r="A18" s="11" t="s">
        <v>128</v>
      </c>
      <c r="B18" s="11" t="s">
        <v>129</v>
      </c>
      <c r="C18" s="17">
        <f>0.06*CAPEX!B121</f>
        <v>4.4182641050734741</v>
      </c>
    </row>
    <row r="19" spans="1:3" x14ac:dyDescent="0.3">
      <c r="A19" s="52"/>
      <c r="B19" s="52"/>
      <c r="C19" s="14">
        <f>C18</f>
        <v>4.4182641050734741</v>
      </c>
    </row>
    <row r="20" spans="1:3" x14ac:dyDescent="0.3">
      <c r="A20" s="49" t="s">
        <v>132</v>
      </c>
      <c r="B20" s="51"/>
      <c r="C20" s="14">
        <f>C9+C12+C16+C19</f>
        <v>36.89531000300066</v>
      </c>
    </row>
  </sheetData>
  <mergeCells count="9">
    <mergeCell ref="A19:B19"/>
    <mergeCell ref="A20:B20"/>
    <mergeCell ref="A5:C5"/>
    <mergeCell ref="A10:C10"/>
    <mergeCell ref="A13:C13"/>
    <mergeCell ref="A17:C17"/>
    <mergeCell ref="A9:B9"/>
    <mergeCell ref="A16:B16"/>
    <mergeCell ref="A12:B1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14"/>
  <sheetViews>
    <sheetView workbookViewId="0">
      <selection activeCell="E5" sqref="E5"/>
    </sheetView>
  </sheetViews>
  <sheetFormatPr defaultRowHeight="14.4" x14ac:dyDescent="0.3"/>
  <cols>
    <col min="1" max="1" width="17.88671875" bestFit="1" customWidth="1"/>
    <col min="2" max="2" width="11.5546875" bestFit="1" customWidth="1"/>
    <col min="3" max="3" width="7.109375" bestFit="1" customWidth="1"/>
    <col min="4" max="4" width="4.77734375" bestFit="1" customWidth="1"/>
    <col min="5" max="5" width="6.109375" bestFit="1" customWidth="1"/>
    <col min="6" max="7" width="5.77734375" bestFit="1" customWidth="1"/>
    <col min="8" max="8" width="16.44140625" bestFit="1" customWidth="1"/>
  </cols>
  <sheetData>
    <row r="2" spans="1:8" x14ac:dyDescent="0.3">
      <c r="A2" s="2" t="s">
        <v>195</v>
      </c>
      <c r="B2" s="2" t="s">
        <v>196</v>
      </c>
      <c r="C2" s="2" t="s">
        <v>197</v>
      </c>
      <c r="D2" s="2" t="s">
        <v>212</v>
      </c>
      <c r="E2" s="2" t="s">
        <v>206</v>
      </c>
      <c r="F2" s="2" t="s">
        <v>207</v>
      </c>
      <c r="G2" s="2" t="s">
        <v>209</v>
      </c>
      <c r="H2" s="2" t="s">
        <v>135</v>
      </c>
    </row>
    <row r="3" spans="1:8" x14ac:dyDescent="0.3">
      <c r="A3" s="3" t="s">
        <v>198</v>
      </c>
      <c r="B3" s="3" t="s">
        <v>199</v>
      </c>
      <c r="C3" s="32">
        <v>0.31531405623637287</v>
      </c>
      <c r="D3" s="35">
        <v>2019</v>
      </c>
      <c r="E3" s="34">
        <v>10</v>
      </c>
      <c r="F3" s="17">
        <f t="shared" ref="F3:F10" si="0">C3*E3</f>
        <v>3.1531405623637285</v>
      </c>
      <c r="G3" s="17">
        <f>F3*$B$14/$B$14</f>
        <v>3.1531405623637285</v>
      </c>
      <c r="H3" s="11" t="s">
        <v>211</v>
      </c>
    </row>
    <row r="4" spans="1:8" x14ac:dyDescent="0.3">
      <c r="A4" s="3" t="s">
        <v>200</v>
      </c>
      <c r="B4" s="3" t="s">
        <v>201</v>
      </c>
      <c r="C4" s="32">
        <v>2.1172243752380644</v>
      </c>
      <c r="D4" s="35">
        <v>2015</v>
      </c>
      <c r="E4" s="13">
        <f>1.04*1.2</f>
        <v>1.248</v>
      </c>
      <c r="F4" s="17">
        <f t="shared" si="0"/>
        <v>2.6422960202971044</v>
      </c>
      <c r="G4" s="17">
        <f>F4*$B$14/$B$13</f>
        <v>2.8828930178349337</v>
      </c>
      <c r="H4" s="11" t="s">
        <v>210</v>
      </c>
    </row>
    <row r="5" spans="1:8" x14ac:dyDescent="0.3">
      <c r="A5" s="3" t="s">
        <v>20</v>
      </c>
      <c r="B5" s="3" t="s">
        <v>202</v>
      </c>
      <c r="C5" s="32">
        <v>1.6231175033799903</v>
      </c>
      <c r="D5" s="35">
        <v>2015</v>
      </c>
      <c r="E5" s="13">
        <f>1.81*1.2</f>
        <v>2.1720000000000002</v>
      </c>
      <c r="F5" s="17">
        <f t="shared" si="0"/>
        <v>3.5254112173413392</v>
      </c>
      <c r="G5" s="17">
        <f t="shared" ref="G5:G10" si="1">F5*$B$14/$B$13</f>
        <v>3.8464211827134767</v>
      </c>
      <c r="H5" s="11" t="s">
        <v>210</v>
      </c>
    </row>
    <row r="6" spans="1:8" x14ac:dyDescent="0.3">
      <c r="A6" s="3" t="s">
        <v>68</v>
      </c>
      <c r="B6" s="3" t="s">
        <v>202</v>
      </c>
      <c r="C6" s="32">
        <v>1.2984940027039922</v>
      </c>
      <c r="D6" s="35">
        <v>2015</v>
      </c>
      <c r="E6" s="13">
        <f>1.81*1.2</f>
        <v>2.1720000000000002</v>
      </c>
      <c r="F6" s="17">
        <f t="shared" si="0"/>
        <v>2.820328973873071</v>
      </c>
      <c r="G6" s="17">
        <f t="shared" si="1"/>
        <v>3.0771369461707812</v>
      </c>
      <c r="H6" s="11" t="s">
        <v>210</v>
      </c>
    </row>
    <row r="7" spans="1:8" x14ac:dyDescent="0.3">
      <c r="A7" s="3" t="s">
        <v>69</v>
      </c>
      <c r="B7" s="3" t="s">
        <v>201</v>
      </c>
      <c r="C7" s="32">
        <v>3.9490395338649229</v>
      </c>
      <c r="D7" s="35">
        <v>2015</v>
      </c>
      <c r="E7" s="13">
        <f>1.04*1.2</f>
        <v>1.248</v>
      </c>
      <c r="F7" s="17">
        <f t="shared" si="0"/>
        <v>4.9284013382634235</v>
      </c>
      <c r="G7" s="17">
        <f t="shared" si="1"/>
        <v>5.377162020465212</v>
      </c>
      <c r="H7" s="11" t="s">
        <v>210</v>
      </c>
    </row>
    <row r="8" spans="1:8" x14ac:dyDescent="0.3">
      <c r="A8" s="3" t="s">
        <v>70</v>
      </c>
      <c r="B8" s="3" t="s">
        <v>201</v>
      </c>
      <c r="C8" s="32">
        <v>7.9534586841316379</v>
      </c>
      <c r="D8" s="35">
        <v>2015</v>
      </c>
      <c r="E8" s="13">
        <f>1.04*1.2</f>
        <v>1.248</v>
      </c>
      <c r="F8" s="17">
        <f t="shared" si="0"/>
        <v>9.9259164377962836</v>
      </c>
      <c r="G8" s="17">
        <f t="shared" si="1"/>
        <v>10.829731027229244</v>
      </c>
      <c r="H8" s="11" t="s">
        <v>210</v>
      </c>
    </row>
    <row r="9" spans="1:8" x14ac:dyDescent="0.3">
      <c r="A9" s="3" t="s">
        <v>203</v>
      </c>
      <c r="B9" s="3" t="s">
        <v>202</v>
      </c>
      <c r="C9" s="32">
        <v>1.0129390442301898</v>
      </c>
      <c r="D9" s="35">
        <v>2015</v>
      </c>
      <c r="E9" s="13">
        <f>1.81*1.2</f>
        <v>2.1720000000000002</v>
      </c>
      <c r="F9" s="17">
        <f t="shared" si="0"/>
        <v>2.2001036040679725</v>
      </c>
      <c r="G9" s="17">
        <f t="shared" si="1"/>
        <v>2.4004363137056273</v>
      </c>
      <c r="H9" s="11" t="s">
        <v>210</v>
      </c>
    </row>
    <row r="10" spans="1:8" ht="15.6" x14ac:dyDescent="0.35">
      <c r="A10" s="3" t="s">
        <v>204</v>
      </c>
      <c r="B10" s="3" t="s">
        <v>205</v>
      </c>
      <c r="C10" s="32">
        <v>3.7328052775787115</v>
      </c>
      <c r="D10" s="35">
        <v>2015</v>
      </c>
      <c r="E10" s="13">
        <f>2.23*1.2</f>
        <v>2.6759999999999997</v>
      </c>
      <c r="F10" s="17">
        <f t="shared" si="0"/>
        <v>9.9889869228006312</v>
      </c>
      <c r="G10" s="17">
        <f t="shared" si="1"/>
        <v>10.89854446049099</v>
      </c>
      <c r="H10" s="11" t="s">
        <v>210</v>
      </c>
    </row>
    <row r="11" spans="1:8" ht="15.75" customHeight="1" x14ac:dyDescent="0.3">
      <c r="A11" s="49" t="s">
        <v>213</v>
      </c>
      <c r="B11" s="50"/>
      <c r="C11" s="50"/>
      <c r="D11" s="50"/>
      <c r="E11" s="50"/>
      <c r="F11" s="51"/>
      <c r="G11" s="14">
        <f>SUM(G3:G10)*8000/1000000</f>
        <v>0.3397237242477919</v>
      </c>
      <c r="H11" s="11"/>
    </row>
    <row r="13" spans="1:8" x14ac:dyDescent="0.3">
      <c r="A13" s="3" t="s">
        <v>208</v>
      </c>
      <c r="B13" s="17">
        <v>556.79999999999995</v>
      </c>
    </row>
    <row r="14" spans="1:8" x14ac:dyDescent="0.3">
      <c r="A14" s="3" t="s">
        <v>42</v>
      </c>
      <c r="B14" s="17">
        <v>607.5</v>
      </c>
      <c r="C14" s="33"/>
      <c r="D14" s="33"/>
    </row>
  </sheetData>
  <mergeCells count="1">
    <mergeCell ref="A11:F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M25"/>
  <sheetViews>
    <sheetView tabSelected="1" topLeftCell="A25" workbookViewId="0">
      <selection activeCell="H49" sqref="H49"/>
    </sheetView>
  </sheetViews>
  <sheetFormatPr defaultColWidth="8.88671875" defaultRowHeight="14.4" x14ac:dyDescent="0.3"/>
  <cols>
    <col min="2" max="2" width="19.88671875" bestFit="1" customWidth="1"/>
    <col min="3" max="3" width="7.77734375" bestFit="1" customWidth="1"/>
    <col min="4" max="4" width="8.5546875" bestFit="1" customWidth="1"/>
    <col min="5" max="5" width="11.44140625" bestFit="1" customWidth="1"/>
    <col min="6" max="6" width="8.5546875" bestFit="1" customWidth="1"/>
    <col min="7" max="7" width="9.33203125" bestFit="1" customWidth="1"/>
    <col min="8" max="8" width="69.44140625" bestFit="1" customWidth="1"/>
  </cols>
  <sheetData>
    <row r="2" spans="2:13" x14ac:dyDescent="0.3">
      <c r="B2" s="1"/>
    </row>
    <row r="3" spans="2:13" x14ac:dyDescent="0.3">
      <c r="B3" s="12" t="s">
        <v>24</v>
      </c>
      <c r="C3" s="12" t="s">
        <v>34</v>
      </c>
      <c r="D3" s="12" t="s">
        <v>35</v>
      </c>
      <c r="E3" s="12" t="s">
        <v>36</v>
      </c>
      <c r="F3" s="12" t="s">
        <v>25</v>
      </c>
      <c r="G3" s="12" t="s">
        <v>180</v>
      </c>
      <c r="H3" s="12" t="s">
        <v>135</v>
      </c>
    </row>
    <row r="4" spans="2:13" x14ac:dyDescent="0.3">
      <c r="B4" s="49" t="s">
        <v>26</v>
      </c>
      <c r="C4" s="50"/>
      <c r="D4" s="50"/>
      <c r="E4" s="50"/>
      <c r="F4" s="50"/>
      <c r="G4" s="50"/>
      <c r="H4" s="51"/>
      <c r="I4" s="1"/>
      <c r="J4" s="33"/>
    </row>
    <row r="5" spans="2:13" x14ac:dyDescent="0.3">
      <c r="B5" s="11" t="s">
        <v>193</v>
      </c>
      <c r="C5" s="11" t="s">
        <v>37</v>
      </c>
      <c r="D5" s="17">
        <f>29101.8207550049/1000</f>
        <v>29.101820755004901</v>
      </c>
      <c r="E5" s="26">
        <v>315</v>
      </c>
      <c r="F5" s="17">
        <f>E5*D5</f>
        <v>9167.0735378265435</v>
      </c>
      <c r="G5" s="17">
        <f>F5*C$25/C$24</f>
        <v>9233.9531988552899</v>
      </c>
      <c r="H5" s="11" t="s">
        <v>192</v>
      </c>
      <c r="K5">
        <f>D5*1000/Summary!$C$23</f>
        <v>0.43035038744104942</v>
      </c>
    </row>
    <row r="6" spans="2:13" x14ac:dyDescent="0.3">
      <c r="B6" s="11" t="s">
        <v>89</v>
      </c>
      <c r="C6" s="11" t="s">
        <v>37</v>
      </c>
      <c r="D6" s="23">
        <f>55864.8265857697/1000</f>
        <v>55.864826585769698</v>
      </c>
      <c r="E6" s="17">
        <v>0.17699999999999999</v>
      </c>
      <c r="F6" s="17">
        <f>E6*D6</f>
        <v>9.8880743056812364</v>
      </c>
      <c r="G6" s="17">
        <f>F6*C$25/C$24</f>
        <v>9.9602141281733552</v>
      </c>
      <c r="H6" s="11" t="s">
        <v>136</v>
      </c>
      <c r="K6">
        <f>D6*1000/Summary!$C$23</f>
        <v>0.82611496950335672</v>
      </c>
    </row>
    <row r="7" spans="2:13" x14ac:dyDescent="0.3">
      <c r="B7" s="49" t="s">
        <v>28</v>
      </c>
      <c r="C7" s="50"/>
      <c r="D7" s="50"/>
      <c r="E7" s="50"/>
      <c r="F7" s="50"/>
      <c r="G7" s="50"/>
      <c r="H7" s="51"/>
    </row>
    <row r="8" spans="2:13" x14ac:dyDescent="0.3">
      <c r="B8" s="11" t="s">
        <v>27</v>
      </c>
      <c r="C8" s="11" t="s">
        <v>38</v>
      </c>
      <c r="D8" s="8">
        <f>550925906.27899/1000000</f>
        <v>550.92590627899006</v>
      </c>
      <c r="E8" s="17">
        <v>0.378</v>
      </c>
      <c r="F8" s="17">
        <f>E8*D8</f>
        <v>208.24999257345823</v>
      </c>
      <c r="G8" s="17">
        <f>F8*C$25/C$24</f>
        <v>209.76930938215199</v>
      </c>
      <c r="H8" s="11" t="s">
        <v>136</v>
      </c>
      <c r="K8">
        <f>D8*1000/Summary!$C$23</f>
        <v>8.1469533887394316</v>
      </c>
      <c r="M8">
        <f>K8+K16+K19</f>
        <v>18.12009522143039</v>
      </c>
    </row>
    <row r="9" spans="2:13" x14ac:dyDescent="0.3">
      <c r="B9" s="11" t="s">
        <v>30</v>
      </c>
      <c r="C9" s="11" t="s">
        <v>39</v>
      </c>
      <c r="D9" s="31">
        <v>63254.431346251644</v>
      </c>
      <c r="E9" s="17">
        <v>6.7400000000000002E-2</v>
      </c>
      <c r="F9" s="17">
        <f>E9*D9</f>
        <v>4263.3486727373611</v>
      </c>
      <c r="G9" s="17">
        <f>F9*C$25/C$24</f>
        <v>4294.4525264267068</v>
      </c>
      <c r="H9" s="11" t="s">
        <v>136</v>
      </c>
      <c r="K9">
        <f>D9*1000/Summary!$C$23</f>
        <v>935.39058144810815</v>
      </c>
    </row>
    <row r="10" spans="2:13" x14ac:dyDescent="0.3">
      <c r="B10" s="11" t="s">
        <v>220</v>
      </c>
      <c r="C10" s="11" t="s">
        <v>38</v>
      </c>
      <c r="D10" s="8">
        <v>0</v>
      </c>
      <c r="E10" s="17">
        <v>6.67</v>
      </c>
      <c r="F10" s="17">
        <f>E10*D10</f>
        <v>0</v>
      </c>
      <c r="G10" s="17">
        <f>F10*C$25/C$24</f>
        <v>0</v>
      </c>
      <c r="H10" s="11" t="s">
        <v>192</v>
      </c>
    </row>
    <row r="11" spans="2:13" x14ac:dyDescent="0.3">
      <c r="B11" s="49" t="s">
        <v>29</v>
      </c>
      <c r="C11" s="50"/>
      <c r="D11" s="50"/>
      <c r="E11" s="50"/>
      <c r="F11" s="50"/>
      <c r="G11" s="50"/>
      <c r="H11" s="51"/>
    </row>
    <row r="12" spans="2:13" ht="15.6" x14ac:dyDescent="0.35">
      <c r="B12" s="11" t="s">
        <v>181</v>
      </c>
      <c r="C12" s="11" t="s">
        <v>37</v>
      </c>
      <c r="D12" s="17">
        <f>79305.0822691293/1000</f>
        <v>79.305082269129301</v>
      </c>
      <c r="E12">
        <v>30</v>
      </c>
      <c r="F12" s="17">
        <f>E12*D12</f>
        <v>2379.1524680738789</v>
      </c>
      <c r="G12" s="17">
        <f>F12*C25/C25</f>
        <v>2379.1524680738789</v>
      </c>
      <c r="H12" s="11" t="s">
        <v>183</v>
      </c>
      <c r="K12">
        <f>D12*1000/Summary!$C$23</f>
        <v>1.172743560201285</v>
      </c>
      <c r="M12">
        <f>K12+K17</f>
        <v>1.4371154617893009</v>
      </c>
    </row>
    <row r="13" spans="2:13" x14ac:dyDescent="0.3">
      <c r="B13" s="11" t="s">
        <v>225</v>
      </c>
      <c r="C13" s="11" t="s">
        <v>37</v>
      </c>
      <c r="D13" s="17">
        <f>584.815321092863/1000</f>
        <v>0.58481532109286294</v>
      </c>
      <c r="E13" s="17">
        <v>0</v>
      </c>
      <c r="F13" s="17">
        <f>E13*D13</f>
        <v>0</v>
      </c>
      <c r="G13" s="17">
        <f>F13*C$25/C$24</f>
        <v>0</v>
      </c>
      <c r="H13" s="11" t="s">
        <v>226</v>
      </c>
      <c r="K13">
        <f>D13*1000/Summary!$C$23</f>
        <v>8.6481015099542334E-3</v>
      </c>
    </row>
    <row r="14" spans="2:13" x14ac:dyDescent="0.3">
      <c r="B14" s="49" t="s">
        <v>224</v>
      </c>
      <c r="C14" s="50"/>
      <c r="D14" s="50"/>
      <c r="E14" s="50"/>
      <c r="F14" s="50"/>
      <c r="G14" s="50"/>
      <c r="H14" s="51"/>
    </row>
    <row r="15" spans="2:13" x14ac:dyDescent="0.3">
      <c r="B15" s="11" t="s">
        <v>193</v>
      </c>
      <c r="C15" s="11" t="s">
        <v>37</v>
      </c>
      <c r="D15" s="8">
        <f>6517/1000</f>
        <v>6.5170000000000003</v>
      </c>
      <c r="E15" s="26">
        <v>315</v>
      </c>
      <c r="F15" s="17">
        <f>E15*D15</f>
        <v>2052.855</v>
      </c>
      <c r="G15" s="17">
        <f>F15*C$25/C$24</f>
        <v>2067.8318894047425</v>
      </c>
      <c r="H15" s="11" t="s">
        <v>192</v>
      </c>
      <c r="K15">
        <f>D15*1000/Summary!$C$23</f>
        <v>9.637175276983273E-2</v>
      </c>
    </row>
    <row r="16" spans="2:13" x14ac:dyDescent="0.3">
      <c r="B16" s="11" t="s">
        <v>27</v>
      </c>
      <c r="C16" s="11" t="s">
        <v>38</v>
      </c>
      <c r="D16" s="17">
        <f>165559324.987747/1000000</f>
        <v>165.559324987747</v>
      </c>
      <c r="E16" s="17">
        <v>0.378</v>
      </c>
      <c r="F16" s="17">
        <f>E16*D16</f>
        <v>62.581424845368367</v>
      </c>
      <c r="G16" s="17">
        <f>F16*C$25/C$24</f>
        <v>63.03799634150436</v>
      </c>
      <c r="H16" s="11" t="s">
        <v>136</v>
      </c>
      <c r="K16">
        <f>D16*1000/Summary!$C$23</f>
        <v>2.448249552932261</v>
      </c>
    </row>
    <row r="17" spans="2:11" ht="15.6" x14ac:dyDescent="0.35">
      <c r="B17" s="11" t="s">
        <v>181</v>
      </c>
      <c r="C17" s="11" t="s">
        <v>37</v>
      </c>
      <c r="D17" s="8">
        <f>17877.7663903652/1000</f>
        <v>17.877766390365199</v>
      </c>
      <c r="E17">
        <v>30</v>
      </c>
      <c r="F17" s="17">
        <f>E17*D17</f>
        <v>536.33299171095598</v>
      </c>
      <c r="G17" s="17">
        <f>F17</f>
        <v>536.33299171095598</v>
      </c>
      <c r="H17" s="11" t="s">
        <v>183</v>
      </c>
      <c r="K17">
        <f>D17*1000/Summary!$C$23</f>
        <v>0.26437190158801593</v>
      </c>
    </row>
    <row r="18" spans="2:11" x14ac:dyDescent="0.3">
      <c r="B18" s="49" t="s">
        <v>188</v>
      </c>
      <c r="C18" s="50"/>
      <c r="D18" s="50"/>
      <c r="E18" s="50"/>
      <c r="F18" s="50"/>
      <c r="G18" s="50"/>
      <c r="H18" s="51"/>
    </row>
    <row r="19" spans="2:11" x14ac:dyDescent="0.3">
      <c r="B19" s="11" t="s">
        <v>27</v>
      </c>
      <c r="C19" s="11" t="s">
        <v>38</v>
      </c>
      <c r="D19" s="17">
        <f>508859926.043997/1000000</f>
        <v>508.85992604399701</v>
      </c>
      <c r="E19" s="17">
        <v>0.378</v>
      </c>
      <c r="F19" s="17">
        <f>E19*D19</f>
        <v>192.34905204463087</v>
      </c>
      <c r="G19" s="17">
        <f>F19*C$25/C$24</f>
        <v>193.75236132832572</v>
      </c>
      <c r="H19" s="11" t="s">
        <v>136</v>
      </c>
      <c r="K19">
        <f>D19*1000/Summary!$C$23</f>
        <v>7.5248922797586992</v>
      </c>
    </row>
    <row r="20" spans="2:11" x14ac:dyDescent="0.3">
      <c r="B20" s="2" t="s">
        <v>214</v>
      </c>
      <c r="C20" s="11"/>
      <c r="D20" s="17"/>
      <c r="E20" s="17"/>
      <c r="F20" s="17"/>
      <c r="G20" s="16">
        <f>SUM('Catalyst Costs'!G11)</f>
        <v>0.3397237242477919</v>
      </c>
      <c r="H20" s="11" t="s">
        <v>215</v>
      </c>
    </row>
    <row r="21" spans="2:11" x14ac:dyDescent="0.3">
      <c r="B21" s="2" t="s">
        <v>40</v>
      </c>
      <c r="C21" s="15" t="s">
        <v>44</v>
      </c>
      <c r="D21" s="3"/>
      <c r="E21" s="3"/>
      <c r="F21" s="16"/>
      <c r="G21" s="16">
        <f>(G5+G6+G8+G9+G10+G12+G13+G15+G16+G17+G19)/1000000*8000+G20</f>
        <v>152.24566736946161</v>
      </c>
      <c r="H21" s="11"/>
    </row>
    <row r="23" spans="2:11" x14ac:dyDescent="0.3">
      <c r="B23" s="12" t="s">
        <v>179</v>
      </c>
    </row>
    <row r="24" spans="2:11" x14ac:dyDescent="0.3">
      <c r="B24" s="11" t="s">
        <v>178</v>
      </c>
      <c r="C24" s="17">
        <v>603.1</v>
      </c>
    </row>
    <row r="25" spans="2:11" x14ac:dyDescent="0.3">
      <c r="B25" s="11" t="s">
        <v>42</v>
      </c>
      <c r="C25" s="17">
        <v>607.5</v>
      </c>
    </row>
  </sheetData>
  <mergeCells count="5">
    <mergeCell ref="B18:H18"/>
    <mergeCell ref="B4:H4"/>
    <mergeCell ref="B7:H7"/>
    <mergeCell ref="B11:H11"/>
    <mergeCell ref="B14:H1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J24"/>
  <sheetViews>
    <sheetView workbookViewId="0">
      <selection activeCell="G17" sqref="G17"/>
    </sheetView>
  </sheetViews>
  <sheetFormatPr defaultRowHeight="14.4" x14ac:dyDescent="0.3"/>
  <cols>
    <col min="2" max="2" width="38.5546875" bestFit="1" customWidth="1"/>
    <col min="3" max="3" width="9.109375" bestFit="1" customWidth="1"/>
    <col min="5" max="5" width="17.77734375" bestFit="1" customWidth="1"/>
    <col min="6" max="6" width="15.21875" bestFit="1" customWidth="1"/>
    <col min="7" max="7" width="12.6640625" bestFit="1" customWidth="1"/>
  </cols>
  <sheetData>
    <row r="2" spans="2:10" x14ac:dyDescent="0.3">
      <c r="F2" t="s">
        <v>249</v>
      </c>
      <c r="G2" t="s">
        <v>248</v>
      </c>
    </row>
    <row r="3" spans="2:10" x14ac:dyDescent="0.3">
      <c r="B3" s="11" t="s">
        <v>108</v>
      </c>
      <c r="C3" s="17">
        <f>SUM(CAPEX!B115)</f>
        <v>72.121736189847297</v>
      </c>
      <c r="E3" s="18" t="s">
        <v>193</v>
      </c>
      <c r="F3" s="43">
        <f>(OPEX!D5+OPEX!D15)*1000/Summary!C23</f>
        <v>0.52672214021088226</v>
      </c>
      <c r="G3" s="43">
        <f>(OPEX!G5+OPEX!G15)/Summary!C23</f>
        <v>0.1671279481945033</v>
      </c>
      <c r="I3" s="45"/>
    </row>
    <row r="4" spans="2:10" x14ac:dyDescent="0.3">
      <c r="B4" s="19" t="s">
        <v>100</v>
      </c>
      <c r="C4" s="17">
        <f>SUM(CAPEX!B116)</f>
        <v>269.73529335002894</v>
      </c>
      <c r="E4" s="18" t="s">
        <v>89</v>
      </c>
      <c r="F4" s="43">
        <f>(OPEX!D6)*1000/Summary!C23</f>
        <v>0.82611496950335672</v>
      </c>
      <c r="G4" s="43">
        <f>OPEX!G6/Summary!C23</f>
        <v>1.4728913510739876E-4</v>
      </c>
      <c r="I4" s="45"/>
      <c r="J4" s="45"/>
    </row>
    <row r="5" spans="2:10" x14ac:dyDescent="0.3">
      <c r="B5" s="19" t="s">
        <v>101</v>
      </c>
      <c r="C5" s="17">
        <f>SUM(CAPEX!B117)</f>
        <v>80.920588005008682</v>
      </c>
      <c r="E5" s="18" t="s">
        <v>246</v>
      </c>
      <c r="F5" s="43">
        <v>0</v>
      </c>
      <c r="G5" s="43">
        <v>0</v>
      </c>
      <c r="I5" s="45"/>
      <c r="J5" s="45"/>
    </row>
    <row r="6" spans="2:10" x14ac:dyDescent="0.3">
      <c r="B6" s="19" t="s">
        <v>125</v>
      </c>
      <c r="C6" s="17">
        <f>SUM(CAPEX!B118)</f>
        <v>105.19676440651129</v>
      </c>
      <c r="E6" s="18" t="s">
        <v>247</v>
      </c>
      <c r="F6" s="43">
        <v>0</v>
      </c>
      <c r="G6" s="43">
        <v>0</v>
      </c>
      <c r="I6" s="45"/>
    </row>
    <row r="7" spans="2:10" x14ac:dyDescent="0.3">
      <c r="B7" s="19" t="s">
        <v>103</v>
      </c>
      <c r="C7" s="17">
        <f>SUM(CAPEX!B119)</f>
        <v>35.065588135503766</v>
      </c>
      <c r="E7" s="18" t="s">
        <v>30</v>
      </c>
      <c r="F7" s="43">
        <f>OPEX!D9/Summary!C23</f>
        <v>0.93539058144810816</v>
      </c>
      <c r="G7" s="43">
        <f>OPEX!G9/Summary!C23</f>
        <v>6.3505281135273609E-2</v>
      </c>
    </row>
    <row r="8" spans="2:10" x14ac:dyDescent="0.3">
      <c r="B8" s="19" t="s">
        <v>104</v>
      </c>
      <c r="C8" s="17">
        <f>SUM(CAPEX!B120)</f>
        <v>490.91823389705274</v>
      </c>
      <c r="E8" s="18" t="s">
        <v>244</v>
      </c>
      <c r="F8" s="43">
        <v>0</v>
      </c>
      <c r="G8" s="43">
        <f>(OPEX!G8+OPEX!G10+OPEX!G12+OPEX!G13+OPEX!G16+OPEX!G17+OPEX!G19+OPEX!G20*1000000/8000)/Summary!C23</f>
        <v>5.0640799166079824E-2</v>
      </c>
    </row>
    <row r="9" spans="2:10" x14ac:dyDescent="0.3">
      <c r="B9" s="19" t="s">
        <v>107</v>
      </c>
      <c r="C9" s="17">
        <f>SUM(CAPEX!B121)</f>
        <v>73.637735084557903</v>
      </c>
      <c r="E9" s="18" t="s">
        <v>243</v>
      </c>
      <c r="F9" s="43">
        <v>0</v>
      </c>
      <c r="G9" s="43">
        <f>C18*10^6/8000/C23</f>
        <v>0.13305436764453749</v>
      </c>
    </row>
    <row r="10" spans="2:10" x14ac:dyDescent="0.3">
      <c r="B10" s="11" t="s">
        <v>105</v>
      </c>
      <c r="C10" s="17">
        <f>SUM(CAPEX!B122)</f>
        <v>564.5559689816107</v>
      </c>
      <c r="E10" s="18" t="s">
        <v>245</v>
      </c>
      <c r="F10" s="43">
        <v>0</v>
      </c>
      <c r="G10" s="43">
        <f>C19*10^6/8000/C23</f>
        <v>6.8199817668703311E-2</v>
      </c>
    </row>
    <row r="11" spans="2:10" x14ac:dyDescent="0.3">
      <c r="B11" s="11" t="s">
        <v>130</v>
      </c>
      <c r="C11" s="17">
        <f>SUM('Production Costs'!C9)</f>
        <v>7.3406250000000002</v>
      </c>
      <c r="E11" s="18"/>
      <c r="G11" s="44">
        <f>SUM(G3:G10)</f>
        <v>0.48267550294420491</v>
      </c>
    </row>
    <row r="12" spans="2:10" x14ac:dyDescent="0.3">
      <c r="B12" s="11" t="s">
        <v>131</v>
      </c>
      <c r="C12" s="17">
        <f>SUM('Production Costs'!C12)</f>
        <v>8.0920588005008671</v>
      </c>
    </row>
    <row r="13" spans="2:10" x14ac:dyDescent="0.3">
      <c r="B13" s="11" t="s">
        <v>119</v>
      </c>
      <c r="C13" s="17">
        <f>SUM('Production Costs'!C16)</f>
        <v>17.044362097426315</v>
      </c>
    </row>
    <row r="14" spans="2:10" x14ac:dyDescent="0.3">
      <c r="B14" s="11" t="s">
        <v>127</v>
      </c>
      <c r="C14" s="17">
        <f>SUM('Production Costs'!C19)</f>
        <v>4.4182641050734741</v>
      </c>
    </row>
    <row r="15" spans="2:10" x14ac:dyDescent="0.3">
      <c r="B15" s="11" t="s">
        <v>31</v>
      </c>
      <c r="C15" s="17">
        <f>SUM(CAPEX!B123)</f>
        <v>25</v>
      </c>
    </row>
    <row r="16" spans="2:10" x14ac:dyDescent="0.3">
      <c r="B16" s="11" t="s">
        <v>32</v>
      </c>
      <c r="C16" s="17">
        <f>SUM(CAPEX!B124)</f>
        <v>0.12</v>
      </c>
    </row>
    <row r="17" spans="2:3" x14ac:dyDescent="0.3">
      <c r="B17" s="11" t="s">
        <v>33</v>
      </c>
      <c r="C17" s="13">
        <f>SUM(CAPEX!B125)</f>
        <v>0.12749996980950773</v>
      </c>
    </row>
    <row r="18" spans="2:3" x14ac:dyDescent="0.3">
      <c r="B18" s="12" t="s">
        <v>43</v>
      </c>
      <c r="C18" s="14">
        <f>SUM(CAPEX!B127)</f>
        <v>71.980869000932742</v>
      </c>
    </row>
    <row r="19" spans="2:3" x14ac:dyDescent="0.3">
      <c r="B19" s="12" t="s">
        <v>133</v>
      </c>
      <c r="C19" s="14">
        <f>'Production Costs'!C20</f>
        <v>36.89531000300066</v>
      </c>
    </row>
    <row r="20" spans="2:3" x14ac:dyDescent="0.3">
      <c r="B20" s="12" t="s">
        <v>182</v>
      </c>
      <c r="C20" s="14">
        <f>SUM(OPEX!G21)</f>
        <v>152.24566736946161</v>
      </c>
    </row>
    <row r="21" spans="2:3" x14ac:dyDescent="0.3">
      <c r="B21" s="12" t="s">
        <v>134</v>
      </c>
      <c r="C21" s="14">
        <f>(C18+C19+C20)</f>
        <v>261.12184637339499</v>
      </c>
    </row>
    <row r="22" spans="2:3" x14ac:dyDescent="0.3">
      <c r="B22" s="12" t="s">
        <v>91</v>
      </c>
      <c r="C22" s="14">
        <f>(C21)*1000000/8000</f>
        <v>32640.230796674376</v>
      </c>
    </row>
    <row r="23" spans="2:3" x14ac:dyDescent="0.3">
      <c r="B23" s="12" t="s">
        <v>90</v>
      </c>
      <c r="C23" s="14">
        <v>67623.549563996494</v>
      </c>
    </row>
    <row r="24" spans="2:3" x14ac:dyDescent="0.3">
      <c r="B24" s="30" t="s">
        <v>92</v>
      </c>
      <c r="C24" s="29">
        <f>C22/C23</f>
        <v>0.48267550294420491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CAPEX</vt:lpstr>
      <vt:lpstr>Production Costs</vt:lpstr>
      <vt:lpstr>Catalyst Costs</vt:lpstr>
      <vt:lpstr>OPEX</vt:lpstr>
      <vt:lpstr>Summary</vt:lpstr>
    </vt:vector>
  </TitlesOfParts>
  <Company>ETH Zuerich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Patel  Bhargav</dc:creator>
  <cp:lastModifiedBy>Nabera  Abhinandan</cp:lastModifiedBy>
  <dcterms:created xsi:type="dcterms:W3CDTF">2019-11-19T09:30:23Z</dcterms:created>
  <dcterms:modified xsi:type="dcterms:W3CDTF">2023-02-20T17:29:34Z</dcterms:modified>
</cp:coreProperties>
</file>