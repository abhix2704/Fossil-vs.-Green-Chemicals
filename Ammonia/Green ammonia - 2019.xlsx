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C:\Users\anabera\Desktop\Natural gas v chemicals\Ammonia\"/>
    </mc:Choice>
  </mc:AlternateContent>
  <xr:revisionPtr revIDLastSave="0" documentId="13_ncr:1_{5192132E-735D-4F5B-A013-651BA79BFC7A}" xr6:coauthVersionLast="36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8" l="1"/>
  <c r="J6" i="8"/>
  <c r="J11" i="8"/>
  <c r="J12" i="8"/>
  <c r="J14" i="8"/>
  <c r="J16" i="8"/>
  <c r="J5" i="8"/>
  <c r="F7" i="11" l="1"/>
  <c r="E7" i="8"/>
  <c r="E8" i="8"/>
  <c r="E9" i="8"/>
  <c r="D16" i="8" l="1"/>
  <c r="D11" i="8"/>
  <c r="H48" i="7"/>
  <c r="D5" i="8" l="1"/>
  <c r="F5" i="11" s="1"/>
  <c r="F5" i="8" l="1"/>
  <c r="G5" i="8" s="1"/>
  <c r="G5" i="11" s="1"/>
  <c r="E3" i="13" l="1"/>
  <c r="F3" i="13" s="1"/>
  <c r="G3" i="13" s="1"/>
  <c r="G4" i="13" l="1"/>
  <c r="G17" i="8" s="1"/>
  <c r="F16" i="8"/>
  <c r="G16" i="8" s="1"/>
  <c r="D9" i="8"/>
  <c r="D8" i="8"/>
  <c r="D7" i="8"/>
  <c r="F6" i="11" s="1"/>
  <c r="D6" i="8"/>
  <c r="H49" i="7"/>
  <c r="H50" i="7"/>
  <c r="H47" i="7"/>
  <c r="H37" i="7"/>
  <c r="H36" i="7"/>
  <c r="H35" i="7"/>
  <c r="H34" i="7"/>
  <c r="H33" i="7"/>
  <c r="H32" i="7"/>
  <c r="H31" i="7"/>
  <c r="H30" i="7"/>
  <c r="H29" i="7"/>
  <c r="H17" i="7"/>
  <c r="H16" i="7"/>
  <c r="H15" i="7"/>
  <c r="H14" i="7"/>
  <c r="F9" i="8" l="1"/>
  <c r="G9" i="8" s="1"/>
  <c r="F8" i="8"/>
  <c r="G8" i="8" s="1"/>
  <c r="F7" i="8"/>
  <c r="G7" i="8" s="1"/>
  <c r="G6" i="11" s="1"/>
  <c r="C6" i="12" l="1"/>
  <c r="F6" i="8"/>
  <c r="G6" i="8" s="1"/>
  <c r="C7" i="12" l="1"/>
  <c r="C8" i="12" l="1"/>
  <c r="C9" i="12" s="1"/>
  <c r="C11" i="11" l="1"/>
  <c r="C16" i="11"/>
  <c r="C15" i="11"/>
  <c r="M18" i="7"/>
  <c r="N18" i="7" s="1"/>
  <c r="O18" i="7" s="1"/>
  <c r="Q18" i="7" s="1"/>
  <c r="D45" i="7" s="1"/>
  <c r="M17" i="7"/>
  <c r="N17" i="7" s="1"/>
  <c r="O17" i="7" s="1"/>
  <c r="Q17" i="7" s="1"/>
  <c r="D44" i="7" s="1"/>
  <c r="M16" i="7"/>
  <c r="N16" i="7" s="1"/>
  <c r="O16" i="7" s="1"/>
  <c r="Q16" i="7" s="1"/>
  <c r="D43" i="7" s="1"/>
  <c r="H28" i="7"/>
  <c r="H21" i="7"/>
  <c r="H20" i="7"/>
  <c r="H19" i="7"/>
  <c r="H18" i="7"/>
  <c r="H45" i="7" l="1"/>
  <c r="H44" i="7"/>
  <c r="H43" i="7"/>
  <c r="H27" i="7"/>
  <c r="H26" i="7"/>
  <c r="H25" i="7"/>
  <c r="H24" i="7"/>
  <c r="H23" i="7"/>
  <c r="F14" i="8" l="1"/>
  <c r="G14" i="8" s="1"/>
  <c r="F12" i="8"/>
  <c r="G12" i="8" s="1"/>
  <c r="G7" i="11" s="1"/>
  <c r="F11" i="8"/>
  <c r="G11" i="8" s="1"/>
  <c r="B66" i="7"/>
  <c r="C17" i="11" s="1"/>
  <c r="G8" i="11" l="1"/>
  <c r="G19" i="8"/>
  <c r="D22" i="11" s="1"/>
  <c r="G20" i="8"/>
  <c r="E22" i="11" s="1"/>
  <c r="G21" i="8"/>
  <c r="F22" i="11" s="1"/>
  <c r="G18" i="8"/>
  <c r="C22" i="11" s="1"/>
  <c r="M15" i="7"/>
  <c r="N15" i="7" s="1"/>
  <c r="O15" i="7" s="1"/>
  <c r="Q15" i="7" s="1"/>
  <c r="D41" i="7" s="1"/>
  <c r="H41" i="7" s="1"/>
  <c r="M14" i="7"/>
  <c r="N14" i="7" s="1"/>
  <c r="O14" i="7" s="1"/>
  <c r="Q14" i="7" s="1"/>
  <c r="D40" i="7" s="1"/>
  <c r="H40" i="7" s="1"/>
  <c r="M13" i="7"/>
  <c r="N13" i="7" s="1"/>
  <c r="O13" i="7" s="1"/>
  <c r="Q13" i="7" s="1"/>
  <c r="D39" i="7" l="1"/>
  <c r="H39" i="7" s="1"/>
  <c r="H51" i="7" s="1"/>
  <c r="B56" i="7" s="1"/>
  <c r="B57" i="7" l="1"/>
  <c r="C3" i="11"/>
  <c r="C11" i="12" l="1"/>
  <c r="B61" i="7"/>
  <c r="B58" i="7"/>
  <c r="B60" i="7" s="1"/>
  <c r="C7" i="11" s="1"/>
  <c r="C4" i="11"/>
  <c r="C15" i="12" l="1"/>
  <c r="C61" i="7"/>
  <c r="B62" i="7"/>
  <c r="C8" i="11"/>
  <c r="C14" i="12"/>
  <c r="C12" i="12"/>
  <c r="C12" i="11" s="1"/>
  <c r="B59" i="7"/>
  <c r="C6" i="11" s="1"/>
  <c r="C5" i="11"/>
  <c r="C16" i="12" l="1"/>
  <c r="C13" i="11" s="1"/>
  <c r="B63" i="7"/>
  <c r="B67" i="7" s="1"/>
  <c r="B68" i="7" s="1"/>
  <c r="C18" i="11" s="1"/>
  <c r="G9" i="11" s="1"/>
  <c r="C18" i="12"/>
  <c r="C19" i="12" s="1"/>
  <c r="C9" i="11"/>
  <c r="C10" i="11" l="1"/>
  <c r="C14" i="11"/>
  <c r="C20" i="12"/>
  <c r="C19" i="11" s="1"/>
  <c r="G10" i="11" s="1"/>
  <c r="F23" i="11" l="1"/>
  <c r="F24" i="11" s="1"/>
  <c r="F26" i="11" s="1"/>
  <c r="C23" i="11"/>
  <c r="D23" i="11"/>
  <c r="D24" i="11" s="1"/>
  <c r="D26" i="11" s="1"/>
  <c r="E23" i="11"/>
  <c r="E24" i="11" s="1"/>
  <c r="E26" i="11" s="1"/>
  <c r="C24" i="11" l="1"/>
  <c r="C26" i="11" s="1"/>
  <c r="E27" i="11" s="1"/>
  <c r="F27" i="11" l="1"/>
  <c r="D27" i="11"/>
  <c r="G11" i="11" l="1"/>
</calcChain>
</file>

<file path=xl/sharedStrings.xml><?xml version="1.0" encoding="utf-8"?>
<sst xmlns="http://schemas.openxmlformats.org/spreadsheetml/2006/main" count="283" uniqueCount="184">
  <si>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</si>
  <si>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</si>
  <si>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</si>
  <si>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</si>
  <si>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</si>
  <si>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</si>
  <si>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</si>
  <si>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</si>
  <si>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</si>
  <si>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</si>
  <si>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</si>
  <si>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</si>
  <si>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</si>
  <si>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</si>
  <si>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</si>
  <si>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</si>
  <si>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</si>
  <si>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</si>
  <si>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</si>
  <si>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</si>
  <si>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</si>
  <si>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</si>
  <si>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</si>
  <si>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</si>
  <si>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</si>
  <si>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Raw Material Costs</t>
  </si>
  <si>
    <t>Cooling water</t>
  </si>
  <si>
    <t>Utility Costs</t>
  </si>
  <si>
    <t>Additional Costs (purge,etc)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</si>
  <si>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</si>
  <si>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</si>
  <si>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</si>
  <si>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</si>
  <si>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</si>
  <si>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</si>
  <si>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</si>
  <si>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</si>
  <si>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</si>
  <si>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</si>
  <si>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</si>
  <si>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</si>
  <si>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</si>
  <si>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</si>
  <si>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</si>
  <si>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</si>
  <si>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</si>
  <si>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</si>
  <si>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</si>
  <si>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</si>
  <si>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</si>
  <si>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</si>
  <si>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K-402</t>
  </si>
  <si>
    <t>K-100</t>
  </si>
  <si>
    <t>K-101</t>
  </si>
  <si>
    <t>K-109</t>
  </si>
  <si>
    <t>BED1</t>
  </si>
  <si>
    <t>BED2</t>
  </si>
  <si>
    <t>BED3</t>
  </si>
  <si>
    <t>V-502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</si>
  <si>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</si>
  <si>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</si>
  <si>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</si>
  <si>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</si>
  <si>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 xml:space="preserve">Centrifugal Compressor </t>
  </si>
  <si>
    <t>U Tube HEX</t>
  </si>
  <si>
    <t>Pressure Vessel</t>
  </si>
  <si>
    <t>Power, kW</t>
  </si>
  <si>
    <t xml:space="preserve">Area </t>
  </si>
  <si>
    <t>Flue gas emissions</t>
  </si>
  <si>
    <t>OPEX (M$/year)</t>
  </si>
  <si>
    <t>Total Ammonia Produced (kg/hr)</t>
  </si>
  <si>
    <t>Total Expenses ($/hr)</t>
  </si>
  <si>
    <t>Cost of Ammonia per kg</t>
  </si>
  <si>
    <t>Compressors</t>
  </si>
  <si>
    <t>Heat Exchangers</t>
  </si>
  <si>
    <t>Reactors</t>
  </si>
  <si>
    <t>Flash Separators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</si>
  <si>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</si>
  <si>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</si>
  <si>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</si>
  <si>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</si>
  <si>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</si>
  <si>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</si>
  <si>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</si>
  <si>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</si>
  <si>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</si>
  <si>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</si>
  <si>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</si>
  <si>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</si>
  <si>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</si>
  <si>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</si>
  <si>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</si>
  <si>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</si>
  <si>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</si>
  <si>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</si>
  <si>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</si>
  <si>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</si>
  <si>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</si>
  <si>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</si>
  <si>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</si>
  <si>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</si>
  <si>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</si>
  <si>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</si>
  <si>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</si>
  <si>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</si>
  <si>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</si>
  <si>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</si>
  <si>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</si>
  <si>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</si>
  <si>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</si>
  <si>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</si>
  <si>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</si>
  <si>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Fixed Production Costs (M$/year)</t>
  </si>
  <si>
    <t>Total Expenses (M$/year)</t>
  </si>
  <si>
    <t>CEPCI 2009</t>
  </si>
  <si>
    <t>Reference</t>
  </si>
  <si>
    <t>Turton2018 (Pg. 246)</t>
  </si>
  <si>
    <t>9 shift positions, 9 operators/shift</t>
  </si>
  <si>
    <t>CEPCI 2018</t>
  </si>
  <si>
    <t>Reference Data</t>
  </si>
  <si>
    <t>2019 costs</t>
  </si>
  <si>
    <t>E-102</t>
  </si>
  <si>
    <t>Hydrogen</t>
  </si>
  <si>
    <t>Chi2017 (Pg. 3)</t>
  </si>
  <si>
    <t>Total OPEX (electricity mix)</t>
  </si>
  <si>
    <t>Total OPEX (nuclear)</t>
  </si>
  <si>
    <t>Total OPEX (solar)</t>
  </si>
  <si>
    <t>Total OPEX (wind)</t>
  </si>
  <si>
    <t>Hydrogen (nuclear)</t>
  </si>
  <si>
    <t>Hydrogen (solar)</t>
  </si>
  <si>
    <t>Hydrogen (wind)</t>
  </si>
  <si>
    <t>Nuclear</t>
  </si>
  <si>
    <t>Solar</t>
  </si>
  <si>
    <t>Wind</t>
  </si>
  <si>
    <t>Base case</t>
  </si>
  <si>
    <t>Increase from Base case</t>
  </si>
  <si>
    <t>K-102</t>
  </si>
  <si>
    <t>K-103</t>
  </si>
  <si>
    <t>K-104</t>
  </si>
  <si>
    <t>K-105</t>
  </si>
  <si>
    <t>E-113</t>
  </si>
  <si>
    <t>E-114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</si>
  <si>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</si>
  <si>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</si>
  <si>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</si>
  <si>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</si>
  <si>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</si>
  <si>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</si>
  <si>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</si>
  <si>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</si>
  <si>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Turbine</t>
  </si>
  <si>
    <t>MLP-107</t>
  </si>
  <si>
    <t>MLP-105</t>
  </si>
  <si>
    <t>Unit operation</t>
  </si>
  <si>
    <t>Catalyst used</t>
  </si>
  <si>
    <t>Total kg</t>
  </si>
  <si>
    <t>Year</t>
  </si>
  <si>
    <t>$/kg</t>
  </si>
  <si>
    <t>$</t>
  </si>
  <si>
    <t>2019$</t>
  </si>
  <si>
    <t>Cora2019 (table S4)</t>
  </si>
  <si>
    <t>Ammonia synthesis</t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</si>
  <si>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</si>
  <si>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Total catalayst cost (M$/year)</t>
  </si>
  <si>
    <t>CEPCI 2015</t>
  </si>
  <si>
    <t>Catalyst costs</t>
  </si>
  <si>
    <t>Refer Catalyst Costs sheet</t>
  </si>
  <si>
    <t>E-112</t>
  </si>
  <si>
    <t>HP and LP Steam Utilization</t>
  </si>
  <si>
    <t>Nitrogen</t>
  </si>
  <si>
    <t>Lin2018 (Pg. 4)</t>
  </si>
  <si>
    <t>E-108</t>
  </si>
  <si>
    <t>E-110</t>
  </si>
  <si>
    <t>E-109</t>
  </si>
  <si>
    <t>E-111</t>
  </si>
  <si>
    <t>MLP-106</t>
  </si>
  <si>
    <t>Additional Economics Parameters</t>
  </si>
  <si>
    <t>Unit/kg ammonia</t>
  </si>
  <si>
    <t>$/kg ammonia</t>
  </si>
  <si>
    <t>Natural gas</t>
  </si>
  <si>
    <t>Water</t>
  </si>
  <si>
    <t>Other utilities</t>
  </si>
  <si>
    <t>CAPEX</t>
  </si>
  <si>
    <t>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</si>
</sst>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2" fontId="1" fillId="0" borderId="0" xfId="0" applyNumberFormat="1" applyFont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workbookViewId="0">
      <selection activeCell="T16" sqref="T16"/>
    </sheetView>
  </sheetViews>
  <sheetFormatPr defaultRowHeight="14.4" x14ac:dyDescent="0.3"/>
  <cols>
    <col min="1" max="1" width="26.44140625" bestFit="1" customWidth="1"/>
    <col min="2" max="2" width="19.77734375" bestFit="1" customWidth="1"/>
    <col min="3" max="3" width="16.21875" bestFit="1" customWidth="1"/>
    <col min="4" max="4" width="9.21875" bestFit="1" customWidth="1"/>
    <col min="5" max="6" width="6.77734375" bestFit="1" customWidth="1"/>
    <col min="7" max="7" width="4.77734375" bestFit="1" customWidth="1"/>
    <col min="8" max="8" width="9.21875" bestFit="1" customWidth="1"/>
    <col min="10" max="10" width="11.109375" bestFit="1" customWidth="1"/>
    <col min="11" max="11" width="11.44140625" bestFit="1" customWidth="1"/>
    <col min="12" max="12" width="5.21875" bestFit="1" customWidth="1"/>
    <col min="14" max="14" width="8.88671875" bestFit="1" customWidth="1"/>
    <col min="15" max="15" width="7.109375" bestFit="1" customWidth="1"/>
    <col min="17" max="17" width="9.2187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43</v>
      </c>
      <c r="C2" s="3">
        <v>0.3</v>
      </c>
    </row>
    <row r="3" spans="1:17" ht="15.6" x14ac:dyDescent="0.35">
      <c r="A3" s="3" t="s">
        <v>2</v>
      </c>
      <c r="B3" s="3" t="s">
        <v>44</v>
      </c>
      <c r="C3" s="3">
        <v>0.8</v>
      </c>
    </row>
    <row r="4" spans="1:17" ht="15.6" x14ac:dyDescent="0.35">
      <c r="A4" s="3" t="s">
        <v>3</v>
      </c>
      <c r="B4" s="3" t="s">
        <v>45</v>
      </c>
      <c r="C4" s="3">
        <v>0.3</v>
      </c>
    </row>
    <row r="5" spans="1:17" ht="15.6" x14ac:dyDescent="0.35">
      <c r="A5" s="3" t="s">
        <v>4</v>
      </c>
      <c r="B5" s="3" t="s">
        <v>46</v>
      </c>
      <c r="C5" s="3">
        <v>0.2</v>
      </c>
    </row>
    <row r="6" spans="1:17" ht="15.6" x14ac:dyDescent="0.35">
      <c r="A6" s="3" t="s">
        <v>5</v>
      </c>
      <c r="B6" s="3" t="s">
        <v>47</v>
      </c>
      <c r="C6" s="3">
        <v>0.3</v>
      </c>
    </row>
    <row r="7" spans="1:17" ht="15.6" x14ac:dyDescent="0.35">
      <c r="A7" s="3" t="s">
        <v>6</v>
      </c>
      <c r="B7" s="3" t="s">
        <v>48</v>
      </c>
      <c r="C7" s="3">
        <v>0.2</v>
      </c>
    </row>
    <row r="8" spans="1:17" ht="15.6" x14ac:dyDescent="0.35">
      <c r="A8" s="3" t="s">
        <v>7</v>
      </c>
      <c r="B8" s="3" t="s">
        <v>49</v>
      </c>
      <c r="C8" s="3">
        <v>0.1</v>
      </c>
    </row>
    <row r="9" spans="1:17" ht="15.6" x14ac:dyDescent="0.35">
      <c r="A9" s="3" t="s">
        <v>8</v>
      </c>
      <c r="B9" s="3" t="s">
        <v>50</v>
      </c>
      <c r="C9" s="3">
        <v>1.3</v>
      </c>
    </row>
    <row r="10" spans="1:17" x14ac:dyDescent="0.3">
      <c r="A10" s="18"/>
      <c r="B10" s="18"/>
      <c r="C10" s="18"/>
    </row>
    <row r="12" spans="1:17" ht="44.4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61</v>
      </c>
      <c r="O12" s="4" t="s">
        <v>16</v>
      </c>
      <c r="P12" s="4" t="s">
        <v>62</v>
      </c>
      <c r="Q12" s="4" t="s">
        <v>18</v>
      </c>
    </row>
    <row r="13" spans="1:17" x14ac:dyDescent="0.3">
      <c r="A13" s="40" t="s">
        <v>73</v>
      </c>
      <c r="B13" s="41"/>
      <c r="C13" s="41"/>
      <c r="D13" s="41"/>
      <c r="E13" s="41"/>
      <c r="F13" s="41"/>
      <c r="G13" s="41"/>
      <c r="H13" s="42"/>
      <c r="J13" s="5" t="s">
        <v>55</v>
      </c>
      <c r="K13" s="21">
        <v>2</v>
      </c>
      <c r="L13" s="8">
        <v>2.13</v>
      </c>
      <c r="M13" s="6">
        <f t="shared" ref="M13:M18" si="0">K13+0.0254</f>
        <v>2.0253999999999999</v>
      </c>
      <c r="N13" s="6">
        <f t="shared" ref="N13:N18" si="1">PI()*(M13*M13-K13*K13)/4</f>
        <v>8.0303160880278113E-2</v>
      </c>
      <c r="O13" s="6">
        <f t="shared" ref="O13:O18" si="2">N13*L13</f>
        <v>0.17104573267499237</v>
      </c>
      <c r="P13" s="3">
        <v>8000</v>
      </c>
      <c r="Q13" s="8">
        <f t="shared" ref="Q13:Q18" si="3">P13*O13</f>
        <v>1368.3658613999389</v>
      </c>
    </row>
    <row r="14" spans="1:17" x14ac:dyDescent="0.3">
      <c r="A14" s="3" t="s">
        <v>136</v>
      </c>
      <c r="B14" s="3" t="s">
        <v>63</v>
      </c>
      <c r="C14" s="3" t="s">
        <v>66</v>
      </c>
      <c r="D14" s="8">
        <v>4367.62889062259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3.6361694751606271</v>
      </c>
      <c r="J14" s="3" t="s">
        <v>56</v>
      </c>
      <c r="K14" s="21">
        <v>2</v>
      </c>
      <c r="L14" s="8">
        <v>3.07</v>
      </c>
      <c r="M14" s="6">
        <f t="shared" si="0"/>
        <v>2.0253999999999999</v>
      </c>
      <c r="N14" s="6">
        <f t="shared" si="1"/>
        <v>8.0303160880278113E-2</v>
      </c>
      <c r="O14" s="6">
        <f t="shared" si="2"/>
        <v>0.2465307039024538</v>
      </c>
      <c r="P14" s="3">
        <v>8000</v>
      </c>
      <c r="Q14" s="8">
        <f t="shared" si="3"/>
        <v>1972.2456312196305</v>
      </c>
    </row>
    <row r="15" spans="1:17" x14ac:dyDescent="0.3">
      <c r="A15" s="3" t="s">
        <v>137</v>
      </c>
      <c r="B15" s="3" t="s">
        <v>63</v>
      </c>
      <c r="C15" s="3" t="s">
        <v>66</v>
      </c>
      <c r="D15" s="8">
        <v>7075.0868267096102</v>
      </c>
      <c r="E15" s="7">
        <v>580000</v>
      </c>
      <c r="F15" s="7">
        <v>20000</v>
      </c>
      <c r="G15" s="8">
        <v>0.6</v>
      </c>
      <c r="H15" s="8">
        <f t="shared" si="4"/>
        <v>4.6619629643524325</v>
      </c>
      <c r="J15" s="3" t="s">
        <v>57</v>
      </c>
      <c r="K15" s="21">
        <v>2</v>
      </c>
      <c r="L15" s="8">
        <v>4.84</v>
      </c>
      <c r="M15" s="6">
        <f t="shared" si="0"/>
        <v>2.0253999999999999</v>
      </c>
      <c r="N15" s="6">
        <f t="shared" si="1"/>
        <v>8.0303160880278113E-2</v>
      </c>
      <c r="O15" s="6">
        <f t="shared" si="2"/>
        <v>0.38866729866054606</v>
      </c>
      <c r="P15" s="3">
        <v>8000</v>
      </c>
      <c r="Q15" s="8">
        <f t="shared" si="3"/>
        <v>3109.3383892843685</v>
      </c>
    </row>
    <row r="16" spans="1:17" x14ac:dyDescent="0.3">
      <c r="A16" s="3" t="s">
        <v>138</v>
      </c>
      <c r="B16" s="3" t="s">
        <v>63</v>
      </c>
      <c r="C16" s="3" t="s">
        <v>66</v>
      </c>
      <c r="D16" s="8">
        <v>9353.2604629439593</v>
      </c>
      <c r="E16" s="7">
        <v>580000</v>
      </c>
      <c r="F16" s="7">
        <v>20000</v>
      </c>
      <c r="G16" s="8">
        <v>0.6</v>
      </c>
      <c r="H16" s="8">
        <f t="shared" si="4"/>
        <v>5.4062277531725211</v>
      </c>
      <c r="J16" s="3" t="s">
        <v>58</v>
      </c>
      <c r="K16" s="21">
        <v>3</v>
      </c>
      <c r="L16" s="8">
        <v>5</v>
      </c>
      <c r="M16" s="6">
        <f t="shared" si="0"/>
        <v>3.0253999999999999</v>
      </c>
      <c r="N16" s="6">
        <f t="shared" si="1"/>
        <v>0.12020138758086828</v>
      </c>
      <c r="O16" s="6">
        <f t="shared" si="2"/>
        <v>0.60100693790434134</v>
      </c>
      <c r="P16" s="3">
        <v>8000</v>
      </c>
      <c r="Q16" s="8">
        <f t="shared" si="3"/>
        <v>4808.0555032347311</v>
      </c>
    </row>
    <row r="17" spans="1:17" x14ac:dyDescent="0.3">
      <c r="A17" s="3" t="s">
        <v>139</v>
      </c>
      <c r="B17" s="3" t="s">
        <v>63</v>
      </c>
      <c r="C17" s="3" t="s">
        <v>66</v>
      </c>
      <c r="D17" s="8">
        <v>12399.270362466999</v>
      </c>
      <c r="E17" s="7">
        <v>580000</v>
      </c>
      <c r="F17" s="7">
        <v>20000</v>
      </c>
      <c r="G17" s="8">
        <v>0.6</v>
      </c>
      <c r="H17" s="8">
        <f t="shared" si="4"/>
        <v>6.2956769372628436</v>
      </c>
      <c r="J17" s="3" t="s">
        <v>59</v>
      </c>
      <c r="K17" s="21">
        <v>3</v>
      </c>
      <c r="L17" s="8">
        <v>5</v>
      </c>
      <c r="M17" s="6">
        <f t="shared" si="0"/>
        <v>3.0253999999999999</v>
      </c>
      <c r="N17" s="6">
        <f t="shared" si="1"/>
        <v>0.12020138758086828</v>
      </c>
      <c r="O17" s="6">
        <f t="shared" si="2"/>
        <v>0.60100693790434134</v>
      </c>
      <c r="P17" s="3">
        <v>8000</v>
      </c>
      <c r="Q17" s="8">
        <f t="shared" si="3"/>
        <v>4808.0555032347311</v>
      </c>
    </row>
    <row r="18" spans="1:17" x14ac:dyDescent="0.3">
      <c r="A18" s="3" t="s">
        <v>51</v>
      </c>
      <c r="B18" s="3" t="s">
        <v>63</v>
      </c>
      <c r="C18" s="3" t="s">
        <v>66</v>
      </c>
      <c r="D18" s="8">
        <v>2473.4332774720701</v>
      </c>
      <c r="E18" s="7">
        <v>580000</v>
      </c>
      <c r="F18" s="7">
        <v>20000</v>
      </c>
      <c r="G18" s="8">
        <v>0.6</v>
      </c>
      <c r="H18" s="8">
        <f t="shared" ref="H18:H21" si="5">(E18+(F18*(D18^G18)))/1000000</f>
        <v>2.7527517848093148</v>
      </c>
      <c r="J18" s="3" t="s">
        <v>60</v>
      </c>
      <c r="K18" s="21">
        <v>3</v>
      </c>
      <c r="L18" s="8">
        <v>5</v>
      </c>
      <c r="M18" s="6">
        <f t="shared" si="0"/>
        <v>3.0253999999999999</v>
      </c>
      <c r="N18" s="6">
        <f t="shared" si="1"/>
        <v>0.12020138758086828</v>
      </c>
      <c r="O18" s="6">
        <f t="shared" si="2"/>
        <v>0.60100693790434134</v>
      </c>
      <c r="P18" s="3">
        <v>8000</v>
      </c>
      <c r="Q18" s="8">
        <f t="shared" si="3"/>
        <v>4808.0555032347311</v>
      </c>
    </row>
    <row r="19" spans="1:17" x14ac:dyDescent="0.3">
      <c r="A19" s="3" t="s">
        <v>52</v>
      </c>
      <c r="B19" s="3" t="s">
        <v>63</v>
      </c>
      <c r="C19" s="3" t="s">
        <v>66</v>
      </c>
      <c r="D19" s="8">
        <v>35.308765237940698</v>
      </c>
      <c r="E19" s="7">
        <v>580000</v>
      </c>
      <c r="F19" s="7">
        <v>20000</v>
      </c>
      <c r="G19" s="8">
        <v>0.6</v>
      </c>
      <c r="H19" s="8">
        <f t="shared" si="5"/>
        <v>0.74973035277815281</v>
      </c>
    </row>
    <row r="20" spans="1:17" x14ac:dyDescent="0.3">
      <c r="A20" s="3" t="s">
        <v>53</v>
      </c>
      <c r="B20" s="3" t="s">
        <v>63</v>
      </c>
      <c r="C20" s="3" t="s">
        <v>66</v>
      </c>
      <c r="D20" s="8">
        <v>1945.1568918237599</v>
      </c>
      <c r="E20" s="7">
        <v>580000</v>
      </c>
      <c r="F20" s="7">
        <v>20000</v>
      </c>
      <c r="G20" s="8">
        <v>0.6</v>
      </c>
      <c r="H20" s="8">
        <f t="shared" si="5"/>
        <v>2.4610605587138745</v>
      </c>
    </row>
    <row r="21" spans="1:17" x14ac:dyDescent="0.3">
      <c r="A21" s="3" t="s">
        <v>54</v>
      </c>
      <c r="B21" s="3" t="s">
        <v>63</v>
      </c>
      <c r="C21" s="3" t="s">
        <v>66</v>
      </c>
      <c r="D21" s="8">
        <v>4534.33576159936</v>
      </c>
      <c r="E21" s="7">
        <v>580000</v>
      </c>
      <c r="F21" s="7">
        <v>20000</v>
      </c>
      <c r="G21" s="8">
        <v>0.6</v>
      </c>
      <c r="H21" s="8">
        <f t="shared" si="5"/>
        <v>3.7056345671689424</v>
      </c>
    </row>
    <row r="22" spans="1:17" x14ac:dyDescent="0.3">
      <c r="A22" s="40" t="s">
        <v>74</v>
      </c>
      <c r="B22" s="41"/>
      <c r="C22" s="41"/>
      <c r="D22" s="41"/>
      <c r="E22" s="41"/>
      <c r="F22" s="41"/>
      <c r="G22" s="41"/>
      <c r="H22" s="42"/>
    </row>
    <row r="23" spans="1:17" x14ac:dyDescent="0.3">
      <c r="A23" s="3" t="s">
        <v>167</v>
      </c>
      <c r="B23" s="3" t="s">
        <v>64</v>
      </c>
      <c r="C23" s="3" t="s">
        <v>67</v>
      </c>
      <c r="D23" s="17">
        <v>227.78362036952399</v>
      </c>
      <c r="E23" s="7">
        <v>28000</v>
      </c>
      <c r="F23" s="7">
        <v>54</v>
      </c>
      <c r="G23" s="8">
        <v>1.2</v>
      </c>
      <c r="H23" s="8">
        <f t="shared" ref="H23:H45" si="6">(E23+(F23*(D23^G23)))/1000000</f>
        <v>6.4426777195243062E-2</v>
      </c>
    </row>
    <row r="24" spans="1:17" x14ac:dyDescent="0.3">
      <c r="A24" s="3" t="s">
        <v>171</v>
      </c>
      <c r="B24" s="3" t="s">
        <v>64</v>
      </c>
      <c r="C24" s="3" t="s">
        <v>67</v>
      </c>
      <c r="D24" s="17">
        <v>1121.53485640657</v>
      </c>
      <c r="E24" s="7">
        <v>28000</v>
      </c>
      <c r="F24" s="7">
        <v>54</v>
      </c>
      <c r="G24" s="8">
        <v>1.2</v>
      </c>
      <c r="H24" s="8">
        <f t="shared" si="6"/>
        <v>0.27469996655221812</v>
      </c>
    </row>
    <row r="25" spans="1:17" x14ac:dyDescent="0.3">
      <c r="A25" s="3" t="s">
        <v>172</v>
      </c>
      <c r="B25" s="3" t="s">
        <v>64</v>
      </c>
      <c r="C25" s="3" t="s">
        <v>67</v>
      </c>
      <c r="D25" s="17">
        <v>410.71820833297397</v>
      </c>
      <c r="E25" s="7">
        <v>28000</v>
      </c>
      <c r="F25" s="7">
        <v>54</v>
      </c>
      <c r="G25" s="8">
        <v>1.2</v>
      </c>
      <c r="H25" s="8">
        <f t="shared" si="6"/>
        <v>0.10190035216782561</v>
      </c>
    </row>
    <row r="26" spans="1:17" x14ac:dyDescent="0.3">
      <c r="A26" s="3" t="s">
        <v>144</v>
      </c>
      <c r="B26" s="3" t="s">
        <v>64</v>
      </c>
      <c r="C26" s="3" t="s">
        <v>67</v>
      </c>
      <c r="D26" s="17">
        <v>11551.869226405601</v>
      </c>
      <c r="E26" s="7">
        <v>28000</v>
      </c>
      <c r="F26" s="7">
        <v>54</v>
      </c>
      <c r="G26" s="8">
        <v>1.2</v>
      </c>
      <c r="H26" s="8">
        <f t="shared" si="6"/>
        <v>4.0791327661941876</v>
      </c>
    </row>
    <row r="27" spans="1:17" x14ac:dyDescent="0.3">
      <c r="A27" s="3" t="s">
        <v>146</v>
      </c>
      <c r="B27" s="3" t="s">
        <v>64</v>
      </c>
      <c r="C27" s="3" t="s">
        <v>67</v>
      </c>
      <c r="D27" s="17">
        <v>91.614607285936302</v>
      </c>
      <c r="E27" s="7">
        <v>28000</v>
      </c>
      <c r="F27" s="7">
        <v>54</v>
      </c>
      <c r="G27" s="8">
        <v>1.2</v>
      </c>
      <c r="H27" s="8">
        <f t="shared" si="6"/>
        <v>4.0211005559857703E-2</v>
      </c>
    </row>
    <row r="28" spans="1:17" x14ac:dyDescent="0.3">
      <c r="A28" s="3" t="s">
        <v>140</v>
      </c>
      <c r="B28" s="3" t="s">
        <v>64</v>
      </c>
      <c r="C28" s="3" t="s">
        <v>67</v>
      </c>
      <c r="D28" s="17">
        <v>228.34259817137399</v>
      </c>
      <c r="E28" s="7">
        <v>28000</v>
      </c>
      <c r="F28" s="7">
        <v>54</v>
      </c>
      <c r="G28" s="8">
        <v>1.2</v>
      </c>
      <c r="H28" s="8">
        <f t="shared" ref="H28" si="7">(E28+(F28*(D28^G28)))/1000000</f>
        <v>6.4534072460598987E-2</v>
      </c>
    </row>
    <row r="29" spans="1:17" x14ac:dyDescent="0.3">
      <c r="A29" s="3" t="s">
        <v>173</v>
      </c>
      <c r="B29" s="3" t="s">
        <v>64</v>
      </c>
      <c r="C29" s="3" t="s">
        <v>67</v>
      </c>
      <c r="D29" s="17">
        <v>862.28240362803604</v>
      </c>
      <c r="E29" s="7">
        <v>28000</v>
      </c>
      <c r="F29" s="7">
        <v>54</v>
      </c>
      <c r="G29" s="8">
        <v>1.2</v>
      </c>
      <c r="H29" s="8">
        <f t="shared" ref="H29:H37" si="8">(E29+(F29*(D29^G29)))/1000000</f>
        <v>0.20795884129926348</v>
      </c>
    </row>
    <row r="30" spans="1:17" x14ac:dyDescent="0.3">
      <c r="A30" s="3" t="s">
        <v>141</v>
      </c>
      <c r="B30" s="3" t="s">
        <v>64</v>
      </c>
      <c r="C30" s="3" t="s">
        <v>67</v>
      </c>
      <c r="D30" s="17">
        <v>10254.847750925401</v>
      </c>
      <c r="E30" s="7">
        <v>28000</v>
      </c>
      <c r="F30" s="7">
        <v>54</v>
      </c>
      <c r="G30" s="8">
        <v>1.2</v>
      </c>
      <c r="H30" s="8">
        <f t="shared" si="8"/>
        <v>3.5396305630424423</v>
      </c>
    </row>
    <row r="31" spans="1:17" x14ac:dyDescent="0.3">
      <c r="A31" s="3" t="s">
        <v>143</v>
      </c>
      <c r="B31" s="3" t="s">
        <v>64</v>
      </c>
      <c r="C31" s="3" t="s">
        <v>67</v>
      </c>
      <c r="D31" s="17">
        <v>11.991157836693301</v>
      </c>
      <c r="E31" s="7">
        <v>28000</v>
      </c>
      <c r="F31" s="7">
        <v>54</v>
      </c>
      <c r="G31" s="8">
        <v>1.2</v>
      </c>
      <c r="H31" s="8">
        <f t="shared" si="8"/>
        <v>2.9064209430865948E-2</v>
      </c>
    </row>
    <row r="32" spans="1:17" x14ac:dyDescent="0.3">
      <c r="A32" s="3" t="s">
        <v>145</v>
      </c>
      <c r="B32" s="3" t="s">
        <v>64</v>
      </c>
      <c r="C32" s="3" t="s">
        <v>67</v>
      </c>
      <c r="D32" s="17">
        <v>587.02521648393201</v>
      </c>
      <c r="E32" s="7">
        <v>28000</v>
      </c>
      <c r="F32" s="7">
        <v>54</v>
      </c>
      <c r="G32" s="8">
        <v>1.2</v>
      </c>
      <c r="H32" s="8">
        <f t="shared" si="8"/>
        <v>0.14144408815255191</v>
      </c>
    </row>
    <row r="33" spans="1:8" x14ac:dyDescent="0.3">
      <c r="A33" s="3" t="s">
        <v>142</v>
      </c>
      <c r="B33" s="3" t="s">
        <v>64</v>
      </c>
      <c r="C33" s="3" t="s">
        <v>67</v>
      </c>
      <c r="D33" s="17">
        <v>4.2970784066524201</v>
      </c>
      <c r="E33" s="7">
        <v>28000</v>
      </c>
      <c r="F33" s="7">
        <v>54</v>
      </c>
      <c r="G33" s="8">
        <v>1.2</v>
      </c>
      <c r="H33" s="8">
        <f t="shared" si="8"/>
        <v>2.8310600173191858E-2</v>
      </c>
    </row>
    <row r="34" spans="1:8" x14ac:dyDescent="0.3">
      <c r="A34" s="3" t="s">
        <v>148</v>
      </c>
      <c r="B34" s="3" t="s">
        <v>64</v>
      </c>
      <c r="C34" s="3" t="s">
        <v>67</v>
      </c>
      <c r="D34" s="17">
        <v>1477.1082644642199</v>
      </c>
      <c r="E34" s="7">
        <v>28000</v>
      </c>
      <c r="F34" s="7">
        <v>54</v>
      </c>
      <c r="G34" s="8">
        <v>1.2</v>
      </c>
      <c r="H34" s="8">
        <f t="shared" si="8"/>
        <v>0.37131165977433167</v>
      </c>
    </row>
    <row r="35" spans="1:8" x14ac:dyDescent="0.3">
      <c r="A35" s="3" t="s">
        <v>174</v>
      </c>
      <c r="B35" s="3" t="s">
        <v>64</v>
      </c>
      <c r="C35" s="3" t="s">
        <v>67</v>
      </c>
      <c r="D35" s="17">
        <v>446.07194708970701</v>
      </c>
      <c r="E35" s="7">
        <v>28000</v>
      </c>
      <c r="F35" s="7">
        <v>54</v>
      </c>
      <c r="G35" s="8">
        <v>1.2</v>
      </c>
      <c r="H35" s="8">
        <f t="shared" si="8"/>
        <v>0.10959802628613947</v>
      </c>
    </row>
    <row r="36" spans="1:8" x14ac:dyDescent="0.3">
      <c r="A36" s="3" t="s">
        <v>147</v>
      </c>
      <c r="B36" s="3" t="s">
        <v>64</v>
      </c>
      <c r="C36" s="3" t="s">
        <v>67</v>
      </c>
      <c r="D36" s="17">
        <v>217.42890088870899</v>
      </c>
      <c r="E36" s="7">
        <v>28000</v>
      </c>
      <c r="F36" s="7">
        <v>54</v>
      </c>
      <c r="G36" s="8">
        <v>1.2</v>
      </c>
      <c r="H36" s="8">
        <f t="shared" si="8"/>
        <v>6.244883063764111E-2</v>
      </c>
    </row>
    <row r="37" spans="1:8" x14ac:dyDescent="0.3">
      <c r="A37" s="3" t="s">
        <v>149</v>
      </c>
      <c r="B37" s="3" t="s">
        <v>64</v>
      </c>
      <c r="C37" s="3" t="s">
        <v>67</v>
      </c>
      <c r="D37" s="17">
        <v>64.058394719524301</v>
      </c>
      <c r="E37" s="7">
        <v>28000</v>
      </c>
      <c r="F37" s="7">
        <v>54</v>
      </c>
      <c r="G37" s="8">
        <v>1.2</v>
      </c>
      <c r="H37" s="8">
        <f t="shared" si="8"/>
        <v>3.5948497120944563E-2</v>
      </c>
    </row>
    <row r="38" spans="1:8" x14ac:dyDescent="0.3">
      <c r="A38" s="43" t="s">
        <v>75</v>
      </c>
      <c r="B38" s="44"/>
      <c r="C38" s="44"/>
      <c r="D38" s="44"/>
      <c r="E38" s="44"/>
      <c r="F38" s="44"/>
      <c r="G38" s="44"/>
      <c r="H38" s="45"/>
    </row>
    <row r="39" spans="1:8" x14ac:dyDescent="0.3">
      <c r="A39" s="5" t="s">
        <v>55</v>
      </c>
      <c r="B39" s="3" t="s">
        <v>65</v>
      </c>
      <c r="C39" s="3" t="s">
        <v>77</v>
      </c>
      <c r="D39" s="17">
        <f>SUM(Q13)</f>
        <v>1368.3658613999389</v>
      </c>
      <c r="E39" s="7">
        <v>17400</v>
      </c>
      <c r="F39" s="7">
        <v>79</v>
      </c>
      <c r="G39" s="8">
        <v>0.85</v>
      </c>
      <c r="H39" s="8">
        <f t="shared" ref="H39" si="9">(E39+(F39*(D39^G39)))/1000000</f>
        <v>5.3993081874167188E-2</v>
      </c>
    </row>
    <row r="40" spans="1:8" x14ac:dyDescent="0.3">
      <c r="A40" s="3" t="s">
        <v>56</v>
      </c>
      <c r="B40" s="3" t="s">
        <v>65</v>
      </c>
      <c r="C40" s="3" t="s">
        <v>77</v>
      </c>
      <c r="D40" s="17">
        <f>SUM(Q14)</f>
        <v>1972.2456312196305</v>
      </c>
      <c r="E40" s="7">
        <v>17400</v>
      </c>
      <c r="F40" s="7">
        <v>79</v>
      </c>
      <c r="G40" s="8">
        <v>0.85</v>
      </c>
      <c r="H40" s="8">
        <f t="shared" si="6"/>
        <v>6.7327974021154674E-2</v>
      </c>
    </row>
    <row r="41" spans="1:8" x14ac:dyDescent="0.3">
      <c r="A41" s="3" t="s">
        <v>57</v>
      </c>
      <c r="B41" s="3" t="s">
        <v>65</v>
      </c>
      <c r="C41" s="3" t="s">
        <v>77</v>
      </c>
      <c r="D41" s="17">
        <f>SUM(Q15)</f>
        <v>3109.3383892843685</v>
      </c>
      <c r="E41" s="7">
        <v>17400</v>
      </c>
      <c r="F41" s="7">
        <v>79</v>
      </c>
      <c r="G41" s="8">
        <v>0.85</v>
      </c>
      <c r="H41" s="8">
        <f t="shared" si="6"/>
        <v>9.091820279013163E-2</v>
      </c>
    </row>
    <row r="42" spans="1:8" x14ac:dyDescent="0.3">
      <c r="A42" s="40" t="s">
        <v>76</v>
      </c>
      <c r="B42" s="41"/>
      <c r="C42" s="41"/>
      <c r="D42" s="41"/>
      <c r="E42" s="41"/>
      <c r="F42" s="41"/>
      <c r="G42" s="41"/>
      <c r="H42" s="42"/>
    </row>
    <row r="43" spans="1:8" x14ac:dyDescent="0.3">
      <c r="A43" s="3" t="s">
        <v>58</v>
      </c>
      <c r="B43" s="3" t="s">
        <v>65</v>
      </c>
      <c r="C43" s="3" t="s">
        <v>77</v>
      </c>
      <c r="D43" s="17">
        <f>SUM(Q16)</f>
        <v>4808.0555032347311</v>
      </c>
      <c r="E43" s="7">
        <v>12800</v>
      </c>
      <c r="F43" s="7">
        <v>73</v>
      </c>
      <c r="G43" s="8">
        <v>0.85</v>
      </c>
      <c r="H43" s="8">
        <f t="shared" si="6"/>
        <v>0.11120041083838346</v>
      </c>
    </row>
    <row r="44" spans="1:8" x14ac:dyDescent="0.3">
      <c r="A44" s="3" t="s">
        <v>59</v>
      </c>
      <c r="B44" s="3" t="s">
        <v>65</v>
      </c>
      <c r="C44" s="3" t="s">
        <v>77</v>
      </c>
      <c r="D44" s="17">
        <f>SUM(Q17)</f>
        <v>4808.0555032347311</v>
      </c>
      <c r="E44" s="7">
        <v>12800</v>
      </c>
      <c r="F44" s="7">
        <v>73</v>
      </c>
      <c r="G44" s="8">
        <v>0.85</v>
      </c>
      <c r="H44" s="8">
        <f t="shared" si="6"/>
        <v>0.11120041083838346</v>
      </c>
    </row>
    <row r="45" spans="1:8" x14ac:dyDescent="0.3">
      <c r="A45" s="3" t="s">
        <v>60</v>
      </c>
      <c r="B45" s="3" t="s">
        <v>65</v>
      </c>
      <c r="C45" s="3" t="s">
        <v>77</v>
      </c>
      <c r="D45" s="17">
        <f>SUM(Q18)</f>
        <v>4808.0555032347311</v>
      </c>
      <c r="E45" s="7">
        <v>12800</v>
      </c>
      <c r="F45" s="7">
        <v>73</v>
      </c>
      <c r="G45" s="8">
        <v>0.85</v>
      </c>
      <c r="H45" s="8">
        <f t="shared" si="6"/>
        <v>0.11120041083838346</v>
      </c>
    </row>
    <row r="46" spans="1:8" x14ac:dyDescent="0.3">
      <c r="A46" s="40" t="s">
        <v>168</v>
      </c>
      <c r="B46" s="41"/>
      <c r="C46" s="41"/>
      <c r="D46" s="41"/>
      <c r="E46" s="41"/>
      <c r="F46" s="41"/>
      <c r="G46" s="41"/>
      <c r="H46" s="42"/>
    </row>
    <row r="47" spans="1:8" x14ac:dyDescent="0.3">
      <c r="A47" s="3" t="s">
        <v>152</v>
      </c>
      <c r="B47" s="3" t="s">
        <v>150</v>
      </c>
      <c r="C47" s="3" t="s">
        <v>66</v>
      </c>
      <c r="D47" s="8">
        <v>2352.6618469514701</v>
      </c>
      <c r="E47" s="7">
        <v>-14000</v>
      </c>
      <c r="F47" s="7">
        <v>1900</v>
      </c>
      <c r="G47" s="8">
        <v>0.75</v>
      </c>
      <c r="H47" s="35">
        <f t="shared" ref="H47" si="10">(E47+(F47*(D47^G47)))/1000000</f>
        <v>0.62783475935753696</v>
      </c>
    </row>
    <row r="48" spans="1:8" x14ac:dyDescent="0.3">
      <c r="A48" s="3" t="s">
        <v>175</v>
      </c>
      <c r="B48" s="3" t="s">
        <v>150</v>
      </c>
      <c r="C48" s="3" t="s">
        <v>66</v>
      </c>
      <c r="D48" s="8">
        <v>2860.7763629132</v>
      </c>
      <c r="E48" s="7">
        <v>-14000</v>
      </c>
      <c r="F48" s="7">
        <v>1900</v>
      </c>
      <c r="G48" s="8">
        <v>0.75</v>
      </c>
      <c r="H48" s="35">
        <f t="shared" ref="H48" si="11">(E48+(F48*(D48^G48)))/1000000</f>
        <v>0.72921853606885623</v>
      </c>
    </row>
    <row r="49" spans="1:8" x14ac:dyDescent="0.3">
      <c r="A49" s="3" t="s">
        <v>151</v>
      </c>
      <c r="B49" s="3" t="s">
        <v>150</v>
      </c>
      <c r="C49" s="3" t="s">
        <v>66</v>
      </c>
      <c r="D49" s="8">
        <v>4056.1378609516</v>
      </c>
      <c r="E49" s="7">
        <v>-14000</v>
      </c>
      <c r="F49" s="7">
        <v>1900</v>
      </c>
      <c r="G49" s="8">
        <v>0.75</v>
      </c>
      <c r="H49" s="35">
        <f t="shared" ref="H49:H50" si="12">(E49+(F49*(D49^G49)))/1000000</f>
        <v>0.9516908836027167</v>
      </c>
    </row>
    <row r="50" spans="1:8" x14ac:dyDescent="0.3">
      <c r="A50" s="3" t="s">
        <v>121</v>
      </c>
      <c r="B50" s="3" t="s">
        <v>64</v>
      </c>
      <c r="C50" s="3" t="s">
        <v>67</v>
      </c>
      <c r="D50" s="17">
        <v>60.318578948923999</v>
      </c>
      <c r="E50" s="7">
        <v>28000</v>
      </c>
      <c r="F50" s="7">
        <v>54</v>
      </c>
      <c r="G50" s="8">
        <v>1.2</v>
      </c>
      <c r="H50" s="35">
        <f t="shared" si="12"/>
        <v>3.5394947268507226E-2</v>
      </c>
    </row>
    <row r="51" spans="1:8" ht="15.75" customHeight="1" x14ac:dyDescent="0.3">
      <c r="A51" s="2"/>
      <c r="B51" s="2"/>
      <c r="C51" s="2"/>
      <c r="D51" s="9"/>
      <c r="E51" s="9"/>
      <c r="F51" s="9"/>
      <c r="G51" s="9"/>
      <c r="H51" s="10">
        <f>SUM(H14:H45)</f>
        <v>39.365675140666632</v>
      </c>
    </row>
    <row r="53" spans="1:8" x14ac:dyDescent="0.3">
      <c r="A53" s="19" t="s">
        <v>114</v>
      </c>
      <c r="B53" s="17">
        <v>587.6</v>
      </c>
    </row>
    <row r="54" spans="1:8" ht="15.75" customHeight="1" x14ac:dyDescent="0.3">
      <c r="A54" s="19" t="s">
        <v>39</v>
      </c>
      <c r="B54" s="17">
        <v>532.9</v>
      </c>
    </row>
    <row r="55" spans="1:8" x14ac:dyDescent="0.3">
      <c r="A55" s="19" t="s">
        <v>40</v>
      </c>
      <c r="B55" s="17">
        <v>607.5</v>
      </c>
    </row>
    <row r="56" spans="1:8" x14ac:dyDescent="0.3">
      <c r="A56" s="19" t="s">
        <v>78</v>
      </c>
      <c r="B56" s="17">
        <f>H51*B55/B54</f>
        <v>44.876426436395157</v>
      </c>
    </row>
    <row r="57" spans="1:8" x14ac:dyDescent="0.3">
      <c r="A57" s="19" t="s">
        <v>79</v>
      </c>
      <c r="B57" s="17">
        <f>(B56)*((1+C3)+(C2+C5+C4+C6+C7+C8)/C9)*C9</f>
        <v>167.8378348721179</v>
      </c>
    </row>
    <row r="58" spans="1:8" x14ac:dyDescent="0.3">
      <c r="A58" s="19" t="s">
        <v>80</v>
      </c>
      <c r="B58" s="17">
        <f>0.3*B57</f>
        <v>50.35135046163537</v>
      </c>
    </row>
    <row r="59" spans="1:8" x14ac:dyDescent="0.3">
      <c r="A59" s="19" t="s">
        <v>81</v>
      </c>
      <c r="B59" s="17">
        <f>0.3*SUM(B57:B58)</f>
        <v>65.456755600125973</v>
      </c>
    </row>
    <row r="60" spans="1:8" x14ac:dyDescent="0.3">
      <c r="A60" s="19" t="s">
        <v>82</v>
      </c>
      <c r="B60" s="17">
        <f>0.1*SUM(B57:B58)</f>
        <v>21.818918533375328</v>
      </c>
      <c r="C60" s="24"/>
    </row>
    <row r="61" spans="1:8" x14ac:dyDescent="0.3">
      <c r="A61" s="19" t="s">
        <v>83</v>
      </c>
      <c r="B61" s="17">
        <f>B57*(1+0.3)*(1+0.3+0.1)</f>
        <v>305.4648594672546</v>
      </c>
      <c r="C61" s="25">
        <f>B61/B56</f>
        <v>6.8068000000000008</v>
      </c>
    </row>
    <row r="62" spans="1:8" x14ac:dyDescent="0.3">
      <c r="A62" s="19" t="s">
        <v>86</v>
      </c>
      <c r="B62" s="17">
        <f>B61*0.15</f>
        <v>45.819728920088188</v>
      </c>
    </row>
    <row r="63" spans="1:8" x14ac:dyDescent="0.3">
      <c r="A63" s="19" t="s">
        <v>84</v>
      </c>
      <c r="B63" s="23">
        <f>B61+B62</f>
        <v>351.28458838734281</v>
      </c>
    </row>
    <row r="64" spans="1:8" x14ac:dyDescent="0.3">
      <c r="A64" s="19" t="s">
        <v>30</v>
      </c>
      <c r="B64" s="11">
        <v>25</v>
      </c>
    </row>
    <row r="65" spans="1:2" x14ac:dyDescent="0.3">
      <c r="A65" s="19" t="s">
        <v>31</v>
      </c>
      <c r="B65" s="11">
        <v>0.12</v>
      </c>
    </row>
    <row r="66" spans="1:2" x14ac:dyDescent="0.3">
      <c r="A66" s="19" t="s">
        <v>32</v>
      </c>
      <c r="B66" s="13">
        <f>(B65*((1+B65)^B64))/(((1+B65)^B64)-1)</f>
        <v>0.12749996980950773</v>
      </c>
    </row>
    <row r="67" spans="1:2" x14ac:dyDescent="0.3">
      <c r="A67" s="19" t="s">
        <v>85</v>
      </c>
      <c r="B67" s="17">
        <f>B66*B63</f>
        <v>44.788774413931556</v>
      </c>
    </row>
    <row r="68" spans="1:2" x14ac:dyDescent="0.3">
      <c r="A68" s="20" t="s">
        <v>41</v>
      </c>
      <c r="B68" s="14">
        <f>B67</f>
        <v>44.788774413931556</v>
      </c>
    </row>
  </sheetData>
  <mergeCells count="5">
    <mergeCell ref="A13:H13"/>
    <mergeCell ref="A22:H22"/>
    <mergeCell ref="A38:H38"/>
    <mergeCell ref="A42:H42"/>
    <mergeCell ref="A46:H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workbookViewId="0">
      <selection activeCell="H18" sqref="H18"/>
    </sheetView>
  </sheetViews>
  <sheetFormatPr defaultRowHeight="14.4" x14ac:dyDescent="0.3"/>
  <cols>
    <col min="1" max="1" width="13.88671875" bestFit="1" customWidth="1"/>
    <col min="2" max="2" width="34.44140625" customWidth="1"/>
    <col min="3" max="3" width="8.77734375" bestFit="1" customWidth="1"/>
  </cols>
  <sheetData>
    <row r="4" spans="1:3" x14ac:dyDescent="0.3">
      <c r="A4" s="2" t="s">
        <v>91</v>
      </c>
      <c r="B4" s="2" t="s">
        <v>92</v>
      </c>
      <c r="C4" s="12" t="s">
        <v>42</v>
      </c>
    </row>
    <row r="5" spans="1:3" x14ac:dyDescent="0.3">
      <c r="A5" s="46" t="s">
        <v>88</v>
      </c>
      <c r="B5" s="46"/>
      <c r="C5" s="46"/>
    </row>
    <row r="6" spans="1:3" x14ac:dyDescent="0.3">
      <c r="A6" s="11" t="s">
        <v>101</v>
      </c>
      <c r="B6" s="11" t="s">
        <v>117</v>
      </c>
      <c r="C6" s="11">
        <f>50000*9*9/1000000</f>
        <v>4.05</v>
      </c>
    </row>
    <row r="7" spans="1:3" x14ac:dyDescent="0.3">
      <c r="A7" s="11" t="s">
        <v>89</v>
      </c>
      <c r="B7" s="11" t="s">
        <v>90</v>
      </c>
      <c r="C7" s="17">
        <f>0.25*C6</f>
        <v>1.0125</v>
      </c>
    </row>
    <row r="8" spans="1:3" x14ac:dyDescent="0.3">
      <c r="A8" s="11" t="s">
        <v>93</v>
      </c>
      <c r="B8" s="11" t="s">
        <v>94</v>
      </c>
      <c r="C8" s="17">
        <f>0.45*(C6+C7)</f>
        <v>2.2781250000000002</v>
      </c>
    </row>
    <row r="9" spans="1:3" x14ac:dyDescent="0.3">
      <c r="A9" s="40"/>
      <c r="B9" s="42"/>
      <c r="C9" s="14">
        <f>SUM(C6:C8)</f>
        <v>7.3406250000000002</v>
      </c>
    </row>
    <row r="10" spans="1:3" x14ac:dyDescent="0.3">
      <c r="A10" s="46" t="s">
        <v>95</v>
      </c>
      <c r="B10" s="46"/>
      <c r="C10" s="46"/>
    </row>
    <row r="11" spans="1:3" x14ac:dyDescent="0.3">
      <c r="A11" s="11" t="s">
        <v>96</v>
      </c>
      <c r="B11" s="11" t="s">
        <v>97</v>
      </c>
      <c r="C11" s="17">
        <f>0.03*CAPEX!B57</f>
        <v>5.0351350461635365</v>
      </c>
    </row>
    <row r="12" spans="1:3" x14ac:dyDescent="0.3">
      <c r="A12" s="46"/>
      <c r="B12" s="46"/>
      <c r="C12" s="22">
        <f>C11</f>
        <v>5.0351350461635365</v>
      </c>
    </row>
    <row r="13" spans="1:3" x14ac:dyDescent="0.3">
      <c r="A13" s="40" t="s">
        <v>99</v>
      </c>
      <c r="B13" s="41"/>
      <c r="C13" s="42"/>
    </row>
    <row r="14" spans="1:3" x14ac:dyDescent="0.3">
      <c r="A14" s="11" t="s">
        <v>100</v>
      </c>
      <c r="B14" s="11" t="s">
        <v>102</v>
      </c>
      <c r="C14" s="17">
        <f>0.65*(C6+C7+C8+C11)</f>
        <v>8.0442440300062987</v>
      </c>
    </row>
    <row r="15" spans="1:3" x14ac:dyDescent="0.3">
      <c r="A15" s="11" t="s">
        <v>103</v>
      </c>
      <c r="B15" s="11" t="s">
        <v>105</v>
      </c>
      <c r="C15" s="17">
        <f>0.02*(CAPEX!B57+CAPEX!B58)</f>
        <v>4.3637837066750658</v>
      </c>
    </row>
    <row r="16" spans="1:3" x14ac:dyDescent="0.3">
      <c r="A16" s="46"/>
      <c r="B16" s="46"/>
      <c r="C16" s="22">
        <f>SUM(C14:C15)</f>
        <v>12.408027736681365</v>
      </c>
    </row>
    <row r="17" spans="1:3" x14ac:dyDescent="0.3">
      <c r="A17" s="40" t="s">
        <v>106</v>
      </c>
      <c r="B17" s="41"/>
      <c r="C17" s="42"/>
    </row>
    <row r="18" spans="1:3" x14ac:dyDescent="0.3">
      <c r="A18" s="11" t="s">
        <v>107</v>
      </c>
      <c r="B18" s="11" t="s">
        <v>108</v>
      </c>
      <c r="C18" s="17">
        <f>0.06*CAPEX!B62</f>
        <v>2.7491837352052912</v>
      </c>
    </row>
    <row r="19" spans="1:3" x14ac:dyDescent="0.3">
      <c r="A19" s="46"/>
      <c r="B19" s="46"/>
      <c r="C19" s="14">
        <f>C18</f>
        <v>2.7491837352052912</v>
      </c>
    </row>
    <row r="20" spans="1:3" x14ac:dyDescent="0.3">
      <c r="A20" s="40" t="s">
        <v>111</v>
      </c>
      <c r="B20" s="42"/>
      <c r="C20" s="14">
        <f>C9+C12+C16+C19</f>
        <v>27.532971518050196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7"/>
  <sheetViews>
    <sheetView workbookViewId="0">
      <selection activeCell="C3" sqref="C3"/>
    </sheetView>
  </sheetViews>
  <sheetFormatPr defaultRowHeight="14.4" x14ac:dyDescent="0.3"/>
  <cols>
    <col min="1" max="1" width="17.88671875" bestFit="1" customWidth="1"/>
    <col min="2" max="2" width="11.5546875" bestFit="1" customWidth="1"/>
    <col min="3" max="3" width="7.109375" bestFit="1" customWidth="1"/>
    <col min="4" max="4" width="4.77734375" bestFit="1" customWidth="1"/>
    <col min="5" max="5" width="6.21875" bestFit="1" customWidth="1"/>
    <col min="6" max="7" width="5.77734375" bestFit="1" customWidth="1"/>
    <col min="8" max="8" width="16.44140625" bestFit="1" customWidth="1"/>
  </cols>
  <sheetData>
    <row r="2" spans="1:8" x14ac:dyDescent="0.3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  <c r="G2" s="2" t="s">
        <v>159</v>
      </c>
      <c r="H2" s="2" t="s">
        <v>115</v>
      </c>
    </row>
    <row r="3" spans="1:8" ht="15.6" x14ac:dyDescent="0.35">
      <c r="A3" s="3" t="s">
        <v>161</v>
      </c>
      <c r="B3" s="3" t="s">
        <v>162</v>
      </c>
      <c r="C3" s="30">
        <v>3.8664904473877972</v>
      </c>
      <c r="D3" s="31">
        <v>2015</v>
      </c>
      <c r="E3" s="13">
        <f>2.23*1.2</f>
        <v>2.6759999999999997</v>
      </c>
      <c r="F3" s="17">
        <f>C3*E3</f>
        <v>10.346728437209745</v>
      </c>
      <c r="G3" s="17">
        <f>F3*$B$7/$B$6</f>
        <v>11.288860498572054</v>
      </c>
      <c r="H3" s="11" t="s">
        <v>160</v>
      </c>
    </row>
    <row r="4" spans="1:8" ht="15.75" customHeight="1" x14ac:dyDescent="0.3">
      <c r="A4" s="40" t="s">
        <v>163</v>
      </c>
      <c r="B4" s="41"/>
      <c r="C4" s="41"/>
      <c r="D4" s="41"/>
      <c r="E4" s="41"/>
      <c r="F4" s="42"/>
      <c r="G4" s="16">
        <f>SUM(G3:G3)*8000/1000000</f>
        <v>9.0310883988576438E-2</v>
      </c>
      <c r="H4" s="11"/>
    </row>
    <row r="6" spans="1:8" x14ac:dyDescent="0.3">
      <c r="A6" s="3" t="s">
        <v>164</v>
      </c>
      <c r="B6" s="17">
        <v>556.79999999999995</v>
      </c>
    </row>
    <row r="7" spans="1:8" x14ac:dyDescent="0.3">
      <c r="A7" s="3" t="s">
        <v>40</v>
      </c>
      <c r="B7" s="17">
        <v>607.5</v>
      </c>
      <c r="C7" s="32"/>
      <c r="D7" s="32"/>
    </row>
  </sheetData>
  <mergeCells count="1">
    <mergeCell ref="A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L25"/>
  <sheetViews>
    <sheetView tabSelected="1" workbookViewId="0">
      <selection activeCell="H18" sqref="H18"/>
    </sheetView>
  </sheetViews>
  <sheetFormatPr defaultColWidth="8.88671875" defaultRowHeight="14.4" x14ac:dyDescent="0.3"/>
  <cols>
    <col min="2" max="2" width="23.21875" bestFit="1" customWidth="1"/>
    <col min="3" max="3" width="9.21875" bestFit="1" customWidth="1"/>
    <col min="4" max="4" width="8.5546875" style="34" bestFit="1" customWidth="1"/>
    <col min="5" max="5" width="12.109375" customWidth="1"/>
    <col min="6" max="6" width="9.5546875" bestFit="1" customWidth="1"/>
    <col min="7" max="7" width="9.6640625" bestFit="1" customWidth="1"/>
    <col min="8" max="8" width="69.44140625" bestFit="1" customWidth="1"/>
  </cols>
  <sheetData>
    <row r="3" spans="2:12" x14ac:dyDescent="0.3">
      <c r="B3" s="12" t="s">
        <v>23</v>
      </c>
      <c r="C3" s="12" t="s">
        <v>33</v>
      </c>
      <c r="D3" s="2" t="s">
        <v>34</v>
      </c>
      <c r="E3" s="12" t="s">
        <v>35</v>
      </c>
      <c r="F3" s="12" t="s">
        <v>24</v>
      </c>
      <c r="G3" s="12" t="s">
        <v>120</v>
      </c>
      <c r="H3" s="12" t="s">
        <v>115</v>
      </c>
    </row>
    <row r="4" spans="2:12" x14ac:dyDescent="0.3">
      <c r="B4" s="40" t="s">
        <v>25</v>
      </c>
      <c r="C4" s="41"/>
      <c r="D4" s="41"/>
      <c r="E4" s="41"/>
      <c r="F4" s="41"/>
      <c r="G4" s="41"/>
      <c r="H4" s="42"/>
      <c r="I4" s="1"/>
    </row>
    <row r="5" spans="2:12" x14ac:dyDescent="0.3">
      <c r="B5" s="11" t="s">
        <v>169</v>
      </c>
      <c r="C5" s="11" t="s">
        <v>36</v>
      </c>
      <c r="D5" s="8">
        <f>57114.3306483769/1000</f>
        <v>57.1143306483769</v>
      </c>
      <c r="E5" s="17">
        <v>90.4</v>
      </c>
      <c r="F5" s="17">
        <f t="shared" ref="F5" si="0">E5*D5</f>
        <v>5163.1354906132719</v>
      </c>
      <c r="G5" s="17">
        <f>F5*C$25/C$24</f>
        <v>5200.8038642804886</v>
      </c>
      <c r="H5" s="11" t="s">
        <v>170</v>
      </c>
      <c r="I5" s="1"/>
      <c r="J5">
        <f>D5*1000/Summary!$C$25</f>
        <v>0.81539028690363347</v>
      </c>
    </row>
    <row r="6" spans="2:12" x14ac:dyDescent="0.3">
      <c r="B6" s="11" t="s">
        <v>122</v>
      </c>
      <c r="C6" s="11" t="s">
        <v>36</v>
      </c>
      <c r="D6" s="8">
        <f>12342.7922526459/1000</f>
        <v>12.3427922526459</v>
      </c>
      <c r="E6" s="17">
        <v>0</v>
      </c>
      <c r="F6" s="17">
        <f t="shared" ref="F6:F9" si="1">E6*D6</f>
        <v>0</v>
      </c>
      <c r="G6" s="17">
        <f>F6</f>
        <v>0</v>
      </c>
      <c r="H6" s="11" t="s">
        <v>123</v>
      </c>
      <c r="J6">
        <f>D6*1000/Summary!$C$25</f>
        <v>0.17621134313972556</v>
      </c>
    </row>
    <row r="7" spans="2:12" x14ac:dyDescent="0.3">
      <c r="B7" s="28" t="s">
        <v>128</v>
      </c>
      <c r="C7" s="11" t="s">
        <v>36</v>
      </c>
      <c r="D7" s="8">
        <f>12342.7922526459/1000</f>
        <v>12.3427922526459</v>
      </c>
      <c r="E7" s="17">
        <f>7.0877*1000</f>
        <v>7087.7</v>
      </c>
      <c r="F7" s="17">
        <f t="shared" si="1"/>
        <v>87482.008649078343</v>
      </c>
      <c r="G7" s="17">
        <f>F7</f>
        <v>87482.008649078343</v>
      </c>
      <c r="H7" s="11" t="s">
        <v>176</v>
      </c>
    </row>
    <row r="8" spans="2:12" x14ac:dyDescent="0.3">
      <c r="B8" s="28" t="s">
        <v>129</v>
      </c>
      <c r="C8" s="11" t="s">
        <v>36</v>
      </c>
      <c r="D8" s="8">
        <f>12342.7922526459/1000</f>
        <v>12.3427922526459</v>
      </c>
      <c r="E8" s="17">
        <f>10.1123*1000</f>
        <v>10112.299999999999</v>
      </c>
      <c r="F8" s="17">
        <f t="shared" si="1"/>
        <v>124814.01809643113</v>
      </c>
      <c r="G8" s="17">
        <f>F8</f>
        <v>124814.01809643113</v>
      </c>
      <c r="H8" s="11" t="s">
        <v>176</v>
      </c>
    </row>
    <row r="9" spans="2:12" x14ac:dyDescent="0.3">
      <c r="B9" s="28" t="s">
        <v>130</v>
      </c>
      <c r="C9" s="11" t="s">
        <v>36</v>
      </c>
      <c r="D9" s="8">
        <f>12342.7922526459/1000</f>
        <v>12.3427922526459</v>
      </c>
      <c r="E9" s="17">
        <f>9.5241*1000</f>
        <v>9524.1</v>
      </c>
      <c r="F9" s="17">
        <f t="shared" si="1"/>
        <v>117553.98769342482</v>
      </c>
      <c r="G9" s="17">
        <f>F9</f>
        <v>117553.98769342482</v>
      </c>
      <c r="H9" s="11" t="s">
        <v>176</v>
      </c>
    </row>
    <row r="10" spans="2:12" x14ac:dyDescent="0.3">
      <c r="B10" s="40" t="s">
        <v>27</v>
      </c>
      <c r="C10" s="41"/>
      <c r="D10" s="41"/>
      <c r="E10" s="41"/>
      <c r="F10" s="41"/>
      <c r="G10" s="41"/>
      <c r="H10" s="42"/>
    </row>
    <row r="11" spans="2:12" x14ac:dyDescent="0.3">
      <c r="B11" s="11" t="s">
        <v>26</v>
      </c>
      <c r="C11" s="11" t="s">
        <v>37</v>
      </c>
      <c r="D11" s="8">
        <f>180494151.174171/1000000</f>
        <v>180.49415117417101</v>
      </c>
      <c r="E11" s="17">
        <v>0.378</v>
      </c>
      <c r="F11" s="17">
        <f>E11*D11</f>
        <v>68.226789143836641</v>
      </c>
      <c r="G11" s="17">
        <f>F11*C$25/C$24</f>
        <v>68.724547181032591</v>
      </c>
      <c r="H11" s="11" t="s">
        <v>116</v>
      </c>
      <c r="J11">
        <f>D11*1000/Summary!$C$25</f>
        <v>2.5768169921556723</v>
      </c>
      <c r="L11">
        <f>J11+J16</f>
        <v>3.1077154641099991</v>
      </c>
    </row>
    <row r="12" spans="2:12" x14ac:dyDescent="0.3">
      <c r="B12" s="11" t="s">
        <v>29</v>
      </c>
      <c r="C12" s="11" t="s">
        <v>38</v>
      </c>
      <c r="D12" s="33">
        <v>32913.905168060002</v>
      </c>
      <c r="E12" s="17">
        <v>6.7400000000000002E-2</v>
      </c>
      <c r="F12" s="17">
        <f>E12*D12</f>
        <v>2218.3972083272442</v>
      </c>
      <c r="G12" s="17">
        <f>F12*C$25/C$24</f>
        <v>2234.5818339558959</v>
      </c>
      <c r="H12" s="11" t="s">
        <v>116</v>
      </c>
      <c r="J12">
        <f>D12*1000/Summary!$C$25</f>
        <v>469.89395259359685</v>
      </c>
    </row>
    <row r="13" spans="2:12" x14ac:dyDescent="0.3">
      <c r="B13" s="40" t="s">
        <v>28</v>
      </c>
      <c r="C13" s="41"/>
      <c r="D13" s="41"/>
      <c r="E13" s="41"/>
      <c r="F13" s="41"/>
      <c r="G13" s="41"/>
      <c r="H13" s="42"/>
    </row>
    <row r="14" spans="2:12" x14ac:dyDescent="0.3">
      <c r="B14" s="11" t="s">
        <v>68</v>
      </c>
      <c r="C14" s="11" t="s">
        <v>36</v>
      </c>
      <c r="D14" s="8">
        <v>0.48099999999999998</v>
      </c>
      <c r="E14" s="17">
        <v>0</v>
      </c>
      <c r="F14" s="17">
        <f>E14*D14</f>
        <v>0</v>
      </c>
      <c r="G14" s="17">
        <f>F14*C$25/C$24</f>
        <v>0</v>
      </c>
      <c r="H14" s="11" t="s">
        <v>116</v>
      </c>
      <c r="J14">
        <f>D14*1000/Summary!$C$25</f>
        <v>6.8669758281023202E-3</v>
      </c>
    </row>
    <row r="15" spans="2:12" x14ac:dyDescent="0.3">
      <c r="B15" s="40" t="s">
        <v>168</v>
      </c>
      <c r="C15" s="41"/>
      <c r="D15" s="41"/>
      <c r="E15" s="41"/>
      <c r="F15" s="41"/>
      <c r="G15" s="41"/>
      <c r="H15" s="42"/>
    </row>
    <row r="16" spans="2:12" x14ac:dyDescent="0.3">
      <c r="B16" s="11" t="s">
        <v>26</v>
      </c>
      <c r="C16" s="11" t="s">
        <v>37</v>
      </c>
      <c r="D16" s="17">
        <f>37186990.5184449/1000000</f>
        <v>37.186990518444901</v>
      </c>
      <c r="E16" s="17">
        <v>0.378</v>
      </c>
      <c r="F16" s="17">
        <f>E16*D16</f>
        <v>14.056682415972173</v>
      </c>
      <c r="G16" s="17">
        <f>F16*C$25/C$24</f>
        <v>14.159234899192661</v>
      </c>
      <c r="H16" s="11" t="s">
        <v>116</v>
      </c>
      <c r="J16">
        <f>D16*1000/Summary!$C$25</f>
        <v>0.53089847195432704</v>
      </c>
    </row>
    <row r="17" spans="2:8" x14ac:dyDescent="0.3">
      <c r="B17" s="2" t="s">
        <v>165</v>
      </c>
      <c r="C17" s="11"/>
      <c r="D17" s="8"/>
      <c r="E17" s="17"/>
      <c r="F17" s="17"/>
      <c r="G17" s="16">
        <f>SUM('Catalyst Costs'!G4)</f>
        <v>9.0310883988576438E-2</v>
      </c>
      <c r="H17" s="11" t="s">
        <v>166</v>
      </c>
    </row>
    <row r="18" spans="2:8" x14ac:dyDescent="0.3">
      <c r="B18" s="2" t="s">
        <v>124</v>
      </c>
      <c r="C18" s="15" t="s">
        <v>42</v>
      </c>
      <c r="D18" s="7"/>
      <c r="E18" s="3"/>
      <c r="F18" s="16"/>
      <c r="G18" s="16">
        <f>(G$5+G6+G$11+G$12+G$14+G$16)*8000/1000000+G$17</f>
        <v>60.236466726521456</v>
      </c>
      <c r="H18" s="11"/>
    </row>
    <row r="19" spans="2:8" x14ac:dyDescent="0.3">
      <c r="B19" s="2" t="s">
        <v>125</v>
      </c>
      <c r="C19" s="15" t="s">
        <v>42</v>
      </c>
      <c r="D19" s="7"/>
      <c r="E19" s="3"/>
      <c r="F19" s="16"/>
      <c r="G19" s="16">
        <f>(G$5+G7+G$11+G$12+G$14+G$16)*8000/1000000+G$17</f>
        <v>760.09253591914808</v>
      </c>
      <c r="H19" s="11"/>
    </row>
    <row r="20" spans="2:8" x14ac:dyDescent="0.3">
      <c r="B20" s="2" t="s">
        <v>126</v>
      </c>
      <c r="C20" s="15" t="s">
        <v>42</v>
      </c>
      <c r="D20" s="7"/>
      <c r="E20" s="3"/>
      <c r="F20" s="16"/>
      <c r="G20" s="16">
        <f>(G$5+G8+G$11+G$12+G$14+G$16)*8000/1000000+G$17</f>
        <v>1058.7486114979706</v>
      </c>
      <c r="H20" s="11"/>
    </row>
    <row r="21" spans="2:8" x14ac:dyDescent="0.3">
      <c r="B21" s="2" t="s">
        <v>127</v>
      </c>
      <c r="C21" s="15" t="s">
        <v>42</v>
      </c>
      <c r="D21" s="7"/>
      <c r="E21" s="3"/>
      <c r="F21" s="16"/>
      <c r="G21" s="16">
        <f>(G$5+G9+G$11+G$12+G$14+G$16)*8000/1000000+G$17</f>
        <v>1000.66836827392</v>
      </c>
      <c r="H21" s="11"/>
    </row>
    <row r="23" spans="2:8" x14ac:dyDescent="0.3">
      <c r="B23" s="12" t="s">
        <v>119</v>
      </c>
      <c r="G23" s="36"/>
    </row>
    <row r="24" spans="2:8" x14ac:dyDescent="0.3">
      <c r="B24" s="11" t="s">
        <v>118</v>
      </c>
      <c r="C24" s="17">
        <v>603.1</v>
      </c>
    </row>
    <row r="25" spans="2:8" x14ac:dyDescent="0.3">
      <c r="B25" s="11" t="s">
        <v>40</v>
      </c>
      <c r="C25" s="17">
        <v>607.5</v>
      </c>
    </row>
  </sheetData>
  <mergeCells count="4">
    <mergeCell ref="B4:H4"/>
    <mergeCell ref="B10:H10"/>
    <mergeCell ref="B13:H13"/>
    <mergeCell ref="B15:H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7"/>
  <sheetViews>
    <sheetView workbookViewId="0">
      <selection activeCell="M15" sqref="M15"/>
    </sheetView>
  </sheetViews>
  <sheetFormatPr defaultRowHeight="14.4" x14ac:dyDescent="0.3"/>
  <cols>
    <col min="2" max="2" width="34.77734375" bestFit="1" customWidth="1"/>
    <col min="3" max="3" width="9.109375" bestFit="1" customWidth="1"/>
    <col min="4" max="4" width="9.5546875" bestFit="1" customWidth="1"/>
    <col min="5" max="5" width="12" bestFit="1" customWidth="1"/>
    <col min="6" max="6" width="15.21875" bestFit="1" customWidth="1"/>
    <col min="7" max="7" width="12.6640625" bestFit="1" customWidth="1"/>
  </cols>
  <sheetData>
    <row r="2" spans="2:9" x14ac:dyDescent="0.3">
      <c r="F2" t="s">
        <v>177</v>
      </c>
      <c r="G2" t="s">
        <v>178</v>
      </c>
    </row>
    <row r="3" spans="2:9" x14ac:dyDescent="0.3">
      <c r="B3" s="11" t="s">
        <v>87</v>
      </c>
      <c r="C3" s="17">
        <f>SUM(CAPEX!B56)</f>
        <v>44.876426436395157</v>
      </c>
      <c r="E3" s="18" t="s">
        <v>179</v>
      </c>
      <c r="F3" s="37">
        <v>0</v>
      </c>
      <c r="G3" s="37">
        <v>0</v>
      </c>
      <c r="I3" s="39"/>
    </row>
    <row r="4" spans="2:9" x14ac:dyDescent="0.3">
      <c r="B4" s="19" t="s">
        <v>79</v>
      </c>
      <c r="C4" s="17">
        <f>SUM(CAPEX!B57)</f>
        <v>167.8378348721179</v>
      </c>
      <c r="E4" s="18" t="s">
        <v>180</v>
      </c>
      <c r="F4" s="37">
        <v>0</v>
      </c>
      <c r="G4" s="37">
        <v>0</v>
      </c>
    </row>
    <row r="5" spans="2:9" x14ac:dyDescent="0.3">
      <c r="B5" s="19" t="s">
        <v>80</v>
      </c>
      <c r="C5" s="17">
        <f>SUM(CAPEX!B58)</f>
        <v>50.35135046163537</v>
      </c>
      <c r="E5" s="18" t="s">
        <v>169</v>
      </c>
      <c r="F5" s="37">
        <f>OPEX!D5*1000/Summary!C25</f>
        <v>0.81539028690363347</v>
      </c>
      <c r="G5" s="37">
        <f>OPEX!G5/Summary!C25</f>
        <v>7.4249052853877867E-2</v>
      </c>
    </row>
    <row r="6" spans="2:9" x14ac:dyDescent="0.3">
      <c r="B6" s="19" t="s">
        <v>104</v>
      </c>
      <c r="C6" s="17">
        <f>SUM(CAPEX!B59)</f>
        <v>65.456755600125973</v>
      </c>
      <c r="E6" s="18" t="s">
        <v>122</v>
      </c>
      <c r="F6" s="37">
        <f>OPEX!D7*1000/Summary!C25</f>
        <v>0.17621134313972556</v>
      </c>
      <c r="G6" s="37">
        <f>OPEX!G7/Summary!C25</f>
        <v>1.2489331367714327</v>
      </c>
    </row>
    <row r="7" spans="2:9" x14ac:dyDescent="0.3">
      <c r="B7" s="19" t="s">
        <v>82</v>
      </c>
      <c r="C7" s="17">
        <f>SUM(CAPEX!B60)</f>
        <v>21.818918533375328</v>
      </c>
      <c r="E7" s="18" t="s">
        <v>29</v>
      </c>
      <c r="F7" s="37">
        <f>OPEX!D12/C25</f>
        <v>0.46989395259359684</v>
      </c>
      <c r="G7" s="37">
        <f>OPEX!G12/Summary!C25</f>
        <v>3.1901911517030541E-2</v>
      </c>
    </row>
    <row r="8" spans="2:9" x14ac:dyDescent="0.3">
      <c r="B8" s="19" t="s">
        <v>83</v>
      </c>
      <c r="C8" s="17">
        <f>SUM(CAPEX!B61)</f>
        <v>305.4648594672546</v>
      </c>
      <c r="E8" s="18" t="s">
        <v>181</v>
      </c>
      <c r="F8" s="37">
        <v>0</v>
      </c>
      <c r="G8" s="37">
        <f>(OPEX!G11+OPEX!G14+OPEX!G16+OPEX!G17*10^6/8000)/C25</f>
        <v>1.3444516845262378E-3</v>
      </c>
    </row>
    <row r="9" spans="2:9" x14ac:dyDescent="0.3">
      <c r="B9" s="19" t="s">
        <v>86</v>
      </c>
      <c r="C9" s="17">
        <f>SUM(CAPEX!B62)</f>
        <v>45.819728920088188</v>
      </c>
      <c r="E9" s="18" t="s">
        <v>182</v>
      </c>
      <c r="F9" s="37">
        <v>0</v>
      </c>
      <c r="G9" s="37">
        <f>C18*10^6/8000/C25</f>
        <v>7.9928126629624646E-2</v>
      </c>
    </row>
    <row r="10" spans="2:9" x14ac:dyDescent="0.3">
      <c r="B10" s="11" t="s">
        <v>84</v>
      </c>
      <c r="C10" s="17">
        <f>SUM(CAPEX!B63)</f>
        <v>351.28458838734281</v>
      </c>
      <c r="E10" s="18" t="s">
        <v>183</v>
      </c>
      <c r="F10" s="37">
        <v>0</v>
      </c>
      <c r="G10" s="37">
        <f>C19*10^6/8000/C25</f>
        <v>4.9134160574397186E-2</v>
      </c>
    </row>
    <row r="11" spans="2:9" x14ac:dyDescent="0.3">
      <c r="B11" s="11" t="s">
        <v>109</v>
      </c>
      <c r="C11" s="17">
        <f>SUM('Production Costs'!C9)</f>
        <v>7.3406250000000002</v>
      </c>
      <c r="E11" s="18"/>
      <c r="G11" s="38">
        <f>SUM(G3:G10)</f>
        <v>1.485490840030889</v>
      </c>
    </row>
    <row r="12" spans="2:9" x14ac:dyDescent="0.3">
      <c r="B12" s="11" t="s">
        <v>110</v>
      </c>
      <c r="C12" s="17">
        <f>SUM('Production Costs'!C12)</f>
        <v>5.0351350461635365</v>
      </c>
    </row>
    <row r="13" spans="2:9" x14ac:dyDescent="0.3">
      <c r="B13" s="11" t="s">
        <v>98</v>
      </c>
      <c r="C13" s="17">
        <f>SUM('Production Costs'!C16)</f>
        <v>12.408027736681365</v>
      </c>
    </row>
    <row r="14" spans="2:9" x14ac:dyDescent="0.3">
      <c r="B14" s="11" t="s">
        <v>106</v>
      </c>
      <c r="C14" s="17">
        <f>SUM('Production Costs'!C19)</f>
        <v>2.7491837352052912</v>
      </c>
    </row>
    <row r="15" spans="2:9" x14ac:dyDescent="0.3">
      <c r="B15" s="11" t="s">
        <v>30</v>
      </c>
      <c r="C15" s="17">
        <f>SUM(CAPEX!B64)</f>
        <v>25</v>
      </c>
    </row>
    <row r="16" spans="2:9" x14ac:dyDescent="0.3">
      <c r="B16" s="11" t="s">
        <v>31</v>
      </c>
      <c r="C16" s="17">
        <f>SUM(CAPEX!B65)</f>
        <v>0.12</v>
      </c>
    </row>
    <row r="17" spans="2:6" x14ac:dyDescent="0.3">
      <c r="B17" s="11" t="s">
        <v>32</v>
      </c>
      <c r="C17" s="13">
        <f>SUM(CAPEX!B66)</f>
        <v>0.12749996980950773</v>
      </c>
    </row>
    <row r="18" spans="2:6" x14ac:dyDescent="0.3">
      <c r="B18" s="12" t="s">
        <v>41</v>
      </c>
      <c r="C18" s="14">
        <f>SUM(CAPEX!B68)</f>
        <v>44.788774413931556</v>
      </c>
    </row>
    <row r="19" spans="2:6" x14ac:dyDescent="0.3">
      <c r="B19" s="12" t="s">
        <v>112</v>
      </c>
      <c r="C19" s="14">
        <f>'Production Costs'!C20</f>
        <v>27.532971518050196</v>
      </c>
    </row>
    <row r="20" spans="2:6" x14ac:dyDescent="0.3">
      <c r="B20" s="1"/>
      <c r="C20" s="29"/>
    </row>
    <row r="21" spans="2:6" x14ac:dyDescent="0.3">
      <c r="B21" s="12"/>
      <c r="C21" s="16" t="s">
        <v>134</v>
      </c>
      <c r="D21" s="2" t="s">
        <v>131</v>
      </c>
      <c r="E21" s="2" t="s">
        <v>132</v>
      </c>
      <c r="F21" s="2" t="s">
        <v>133</v>
      </c>
    </row>
    <row r="22" spans="2:6" x14ac:dyDescent="0.3">
      <c r="B22" s="12" t="s">
        <v>69</v>
      </c>
      <c r="C22" s="14">
        <f>SUM(OPEX!G18)</f>
        <v>60.236466726521456</v>
      </c>
      <c r="D22" s="14">
        <f>SUM(OPEX!G19)</f>
        <v>760.09253591914808</v>
      </c>
      <c r="E22" s="14">
        <f>SUM(OPEX!G20)</f>
        <v>1058.7486114979706</v>
      </c>
      <c r="F22" s="14">
        <f>SUM(OPEX!G21)</f>
        <v>1000.66836827392</v>
      </c>
    </row>
    <row r="23" spans="2:6" x14ac:dyDescent="0.3">
      <c r="B23" s="12" t="s">
        <v>113</v>
      </c>
      <c r="C23" s="14">
        <f>($C$18+$C$19+C22)</f>
        <v>132.55821265850321</v>
      </c>
      <c r="D23" s="14">
        <f>($C$18+$C$19+D22)</f>
        <v>832.41428185112977</v>
      </c>
      <c r="E23" s="14">
        <f>($C$18+$C$19+E22)</f>
        <v>1131.0703574299523</v>
      </c>
      <c r="F23" s="14">
        <f>($C$18+$C$19+F22)</f>
        <v>1072.9901142059018</v>
      </c>
    </row>
    <row r="24" spans="2:6" x14ac:dyDescent="0.3">
      <c r="B24" s="12" t="s">
        <v>71</v>
      </c>
      <c r="C24" s="14">
        <f>(C23)*1000000/8000</f>
        <v>16569.776582312901</v>
      </c>
      <c r="D24" s="14">
        <f>(D23)*1000000/8000</f>
        <v>104051.78523139122</v>
      </c>
      <c r="E24" s="14">
        <f>(E23)*1000000/8000</f>
        <v>141383.79467874405</v>
      </c>
      <c r="F24" s="14">
        <f>(F23)*1000000/8000</f>
        <v>134123.76427573775</v>
      </c>
    </row>
    <row r="25" spans="2:6" x14ac:dyDescent="0.3">
      <c r="B25" s="12" t="s">
        <v>70</v>
      </c>
      <c r="C25" s="14">
        <v>70045.39</v>
      </c>
      <c r="D25" s="14">
        <v>70045.39</v>
      </c>
      <c r="E25" s="14">
        <v>70045.39</v>
      </c>
      <c r="F25" s="14">
        <v>70045.39</v>
      </c>
    </row>
    <row r="26" spans="2:6" x14ac:dyDescent="0.3">
      <c r="B26" s="27" t="s">
        <v>72</v>
      </c>
      <c r="C26" s="26">
        <f>C24/C25</f>
        <v>0.23655770325945649</v>
      </c>
      <c r="D26" s="26">
        <f>D24/D25</f>
        <v>1.4854908400308888</v>
      </c>
      <c r="E26" s="26">
        <f>E24/E25</f>
        <v>2.0184596684913032</v>
      </c>
      <c r="F26" s="26">
        <f>F24/F25</f>
        <v>1.914812156456517</v>
      </c>
    </row>
    <row r="27" spans="2:6" x14ac:dyDescent="0.3">
      <c r="B27" s="2" t="s">
        <v>135</v>
      </c>
      <c r="C27" s="11"/>
      <c r="D27" s="21">
        <f>D26/$C$26</f>
        <v>6.2796130481601882</v>
      </c>
      <c r="E27" s="21">
        <f>E26/$C$26</f>
        <v>8.5326313228424304</v>
      </c>
      <c r="F27" s="21">
        <f>F26/$C$26</f>
        <v>8.0944823612712842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2023-02-20T17:29:38Z</dcterms:modified>
</cp:coreProperties>
</file>