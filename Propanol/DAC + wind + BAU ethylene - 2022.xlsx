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nabera\Desktop\Natural gas v chemicals\Propanol\"/>
    </mc:Choice>
  </mc:AlternateContent>
  <xr:revisionPtr revIDLastSave="0" documentId="13_ncr:1_{0D76F8CC-5EFC-4A4E-A50A-569456F89C70}" xr6:coauthVersionLast="47" xr6:coauthVersionMax="47" xr10:uidLastSave="{00000000-0000-0000-0000-000000000000}"/>
  <bookViews>
    <workbookView xWindow="-108" yWindow="-108" windowWidth="30936" windowHeight="16896" activeTab="3" xr2:uid="{00000000-000D-0000-FFFF-FFFF00000000}"/>
  </bookViews>
  <sheets>
    <sheet name="CAPEX" sheetId="7" r:id="rId1"/>
    <sheet name="Production costs" sheetId="12" r:id="rId2"/>
    <sheet name="Catalyst costs" sheetId="13" r:id="rId3"/>
    <sheet name="OPEX" sheetId="8" r:id="rId4"/>
    <sheet name="Summary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50" i="7" l="1"/>
  <c r="H151" i="7"/>
  <c r="H152" i="7"/>
  <c r="H153" i="7"/>
  <c r="H154" i="7"/>
  <c r="H155" i="7"/>
  <c r="H156" i="7"/>
  <c r="H157" i="7"/>
  <c r="H158" i="7"/>
  <c r="H159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E10" i="8"/>
  <c r="D19" i="8" l="1"/>
  <c r="G52" i="11" s="1"/>
  <c r="D12" i="8"/>
  <c r="G48" i="11" s="1"/>
  <c r="D10" i="8"/>
  <c r="G46" i="11" s="1"/>
  <c r="D11" i="8"/>
  <c r="G47" i="11" s="1"/>
  <c r="D16" i="8"/>
  <c r="G51" i="11" s="1"/>
  <c r="D15" i="8"/>
  <c r="G50" i="11" s="1"/>
  <c r="D7" i="8"/>
  <c r="G45" i="11" s="1"/>
  <c r="D6" i="8"/>
  <c r="G44" i="11" s="1"/>
  <c r="D5" i="8"/>
  <c r="G41" i="11" s="1"/>
  <c r="D192" i="7"/>
  <c r="D188" i="7"/>
  <c r="D184" i="7"/>
  <c r="D180" i="7"/>
  <c r="L26" i="7"/>
  <c r="L24" i="7"/>
  <c r="L23" i="7"/>
  <c r="M21" i="7"/>
  <c r="N21" i="7" s="1"/>
  <c r="O21" i="7" s="1"/>
  <c r="Q21" i="7" s="1"/>
  <c r="D175" i="7" s="1"/>
  <c r="M22" i="7"/>
  <c r="N22" i="7" s="1"/>
  <c r="O22" i="7" s="1"/>
  <c r="Q22" i="7" s="1"/>
  <c r="D176" i="7" s="1"/>
  <c r="D164" i="7"/>
  <c r="D163" i="7"/>
  <c r="D162" i="7"/>
  <c r="H162" i="7" s="1"/>
  <c r="H30" i="7"/>
  <c r="K5" i="8"/>
  <c r="F12" i="8" l="1"/>
  <c r="G12" i="8" s="1"/>
  <c r="F31" i="11" s="1"/>
  <c r="F48" i="11" s="1"/>
  <c r="F19" i="8"/>
  <c r="G19" i="8" s="1"/>
  <c r="F34" i="11" s="1"/>
  <c r="F52" i="11" s="1"/>
  <c r="L5" i="8"/>
  <c r="F16" i="8"/>
  <c r="G16" i="8" s="1"/>
  <c r="F33" i="11" s="1"/>
  <c r="F51" i="11" s="1"/>
  <c r="F15" i="8"/>
  <c r="G15" i="8" s="1"/>
  <c r="F32" i="11" s="1"/>
  <c r="F50" i="11" s="1"/>
  <c r="F7" i="8"/>
  <c r="G7" i="8" s="1"/>
  <c r="F28" i="11" s="1"/>
  <c r="F45" i="11" s="1"/>
  <c r="F6" i="8"/>
  <c r="G6" i="8" s="1"/>
  <c r="F27" i="11" l="1"/>
  <c r="F44" i="11" s="1"/>
  <c r="M5" i="8"/>
  <c r="G17" i="8"/>
  <c r="G20" i="8"/>
  <c r="H29" i="7" l="1"/>
  <c r="H28" i="7"/>
  <c r="H27" i="7"/>
  <c r="H26" i="7"/>
  <c r="H25" i="7"/>
  <c r="H24" i="7"/>
  <c r="H23" i="7"/>
  <c r="H22" i="7"/>
  <c r="H21" i="7"/>
  <c r="H20" i="7"/>
  <c r="H96" i="7"/>
  <c r="H95" i="7"/>
  <c r="H94" i="7"/>
  <c r="H93" i="7"/>
  <c r="H92" i="7"/>
  <c r="H91" i="7"/>
  <c r="H90" i="7"/>
  <c r="M26" i="7"/>
  <c r="N26" i="7" s="1"/>
  <c r="O26" i="7" s="1"/>
  <c r="Q26" i="7" s="1"/>
  <c r="D191" i="7" s="1"/>
  <c r="H191" i="7" s="1"/>
  <c r="M25" i="7"/>
  <c r="N25" i="7" s="1"/>
  <c r="O25" i="7" s="1"/>
  <c r="Q25" i="7" s="1"/>
  <c r="D187" i="7" s="1"/>
  <c r="H187" i="7" s="1"/>
  <c r="M24" i="7"/>
  <c r="N24" i="7" s="1"/>
  <c r="H192" i="7"/>
  <c r="H188" i="7"/>
  <c r="H184" i="7"/>
  <c r="M23" i="7"/>
  <c r="N23" i="7" s="1"/>
  <c r="H180" i="7"/>
  <c r="H35" i="7"/>
  <c r="H34" i="7"/>
  <c r="H33" i="7"/>
  <c r="H164" i="7"/>
  <c r="H163" i="7"/>
  <c r="M20" i="7"/>
  <c r="N20" i="7" s="1"/>
  <c r="O20" i="7" s="1"/>
  <c r="Q20" i="7" s="1"/>
  <c r="M19" i="7"/>
  <c r="N19" i="7" s="1"/>
  <c r="O19" i="7" s="1"/>
  <c r="Q19" i="7" s="1"/>
  <c r="D173" i="7" s="1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189" i="7" l="1"/>
  <c r="H165" i="7"/>
  <c r="F8" i="11" s="1"/>
  <c r="H36" i="7"/>
  <c r="H193" i="7"/>
  <c r="D174" i="7"/>
  <c r="H174" i="7" s="1"/>
  <c r="O24" i="7"/>
  <c r="Q24" i="7" s="1"/>
  <c r="O23" i="7"/>
  <c r="Q23" i="7" s="1"/>
  <c r="H173" i="7"/>
  <c r="F5" i="8"/>
  <c r="G5" i="8" l="1"/>
  <c r="G8" i="8" s="1"/>
  <c r="F6" i="11"/>
  <c r="G6" i="11" s="1"/>
  <c r="D183" i="7"/>
  <c r="H183" i="7" s="1"/>
  <c r="H185" i="7" s="1"/>
  <c r="H176" i="7"/>
  <c r="D179" i="7"/>
  <c r="H179" i="7" s="1"/>
  <c r="H181" i="7" s="1"/>
  <c r="F10" i="11" s="1"/>
  <c r="H175" i="7"/>
  <c r="E5" i="13"/>
  <c r="F5" i="13" s="1"/>
  <c r="G21" i="8" s="1"/>
  <c r="F35" i="11" s="1"/>
  <c r="F53" i="11" s="1"/>
  <c r="F26" i="11" l="1"/>
  <c r="F41" i="11" s="1"/>
  <c r="G10" i="11"/>
  <c r="H52" i="7"/>
  <c r="H51" i="7"/>
  <c r="H50" i="7"/>
  <c r="H49" i="7"/>
  <c r="H48" i="7"/>
  <c r="H47" i="7"/>
  <c r="H46" i="7"/>
  <c r="H45" i="7"/>
  <c r="H44" i="7"/>
  <c r="H17" i="7"/>
  <c r="H16" i="7"/>
  <c r="H15" i="7"/>
  <c r="H14" i="7"/>
  <c r="C6" i="12" l="1"/>
  <c r="F15" i="11" s="1"/>
  <c r="C7" i="12" l="1"/>
  <c r="F16" i="11" s="1"/>
  <c r="C8" i="12" l="1"/>
  <c r="C9" i="12" l="1"/>
  <c r="C11" i="11" s="1"/>
  <c r="F17" i="11"/>
  <c r="C16" i="11"/>
  <c r="C15" i="11"/>
  <c r="M18" i="7"/>
  <c r="N18" i="7" s="1"/>
  <c r="O18" i="7" s="1"/>
  <c r="Q18" i="7" s="1"/>
  <c r="M17" i="7"/>
  <c r="N17" i="7" s="1"/>
  <c r="O17" i="7" s="1"/>
  <c r="Q17" i="7" s="1"/>
  <c r="M16" i="7"/>
  <c r="N16" i="7" s="1"/>
  <c r="O16" i="7" s="1"/>
  <c r="Q16" i="7" s="1"/>
  <c r="D170" i="7" s="1"/>
  <c r="H43" i="7"/>
  <c r="H19" i="7"/>
  <c r="H18" i="7"/>
  <c r="H31" i="7" l="1"/>
  <c r="D172" i="7"/>
  <c r="H172" i="7" s="1"/>
  <c r="D171" i="7"/>
  <c r="H171" i="7" s="1"/>
  <c r="H170" i="7"/>
  <c r="H42" i="7"/>
  <c r="H41" i="7"/>
  <c r="H40" i="7"/>
  <c r="H39" i="7"/>
  <c r="H38" i="7"/>
  <c r="H160" i="7" l="1"/>
  <c r="F5" i="11"/>
  <c r="G5" i="11" s="1"/>
  <c r="F11" i="8"/>
  <c r="G11" i="8" s="1"/>
  <c r="F10" i="8"/>
  <c r="G10" i="8" s="1"/>
  <c r="F29" i="11" s="1"/>
  <c r="F46" i="11" s="1"/>
  <c r="B208" i="7"/>
  <c r="C17" i="11" s="1"/>
  <c r="F30" i="11" l="1"/>
  <c r="F47" i="11" s="1"/>
  <c r="G13" i="8"/>
  <c r="G22" i="8" s="1"/>
  <c r="C20" i="11" s="1"/>
  <c r="F7" i="11"/>
  <c r="G7" i="11" s="1"/>
  <c r="M15" i="7"/>
  <c r="N15" i="7" s="1"/>
  <c r="O15" i="7" s="1"/>
  <c r="Q15" i="7" s="1"/>
  <c r="D169" i="7" s="1"/>
  <c r="M14" i="7"/>
  <c r="N14" i="7" s="1"/>
  <c r="O14" i="7" s="1"/>
  <c r="Q14" i="7" s="1"/>
  <c r="D168" i="7" s="1"/>
  <c r="M13" i="7"/>
  <c r="N13" i="7" s="1"/>
  <c r="O13" i="7" s="1"/>
  <c r="Q13" i="7" s="1"/>
  <c r="D167" i="7" l="1"/>
  <c r="H167" i="7" s="1"/>
  <c r="H168" i="7"/>
  <c r="H169" i="7"/>
  <c r="G8" i="11"/>
  <c r="H177" i="7" l="1"/>
  <c r="H194" i="7" l="1"/>
  <c r="B198" i="7" s="1"/>
  <c r="C3" i="11" s="1"/>
  <c r="F9" i="11"/>
  <c r="G9" i="11" s="1"/>
  <c r="B199" i="7" l="1"/>
  <c r="B200" i="7" s="1"/>
  <c r="C5" i="11" s="1"/>
  <c r="C4" i="11" l="1"/>
  <c r="B203" i="7"/>
  <c r="B204" i="7" s="1"/>
  <c r="C18" i="12" s="1"/>
  <c r="C19" i="12" s="1"/>
  <c r="C14" i="11" s="1"/>
  <c r="C11" i="12"/>
  <c r="C14" i="12" s="1"/>
  <c r="B201" i="7"/>
  <c r="C6" i="11" s="1"/>
  <c r="C15" i="12"/>
  <c r="F20" i="11" s="1"/>
  <c r="B202" i="7"/>
  <c r="C7" i="11" s="1"/>
  <c r="F18" i="11"/>
  <c r="C12" i="12" l="1"/>
  <c r="C12" i="11" s="1"/>
  <c r="F21" i="11"/>
  <c r="C8" i="11"/>
  <c r="C203" i="7"/>
  <c r="H10" i="11" s="1"/>
  <c r="B205" i="7"/>
  <c r="C10" i="11" s="1"/>
  <c r="C9" i="11"/>
  <c r="C16" i="12"/>
  <c r="C13" i="11" s="1"/>
  <c r="F19" i="11"/>
  <c r="H6" i="11" l="1"/>
  <c r="H9" i="11"/>
  <c r="B209" i="7"/>
  <c r="B210" i="7" s="1"/>
  <c r="C18" i="11" s="1"/>
  <c r="H8" i="11"/>
  <c r="H7" i="11"/>
  <c r="H5" i="11"/>
  <c r="C20" i="12"/>
  <c r="C19" i="11" s="1"/>
  <c r="C21" i="11" l="1"/>
  <c r="C22" i="11" s="1"/>
  <c r="C24" i="11" s="1"/>
  <c r="C25" i="11" s="1"/>
  <c r="K15" i="11"/>
  <c r="F36" i="11" l="1"/>
  <c r="F11" i="11" l="1"/>
  <c r="G11" i="11" l="1"/>
  <c r="K18" i="11" l="1"/>
  <c r="K17" i="11" l="1"/>
  <c r="K6" i="11"/>
  <c r="K10" i="11"/>
  <c r="K7" i="11"/>
  <c r="K9" i="11"/>
  <c r="K8" i="11"/>
  <c r="K16" i="11"/>
  <c r="F22" i="11"/>
  <c r="K19" i="11" l="1"/>
  <c r="F54" i="11" s="1"/>
  <c r="H11" i="11"/>
  <c r="F55" i="11" s="1"/>
  <c r="K5" i="11"/>
  <c r="K11" i="11" s="1"/>
  <c r="F56" i="11" l="1"/>
  <c r="I48" i="11" s="1"/>
</calcChain>
</file>

<file path=xl/sharedStrings.xml><?xml version="1.0" encoding="utf-8"?>
<sst xmlns="http://schemas.openxmlformats.org/spreadsheetml/2006/main" count="781" uniqueCount="280">
  <si>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</si>
  <si>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</si>
  <si>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</si>
  <si>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</si>
  <si>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</si>
  <si>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</si>
  <si>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</si>
  <si>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</si>
  <si>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</si>
  <si>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</si>
  <si>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</si>
  <si>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</si>
  <si>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</si>
  <si>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</si>
  <si>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</si>
  <si>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</si>
  <si>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</si>
  <si>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</si>
  <si>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</si>
  <si>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</si>
  <si>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</si>
  <si>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</si>
  <si>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</si>
  <si>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</si>
  <si>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Total cost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</si>
  <si>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</si>
  <si>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</si>
  <si>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</si>
  <si>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</si>
  <si>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</si>
  <si>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</si>
  <si>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</si>
  <si>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Price ($/unit)</t>
  </si>
  <si>
    <t>ton/hr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</si>
  <si>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</si>
  <si>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</si>
  <si>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</si>
  <si>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</si>
  <si>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</si>
  <si>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</si>
  <si>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</si>
  <si>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</si>
  <si>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</si>
  <si>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</si>
  <si>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</si>
  <si>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</si>
  <si>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K-100</t>
  </si>
  <si>
    <t>K-101</t>
  </si>
  <si>
    <t>K-109</t>
  </si>
  <si>
    <t>V-100</t>
  </si>
  <si>
    <t>V-101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</si>
  <si>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</si>
  <si>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</si>
  <si>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Power, kW</t>
  </si>
  <si>
    <t xml:space="preserve">Area </t>
  </si>
  <si>
    <t>Flue gas emissions</t>
  </si>
  <si>
    <t>OPEX (M$/year)</t>
  </si>
  <si>
    <t>Compressors</t>
  </si>
  <si>
    <t>Reactors</t>
  </si>
  <si>
    <t>Shell mass, kg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</si>
  <si>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</si>
  <si>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</si>
  <si>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</si>
  <si>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</si>
  <si>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</si>
  <si>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</si>
  <si>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</si>
  <si>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</si>
  <si>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Labor Costs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</si>
  <si>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</si>
  <si>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</si>
  <si>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</si>
  <si>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</si>
  <si>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</si>
  <si>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</si>
  <si>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>Maintanance Costs</t>
  </si>
  <si>
    <t xml:space="preserve">Maintanance </t>
  </si>
  <si>
    <t>3% of the installed capital cost</t>
  </si>
  <si>
    <t>Overhead expenses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</si>
  <si>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</si>
  <si>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</si>
  <si>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</si>
  <si>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</si>
  <si>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</si>
  <si>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</si>
  <si>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</si>
  <si>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</si>
  <si>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</si>
  <si>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</si>
  <si>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</si>
  <si>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</si>
  <si>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</si>
  <si>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Reference</t>
  </si>
  <si>
    <t>9 shift positions, 9 operators/shift</t>
  </si>
  <si>
    <t>CEPCI 2018</t>
  </si>
  <si>
    <t>Reference Data</t>
  </si>
  <si>
    <t>Hydrogen</t>
  </si>
  <si>
    <t>K-102</t>
  </si>
  <si>
    <t>K-103</t>
  </si>
  <si>
    <t>K-104</t>
  </si>
  <si>
    <t>K-105</t>
  </si>
  <si>
    <t>Unit operation</t>
  </si>
  <si>
    <t>Catalyst used</t>
  </si>
  <si>
    <t>$/kg</t>
  </si>
  <si>
    <t>Catalyst costs</t>
  </si>
  <si>
    <t>E-141</t>
  </si>
  <si>
    <t>E-137</t>
  </si>
  <si>
    <t>E-139</t>
  </si>
  <si>
    <t>E-171</t>
  </si>
  <si>
    <t>E-173</t>
  </si>
  <si>
    <t>E-161</t>
  </si>
  <si>
    <t>E-163</t>
  </si>
  <si>
    <t>E-154</t>
  </si>
  <si>
    <t>E-156</t>
  </si>
  <si>
    <t>E-146</t>
  </si>
  <si>
    <t>E-152</t>
  </si>
  <si>
    <t>E-172</t>
  </si>
  <si>
    <t>E-176</t>
  </si>
  <si>
    <t>E-174</t>
  </si>
  <si>
    <t>E-162</t>
  </si>
  <si>
    <t>E-164</t>
  </si>
  <si>
    <t>E-166</t>
  </si>
  <si>
    <t>E-151</t>
  </si>
  <si>
    <t>E-153</t>
  </si>
  <si>
    <t>E-175</t>
  </si>
  <si>
    <t>E-177</t>
  </si>
  <si>
    <t>E-169</t>
  </si>
  <si>
    <t>E-159</t>
  </si>
  <si>
    <t>E-157</t>
  </si>
  <si>
    <t>E-165</t>
  </si>
  <si>
    <t>E-167</t>
  </si>
  <si>
    <t>E-144</t>
  </si>
  <si>
    <t>E-148</t>
  </si>
  <si>
    <t>E-150</t>
  </si>
  <si>
    <t>E-140</t>
  </si>
  <si>
    <t>E-142</t>
  </si>
  <si>
    <t>E-138</t>
  </si>
  <si>
    <t>E-168</t>
  </si>
  <si>
    <t>E-170</t>
  </si>
  <si>
    <t>E-160</t>
  </si>
  <si>
    <t>E-158</t>
  </si>
  <si>
    <t>E-155</t>
  </si>
  <si>
    <t>E-143</t>
  </si>
  <si>
    <t>E-145</t>
  </si>
  <si>
    <t>E-147</t>
  </si>
  <si>
    <t>E-149</t>
  </si>
  <si>
    <t>Total</t>
  </si>
  <si>
    <t>V-102</t>
  </si>
  <si>
    <t>V-103</t>
  </si>
  <si>
    <t>V-104</t>
  </si>
  <si>
    <t>V-105</t>
  </si>
  <si>
    <t>V-106</t>
  </si>
  <si>
    <t>V-107</t>
  </si>
  <si>
    <t>Grand Total</t>
  </si>
  <si>
    <t>Hydroformylation</t>
  </si>
  <si>
    <t>Hydrogenation</t>
  </si>
  <si>
    <t>Furnace</t>
  </si>
  <si>
    <t>Duty, MW</t>
  </si>
  <si>
    <t>P-100</t>
  </si>
  <si>
    <t>P-101</t>
  </si>
  <si>
    <t>P-102</t>
  </si>
  <si>
    <t>Flow, litres/s</t>
  </si>
  <si>
    <t>Pumps</t>
  </si>
  <si>
    <t>Absorption column T-100</t>
  </si>
  <si>
    <t>Flash separators</t>
  </si>
  <si>
    <t>Heat exchangers</t>
  </si>
  <si>
    <t>Structure</t>
  </si>
  <si>
    <t>Tray</t>
  </si>
  <si>
    <t>diameter, m</t>
  </si>
  <si>
    <t>Sieve trays</t>
  </si>
  <si>
    <t xml:space="preserve">Centrifugal compressor </t>
  </si>
  <si>
    <t>Centrifugal pump</t>
  </si>
  <si>
    <t>U tube HEX</t>
  </si>
  <si>
    <t>Pressure vessel</t>
  </si>
  <si>
    <t>n-stages</t>
  </si>
  <si>
    <t>T-100</t>
  </si>
  <si>
    <t>Stripping column T-101</t>
  </si>
  <si>
    <t>Absorption column T-102</t>
  </si>
  <si>
    <t>Stripping column T-103</t>
  </si>
  <si>
    <t>T-101</t>
  </si>
  <si>
    <t>T-102</t>
  </si>
  <si>
    <t>T-103</t>
  </si>
  <si>
    <t>E-192</t>
  </si>
  <si>
    <t>E-183</t>
  </si>
  <si>
    <t>E-187</t>
  </si>
  <si>
    <t>E-185</t>
  </si>
  <si>
    <t>E-193</t>
  </si>
  <si>
    <t>E-182</t>
  </si>
  <si>
    <t>E-184</t>
  </si>
  <si>
    <t>E-186</t>
  </si>
  <si>
    <t>E-190</t>
  </si>
  <si>
    <t>E-188</t>
  </si>
  <si>
    <t>E-179</t>
  </si>
  <si>
    <t>E-181</t>
  </si>
  <si>
    <t>E-189</t>
  </si>
  <si>
    <t>E-191</t>
  </si>
  <si>
    <t>E-178</t>
  </si>
  <si>
    <t>E-180</t>
  </si>
  <si>
    <t>K-106</t>
  </si>
  <si>
    <t>K-107</t>
  </si>
  <si>
    <t>K-108</t>
  </si>
  <si>
    <t>K-110</t>
  </si>
  <si>
    <t>K-111</t>
  </si>
  <si>
    <t>K-112</t>
  </si>
  <si>
    <t>K-113</t>
  </si>
  <si>
    <t>K-114</t>
  </si>
  <si>
    <t>K-115</t>
  </si>
  <si>
    <r>
      <t>Rh/PPh</t>
    </r>
    <r>
      <rPr>
        <vertAlign val="subscript"/>
        <sz val="11"/>
        <color theme="1"/>
        <rFont val="Calibri"/>
        <family val="2"/>
        <scheme val="minor"/>
      </rPr>
      <t>3</t>
    </r>
  </si>
  <si>
    <t>kg/hr</t>
  </si>
  <si>
    <t>Propanol produced</t>
  </si>
  <si>
    <t>$/hr</t>
  </si>
  <si>
    <t>Total OPEX</t>
  </si>
  <si>
    <t>Sigma Aldrich: https://www.sigmaaldrich.com/US/en/product/aldrich/225665</t>
  </si>
  <si>
    <t>Raw material costs</t>
  </si>
  <si>
    <t>Utility costs</t>
  </si>
  <si>
    <t>Additional costs (purge,etc)</t>
  </si>
  <si>
    <t>Refer catalyst costs sheet</t>
  </si>
  <si>
    <t>Cost of propanol per kg</t>
  </si>
  <si>
    <t>Fixed production costs (M$/year)</t>
  </si>
  <si>
    <t>Total expenses (M$/year)</t>
  </si>
  <si>
    <t>Total expenses ($/hr)</t>
  </si>
  <si>
    <t>Total propanol produced (kg/hr)</t>
  </si>
  <si>
    <t>Ethylene</t>
  </si>
  <si>
    <t xml:space="preserve">Total  </t>
  </si>
  <si>
    <t>CEPCI 2008</t>
  </si>
  <si>
    <t>Products sold</t>
  </si>
  <si>
    <t>Steam</t>
  </si>
  <si>
    <t xml:space="preserve">Iasonas 2020 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</si>
  <si>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</t>
    </r>
  </si>
  <si>
    <t>MWh</t>
  </si>
  <si>
    <t>Wastewater treatment</t>
  </si>
  <si>
    <t xml:space="preserve">Natural gas </t>
  </si>
  <si>
    <t>$/MJ</t>
  </si>
  <si>
    <t>$/cu. ft</t>
  </si>
  <si>
    <t>CEPCI 2022</t>
  </si>
  <si>
    <t>Purchased equipment cost 2022</t>
  </si>
  <si>
    <t>Purchased equipment cost 2022 (M$/year)</t>
  </si>
  <si>
    <t>CEPCI 2021</t>
  </si>
  <si>
    <t>Cost of propanol per ton</t>
  </si>
  <si>
    <t>2022 costs</t>
  </si>
  <si>
    <t>CAPEX summary</t>
  </si>
  <si>
    <t>CAPEX short summary</t>
  </si>
  <si>
    <t>Contribution 2022</t>
  </si>
  <si>
    <t>CAPEX [M$/year]</t>
  </si>
  <si>
    <t>Columns</t>
  </si>
  <si>
    <t>Production costs summary</t>
  </si>
  <si>
    <t>Production costs  short summary</t>
  </si>
  <si>
    <t>Category</t>
  </si>
  <si>
    <t>Labor</t>
  </si>
  <si>
    <t>Overhead</t>
  </si>
  <si>
    <t>OPEX short summary</t>
  </si>
  <si>
    <t>Catalyst</t>
  </si>
  <si>
    <t>Contribution 2010</t>
  </si>
  <si>
    <t>K-116</t>
  </si>
  <si>
    <t xml:space="preserve"> </t>
  </si>
  <si>
    <t>E-136</t>
  </si>
  <si>
    <t>E-135</t>
  </si>
  <si>
    <t>RWGS</t>
  </si>
  <si>
    <t>V-108</t>
  </si>
  <si>
    <t>V-109</t>
  </si>
  <si>
    <t>Carbon dioxide</t>
  </si>
  <si>
    <t>Fired heat - natural gas</t>
  </si>
  <si>
    <t>Hydrogen - Wind</t>
  </si>
  <si>
    <t>Iasonas 2020</t>
  </si>
  <si>
    <t>Parkinson 2019</t>
  </si>
  <si>
    <t>Turton 2018</t>
  </si>
  <si>
    <t>Carbon dioxide - DAC</t>
  </si>
  <si>
    <t>gEthylene - DAC</t>
  </si>
  <si>
    <t>Overall</t>
  </si>
  <si>
    <t>Value $/t</t>
  </si>
  <si>
    <t>CAPEX</t>
  </si>
  <si>
    <t>Fixed Costs</t>
  </si>
  <si>
    <t>Natural gas</t>
  </si>
  <si>
    <t>Oxygen</t>
  </si>
  <si>
    <t>Carbon dioxide storage</t>
  </si>
  <si>
    <t>Required (unit/hr)</t>
  </si>
  <si>
    <t>m3/hr</t>
  </si>
  <si>
    <t>-</t>
  </si>
  <si>
    <t>Europa 2021</t>
  </si>
  <si>
    <t>Biogas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</si>
</sst>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3" borderId="5" applyNumberFormat="0" applyAlignment="0" applyProtection="0"/>
    <xf numFmtId="0" fontId="10" fillId="0" borderId="0"/>
  </cellStyleXfs>
  <cellXfs count="4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4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2" fontId="1" fillId="0" borderId="4" xfId="0" applyNumberFormat="1" applyFont="1" applyBorder="1"/>
    <xf numFmtId="2" fontId="0" fillId="4" borderId="1" xfId="0" applyNumberFormat="1" applyFill="1" applyBorder="1"/>
    <xf numFmtId="0" fontId="8" fillId="0" borderId="0" xfId="2" applyFill="1" applyBorder="1"/>
    <xf numFmtId="0" fontId="8" fillId="3" borderId="1" xfId="2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2" fontId="0" fillId="0" borderId="1" xfId="0" applyNumberFormat="1" applyBorder="1" applyAlignment="1">
      <alignment horizontal="center"/>
    </xf>
    <xf numFmtId="11" fontId="0" fillId="0" borderId="0" xfId="0" applyNumberFormat="1"/>
    <xf numFmtId="1" fontId="0" fillId="0" borderId="1" xfId="0" applyNumberForma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</cellXfs>
  <cellStyles count="4">
    <cellStyle name="Check Cell" xfId="2" builtinId="23"/>
    <cellStyle name="Hyperlink" xfId="1" builtinId="8"/>
    <cellStyle name="Normal" xfId="0" builtinId="0"/>
    <cellStyle name="Normal 2" xfId="3" xr:uid="{3CBD245A-C44E-4E3A-BBEE-B22BCB5D3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0"/>
  <sheetViews>
    <sheetView topLeftCell="A13" zoomScale="120" zoomScaleNormal="120" workbookViewId="0">
      <selection activeCell="D26" sqref="D26"/>
    </sheetView>
  </sheetViews>
  <sheetFormatPr defaultRowHeight="14.4" x14ac:dyDescent="0.3"/>
  <cols>
    <col min="1" max="1" width="29.44140625" bestFit="1" customWidth="1"/>
    <col min="2" max="2" width="22.6640625" bestFit="1" customWidth="1"/>
    <col min="3" max="3" width="16.33203125" bestFit="1" customWidth="1"/>
    <col min="4" max="4" width="9.109375" bestFit="1" customWidth="1"/>
    <col min="5" max="6" width="7.5546875" bestFit="1" customWidth="1"/>
    <col min="7" max="7" width="4.88671875" bestFit="1" customWidth="1"/>
    <col min="8" max="8" width="9.33203125" bestFit="1" customWidth="1"/>
    <col min="10" max="10" width="11.109375" bestFit="1" customWidth="1"/>
    <col min="11" max="11" width="11.44140625" bestFit="1" customWidth="1"/>
    <col min="12" max="12" width="6" bestFit="1" customWidth="1"/>
    <col min="14" max="14" width="8.44140625" bestFit="1" customWidth="1"/>
    <col min="15" max="15" width="9" customWidth="1"/>
    <col min="17" max="17" width="9.33203125" bestFit="1" customWidth="1"/>
  </cols>
  <sheetData>
    <row r="1" spans="1:17" x14ac:dyDescent="0.3">
      <c r="A1" s="2" t="s">
        <v>0</v>
      </c>
      <c r="B1" s="3"/>
      <c r="C1" s="3"/>
    </row>
    <row r="2" spans="1:17" ht="15.6" x14ac:dyDescent="0.35">
      <c r="A2" s="3" t="s">
        <v>1</v>
      </c>
      <c r="B2" s="3" t="s">
        <v>38</v>
      </c>
      <c r="C2" s="3">
        <v>0.3</v>
      </c>
    </row>
    <row r="3" spans="1:17" ht="15.6" x14ac:dyDescent="0.35">
      <c r="A3" s="3" t="s">
        <v>2</v>
      </c>
      <c r="B3" s="3" t="s">
        <v>39</v>
      </c>
      <c r="C3" s="3">
        <v>0.8</v>
      </c>
    </row>
    <row r="4" spans="1:17" ht="15.6" x14ac:dyDescent="0.35">
      <c r="A4" s="3" t="s">
        <v>3</v>
      </c>
      <c r="B4" s="3" t="s">
        <v>40</v>
      </c>
      <c r="C4" s="3">
        <v>0.3</v>
      </c>
    </row>
    <row r="5" spans="1:17" ht="15.6" x14ac:dyDescent="0.35">
      <c r="A5" s="3" t="s">
        <v>4</v>
      </c>
      <c r="B5" s="3" t="s">
        <v>41</v>
      </c>
      <c r="C5" s="3">
        <v>0.2</v>
      </c>
    </row>
    <row r="6" spans="1:17" ht="15.6" x14ac:dyDescent="0.35">
      <c r="A6" s="3" t="s">
        <v>5</v>
      </c>
      <c r="B6" s="3" t="s">
        <v>42</v>
      </c>
      <c r="C6" s="3">
        <v>0.3</v>
      </c>
    </row>
    <row r="7" spans="1:17" ht="15.6" x14ac:dyDescent="0.35">
      <c r="A7" s="3" t="s">
        <v>6</v>
      </c>
      <c r="B7" s="3" t="s">
        <v>43</v>
      </c>
      <c r="C7" s="3">
        <v>0.2</v>
      </c>
    </row>
    <row r="8" spans="1:17" ht="15.6" x14ac:dyDescent="0.35">
      <c r="A8" s="3" t="s">
        <v>7</v>
      </c>
      <c r="B8" s="3" t="s">
        <v>44</v>
      </c>
      <c r="C8" s="3">
        <v>0.1</v>
      </c>
    </row>
    <row r="9" spans="1:17" ht="15.6" x14ac:dyDescent="0.35">
      <c r="A9" s="3" t="s">
        <v>8</v>
      </c>
      <c r="B9" s="3" t="s">
        <v>45</v>
      </c>
      <c r="C9" s="3">
        <v>1.3</v>
      </c>
    </row>
    <row r="10" spans="1:17" x14ac:dyDescent="0.3">
      <c r="A10" s="18"/>
      <c r="B10" s="18"/>
      <c r="C10" s="18"/>
    </row>
    <row r="12" spans="1:17" ht="45.6" x14ac:dyDescent="0.35">
      <c r="A12" s="2" t="s">
        <v>9</v>
      </c>
      <c r="B12" s="4" t="s">
        <v>13</v>
      </c>
      <c r="C12" s="4" t="s">
        <v>14</v>
      </c>
      <c r="D12" s="2" t="s">
        <v>15</v>
      </c>
      <c r="E12" s="2" t="s">
        <v>10</v>
      </c>
      <c r="F12" s="2" t="s">
        <v>11</v>
      </c>
      <c r="G12" s="2" t="s">
        <v>12</v>
      </c>
      <c r="H12" s="4" t="s">
        <v>19</v>
      </c>
      <c r="J12" s="2" t="s">
        <v>22</v>
      </c>
      <c r="K12" s="4" t="s">
        <v>20</v>
      </c>
      <c r="L12" s="4" t="s">
        <v>17</v>
      </c>
      <c r="M12" s="4" t="s">
        <v>21</v>
      </c>
      <c r="N12" s="4" t="s">
        <v>51</v>
      </c>
      <c r="O12" s="4" t="s">
        <v>16</v>
      </c>
      <c r="P12" s="4" t="s">
        <v>52</v>
      </c>
      <c r="Q12" s="4" t="s">
        <v>18</v>
      </c>
    </row>
    <row r="13" spans="1:17" x14ac:dyDescent="0.3">
      <c r="A13" s="37" t="s">
        <v>57</v>
      </c>
      <c r="B13" s="38"/>
      <c r="C13" s="38"/>
      <c r="D13" s="38"/>
      <c r="E13" s="38"/>
      <c r="F13" s="38"/>
      <c r="G13" s="38"/>
      <c r="H13" s="39"/>
      <c r="J13" s="5" t="s">
        <v>49</v>
      </c>
      <c r="K13" s="29">
        <v>6.0960000000000001</v>
      </c>
      <c r="L13" s="8">
        <v>21.335999999999999</v>
      </c>
      <c r="M13" s="6">
        <f t="shared" ref="M13:M18" si="0">K13+0.0254</f>
        <v>6.1214000000000004</v>
      </c>
      <c r="N13" s="6">
        <f t="shared" ref="N13:N18" si="1">PI()*(M13*M13-K13*K13)/4</f>
        <v>0.24372629744589885</v>
      </c>
      <c r="O13" s="6">
        <f t="shared" ref="O13:O18" si="2">N13*L13</f>
        <v>5.2001442823056978</v>
      </c>
      <c r="P13" s="3">
        <v>8000</v>
      </c>
      <c r="Q13" s="8">
        <f t="shared" ref="Q13:Q18" si="3">P13*O13</f>
        <v>41601.154258445582</v>
      </c>
    </row>
    <row r="14" spans="1:17" x14ac:dyDescent="0.3">
      <c r="A14" s="3" t="s">
        <v>46</v>
      </c>
      <c r="B14" s="3" t="s">
        <v>170</v>
      </c>
      <c r="C14" s="3" t="s">
        <v>53</v>
      </c>
      <c r="D14" s="8">
        <v>3968.3150118991998</v>
      </c>
      <c r="E14" s="7">
        <v>580000</v>
      </c>
      <c r="F14" s="7">
        <v>20000</v>
      </c>
      <c r="G14" s="8">
        <v>0.6</v>
      </c>
      <c r="H14" s="8">
        <f t="shared" ref="H14:H17" si="4">(E14+(F14*(D14^G14)))/1000000</f>
        <v>3.4653179635951923</v>
      </c>
      <c r="J14" s="5" t="s">
        <v>50</v>
      </c>
      <c r="K14" s="29">
        <v>5.3339999999999996</v>
      </c>
      <c r="L14" s="8">
        <v>18.669</v>
      </c>
      <c r="M14" s="6">
        <f t="shared" si="0"/>
        <v>5.3593999999999999</v>
      </c>
      <c r="N14" s="6">
        <f t="shared" si="1"/>
        <v>0.21332384870004847</v>
      </c>
      <c r="O14" s="6">
        <f t="shared" si="2"/>
        <v>3.9825429313812051</v>
      </c>
      <c r="P14" s="3">
        <v>8000</v>
      </c>
      <c r="Q14" s="8">
        <f t="shared" si="3"/>
        <v>31860.343451049641</v>
      </c>
    </row>
    <row r="15" spans="1:17" x14ac:dyDescent="0.3">
      <c r="A15" s="3" t="s">
        <v>47</v>
      </c>
      <c r="B15" s="3" t="s">
        <v>170</v>
      </c>
      <c r="C15" s="3" t="s">
        <v>53</v>
      </c>
      <c r="D15" s="8">
        <v>3897.1179433343</v>
      </c>
      <c r="E15" s="7">
        <v>580000</v>
      </c>
      <c r="F15" s="7">
        <v>20000</v>
      </c>
      <c r="G15" s="8">
        <v>0.6</v>
      </c>
      <c r="H15" s="8">
        <f t="shared" si="4"/>
        <v>3.4341456077806423</v>
      </c>
      <c r="J15" s="5" t="s">
        <v>147</v>
      </c>
      <c r="K15" s="29">
        <v>5.3339999999999996</v>
      </c>
      <c r="L15" s="8">
        <v>18.669</v>
      </c>
      <c r="M15" s="6">
        <f t="shared" si="0"/>
        <v>5.3593999999999999</v>
      </c>
      <c r="N15" s="6">
        <f t="shared" si="1"/>
        <v>0.21332384870004847</v>
      </c>
      <c r="O15" s="6">
        <f t="shared" si="2"/>
        <v>3.9825429313812051</v>
      </c>
      <c r="P15" s="3">
        <v>8000</v>
      </c>
      <c r="Q15" s="8">
        <f t="shared" si="3"/>
        <v>31860.343451049641</v>
      </c>
    </row>
    <row r="16" spans="1:17" x14ac:dyDescent="0.3">
      <c r="A16" s="3" t="s">
        <v>97</v>
      </c>
      <c r="B16" s="3" t="s">
        <v>170</v>
      </c>
      <c r="C16" s="3" t="s">
        <v>53</v>
      </c>
      <c r="D16" s="8">
        <v>3874.3885258240398</v>
      </c>
      <c r="E16" s="7">
        <v>580000</v>
      </c>
      <c r="F16" s="7">
        <v>20000</v>
      </c>
      <c r="G16" s="8">
        <v>0.6</v>
      </c>
      <c r="H16" s="8">
        <f t="shared" si="4"/>
        <v>3.4241460726147013</v>
      </c>
      <c r="J16" s="5" t="s">
        <v>148</v>
      </c>
      <c r="K16" s="29">
        <v>6.5532000000000004</v>
      </c>
      <c r="L16" s="8">
        <v>22.936199999999999</v>
      </c>
      <c r="M16" s="6">
        <f t="shared" si="0"/>
        <v>6.5786000000000007</v>
      </c>
      <c r="N16" s="6">
        <f t="shared" si="1"/>
        <v>0.26196776669341076</v>
      </c>
      <c r="O16" s="6">
        <f t="shared" si="2"/>
        <v>6.0085450904334081</v>
      </c>
      <c r="P16" s="3">
        <v>8000</v>
      </c>
      <c r="Q16" s="8">
        <f t="shared" si="3"/>
        <v>48068.360723467267</v>
      </c>
    </row>
    <row r="17" spans="1:17" x14ac:dyDescent="0.3">
      <c r="A17" s="3" t="s">
        <v>98</v>
      </c>
      <c r="B17" s="3" t="s">
        <v>170</v>
      </c>
      <c r="C17" s="3" t="s">
        <v>53</v>
      </c>
      <c r="D17" s="8">
        <v>2652.17616291383</v>
      </c>
      <c r="E17" s="7">
        <v>580000</v>
      </c>
      <c r="F17" s="7">
        <v>20000</v>
      </c>
      <c r="G17" s="8">
        <v>0.6</v>
      </c>
      <c r="H17" s="8">
        <f t="shared" si="4"/>
        <v>2.84564267383251</v>
      </c>
      <c r="J17" s="5" t="s">
        <v>149</v>
      </c>
      <c r="K17" s="29">
        <v>0.60960000000000003</v>
      </c>
      <c r="L17" s="8">
        <v>3.3527999999999998</v>
      </c>
      <c r="M17" s="6">
        <f t="shared" si="0"/>
        <v>0.63500000000000001</v>
      </c>
      <c r="N17" s="6">
        <f t="shared" si="1"/>
        <v>2.4828666475777368E-2</v>
      </c>
      <c r="O17" s="6">
        <f t="shared" si="2"/>
        <v>8.3245552959986355E-2</v>
      </c>
      <c r="P17" s="3">
        <v>8000</v>
      </c>
      <c r="Q17" s="8">
        <f t="shared" si="3"/>
        <v>665.96442367989084</v>
      </c>
    </row>
    <row r="18" spans="1:17" x14ac:dyDescent="0.3">
      <c r="A18" s="3" t="s">
        <v>99</v>
      </c>
      <c r="B18" s="3" t="s">
        <v>170</v>
      </c>
      <c r="C18" s="3" t="s">
        <v>53</v>
      </c>
      <c r="D18" s="8">
        <v>1.87566438245067</v>
      </c>
      <c r="E18" s="7">
        <v>580000</v>
      </c>
      <c r="F18" s="7">
        <v>20000</v>
      </c>
      <c r="G18" s="8">
        <v>0.6</v>
      </c>
      <c r="H18" s="8">
        <f t="shared" ref="H18:H19" si="5">(E18+(F18*(D18^G18)))/1000000</f>
        <v>0.60916910303787819</v>
      </c>
      <c r="J18" s="5" t="s">
        <v>150</v>
      </c>
      <c r="K18" s="29">
        <v>3.3527999999999998</v>
      </c>
      <c r="L18" s="8">
        <v>11.7348</v>
      </c>
      <c r="M18" s="6">
        <f t="shared" si="0"/>
        <v>3.3781999999999996</v>
      </c>
      <c r="N18" s="6">
        <f t="shared" si="1"/>
        <v>0.13427748196083575</v>
      </c>
      <c r="O18" s="6">
        <f t="shared" si="2"/>
        <v>1.5757193953140154</v>
      </c>
      <c r="P18" s="3">
        <v>8000</v>
      </c>
      <c r="Q18" s="8">
        <f t="shared" si="3"/>
        <v>12605.755162512123</v>
      </c>
    </row>
    <row r="19" spans="1:17" x14ac:dyDescent="0.3">
      <c r="A19" s="3" t="s">
        <v>100</v>
      </c>
      <c r="B19" s="3" t="s">
        <v>170</v>
      </c>
      <c r="C19" s="3" t="s">
        <v>53</v>
      </c>
      <c r="D19" s="8">
        <v>2.0314085502542598</v>
      </c>
      <c r="E19" s="7">
        <v>580000</v>
      </c>
      <c r="F19" s="7">
        <v>20000</v>
      </c>
      <c r="G19" s="8">
        <v>0.6</v>
      </c>
      <c r="H19" s="8">
        <f t="shared" si="5"/>
        <v>0.61059907945358671</v>
      </c>
      <c r="J19" s="5" t="s">
        <v>151</v>
      </c>
      <c r="K19" s="29">
        <v>1.0668</v>
      </c>
      <c r="L19" s="8">
        <v>5.8673999999999999</v>
      </c>
      <c r="M19" s="6">
        <f t="shared" ref="M19:M20" si="6">K19+0.0254</f>
        <v>1.0922000000000001</v>
      </c>
      <c r="N19" s="6">
        <f t="shared" ref="N19:N20" si="7">PI()*(M19*M19-K19*K19)/4</f>
        <v>4.3070135723287363E-2</v>
      </c>
      <c r="O19" s="6">
        <f t="shared" ref="O19:O20" si="8">N19*L19</f>
        <v>0.25270971434281625</v>
      </c>
      <c r="P19" s="3">
        <v>8000</v>
      </c>
      <c r="Q19" s="8">
        <f t="shared" ref="Q19:Q20" si="9">P19*O19</f>
        <v>2021.67771474253</v>
      </c>
    </row>
    <row r="20" spans="1:17" x14ac:dyDescent="0.3">
      <c r="A20" s="3" t="s">
        <v>198</v>
      </c>
      <c r="B20" s="3" t="s">
        <v>170</v>
      </c>
      <c r="C20" s="3" t="s">
        <v>53</v>
      </c>
      <c r="D20" s="8">
        <v>2.0942138622574098</v>
      </c>
      <c r="E20" s="7">
        <v>580000</v>
      </c>
      <c r="F20" s="7">
        <v>20000</v>
      </c>
      <c r="G20" s="8">
        <v>0.6</v>
      </c>
      <c r="H20" s="8">
        <f t="shared" ref="H20:H29" si="10">(E20+(F20*(D20^G20)))/1000000</f>
        <v>0.61116324066751249</v>
      </c>
      <c r="J20" s="5" t="s">
        <v>152</v>
      </c>
      <c r="K20" s="29">
        <v>0.30480000000000002</v>
      </c>
      <c r="L20" s="8">
        <v>1.6763999999999999</v>
      </c>
      <c r="M20" s="6">
        <f t="shared" si="6"/>
        <v>0.33019999999999999</v>
      </c>
      <c r="N20" s="6">
        <f t="shared" si="7"/>
        <v>1.2667686977437436E-2</v>
      </c>
      <c r="O20" s="6">
        <f t="shared" si="8"/>
        <v>2.1236110448976116E-2</v>
      </c>
      <c r="P20" s="3">
        <v>8000</v>
      </c>
      <c r="Q20" s="8">
        <f t="shared" si="9"/>
        <v>169.88888359180893</v>
      </c>
    </row>
    <row r="21" spans="1:17" x14ac:dyDescent="0.3">
      <c r="A21" s="3" t="s">
        <v>199</v>
      </c>
      <c r="B21" s="3" t="s">
        <v>170</v>
      </c>
      <c r="C21" s="3" t="s">
        <v>53</v>
      </c>
      <c r="D21" s="8">
        <v>1.4371650978947801</v>
      </c>
      <c r="E21" s="7">
        <v>580000</v>
      </c>
      <c r="F21" s="7">
        <v>20000</v>
      </c>
      <c r="G21" s="8">
        <v>0.6</v>
      </c>
      <c r="H21" s="8">
        <f t="shared" si="10"/>
        <v>0.6048618815300123</v>
      </c>
      <c r="J21" s="5" t="s">
        <v>258</v>
      </c>
      <c r="K21" s="29">
        <v>1.3715999999999999</v>
      </c>
      <c r="L21" s="8">
        <v>7.5438000000000001</v>
      </c>
      <c r="M21" s="6">
        <f t="shared" ref="M21:M22" si="11">K21+0.0254</f>
        <v>1.397</v>
      </c>
      <c r="N21" s="6">
        <f t="shared" ref="N21:N22" si="12">PI()*(M21*M21-K21*K21)/4</f>
        <v>5.5231115221627589E-2</v>
      </c>
      <c r="O21" s="6">
        <f t="shared" ref="O21:O22" si="13">N21*L21</f>
        <v>0.41665248700891422</v>
      </c>
      <c r="P21" s="3">
        <v>8001</v>
      </c>
      <c r="Q21" s="8">
        <f t="shared" ref="Q21:Q22" si="14">P21*O21</f>
        <v>3333.6365485583228</v>
      </c>
    </row>
    <row r="22" spans="1:17" x14ac:dyDescent="0.3">
      <c r="A22" s="3" t="s">
        <v>200</v>
      </c>
      <c r="B22" s="3" t="s">
        <v>170</v>
      </c>
      <c r="C22" s="3" t="s">
        <v>53</v>
      </c>
      <c r="D22" s="8">
        <v>902.01094726853796</v>
      </c>
      <c r="E22" s="7">
        <v>580000</v>
      </c>
      <c r="F22" s="7">
        <v>20000</v>
      </c>
      <c r="G22" s="8">
        <v>0.6</v>
      </c>
      <c r="H22" s="8">
        <f t="shared" si="10"/>
        <v>1.7661977084293592</v>
      </c>
      <c r="J22" s="5" t="s">
        <v>259</v>
      </c>
      <c r="K22" s="29">
        <v>1.3715999999999999</v>
      </c>
      <c r="L22" s="8">
        <v>7.5438000000000001</v>
      </c>
      <c r="M22" s="6">
        <f t="shared" si="11"/>
        <v>1.397</v>
      </c>
      <c r="N22" s="6">
        <f t="shared" si="12"/>
        <v>5.5231115221627589E-2</v>
      </c>
      <c r="O22" s="6">
        <f t="shared" si="13"/>
        <v>0.41665248700891422</v>
      </c>
      <c r="P22" s="3">
        <v>8002</v>
      </c>
      <c r="Q22" s="8">
        <f t="shared" si="14"/>
        <v>3334.0532010453317</v>
      </c>
    </row>
    <row r="23" spans="1:17" x14ac:dyDescent="0.3">
      <c r="A23" s="3" t="s">
        <v>48</v>
      </c>
      <c r="B23" s="3" t="s">
        <v>170</v>
      </c>
      <c r="C23" s="3" t="s">
        <v>53</v>
      </c>
      <c r="D23" s="8">
        <v>966.97096409478797</v>
      </c>
      <c r="E23" s="7">
        <v>580000</v>
      </c>
      <c r="F23" s="7">
        <v>20000</v>
      </c>
      <c r="G23" s="8">
        <v>0.6</v>
      </c>
      <c r="H23" s="8">
        <f t="shared" si="10"/>
        <v>1.8167389983836102</v>
      </c>
      <c r="J23" s="5" t="s">
        <v>175</v>
      </c>
      <c r="K23" s="29">
        <v>1.5415000000000001</v>
      </c>
      <c r="L23" s="8">
        <f>0.6096*10</f>
        <v>6.0960000000000001</v>
      </c>
      <c r="M23" s="6">
        <f t="shared" ref="M23" si="15">K23+0.0254</f>
        <v>1.5669000000000002</v>
      </c>
      <c r="N23" s="6">
        <f t="shared" ref="N23" si="16">PI()*(M23*M23-K23*K23)/4</f>
        <v>6.2009823938057797E-2</v>
      </c>
      <c r="O23" s="6">
        <f t="shared" ref="O23" si="17">N23*L23</f>
        <v>0.37801188672640035</v>
      </c>
      <c r="P23" s="3">
        <v>8000</v>
      </c>
      <c r="Q23" s="8">
        <f t="shared" ref="Q23" si="18">P23*O23</f>
        <v>3024.0950938112028</v>
      </c>
    </row>
    <row r="24" spans="1:17" x14ac:dyDescent="0.3">
      <c r="A24" s="3" t="s">
        <v>201</v>
      </c>
      <c r="B24" s="3" t="s">
        <v>170</v>
      </c>
      <c r="C24" s="3" t="s">
        <v>53</v>
      </c>
      <c r="D24" s="8">
        <v>945.80368347796696</v>
      </c>
      <c r="E24" s="7">
        <v>580000</v>
      </c>
      <c r="F24" s="7">
        <v>20000</v>
      </c>
      <c r="G24" s="8">
        <v>0.6</v>
      </c>
      <c r="H24" s="8">
        <f t="shared" si="10"/>
        <v>1.8004235973587004</v>
      </c>
      <c r="J24" s="32" t="s">
        <v>179</v>
      </c>
      <c r="K24" s="29">
        <v>2.1346666669999999</v>
      </c>
      <c r="L24" s="8">
        <f>0.6096*3</f>
        <v>1.8288000000000002</v>
      </c>
      <c r="M24" s="6">
        <f t="shared" ref="M24:M26" si="19">K24+0.0254</f>
        <v>2.1600666669999997</v>
      </c>
      <c r="N24" s="6">
        <f t="shared" ref="N24:N26" si="20">PI()*(M24*M24-K24*K24)/4</f>
        <v>8.5676122089256734E-2</v>
      </c>
      <c r="O24" s="6">
        <f t="shared" ref="O24:O26" si="21">N24*L24</f>
        <v>0.15668449207683274</v>
      </c>
      <c r="P24" s="3">
        <v>8000</v>
      </c>
      <c r="Q24" s="8">
        <f t="shared" ref="Q24:Q26" si="22">P24*O24</f>
        <v>1253.475936614662</v>
      </c>
    </row>
    <row r="25" spans="1:17" x14ac:dyDescent="0.3">
      <c r="A25" s="3" t="s">
        <v>202</v>
      </c>
      <c r="B25" s="3" t="s">
        <v>170</v>
      </c>
      <c r="C25" s="3" t="s">
        <v>53</v>
      </c>
      <c r="D25" s="8">
        <v>554.29394842638101</v>
      </c>
      <c r="E25" s="7">
        <v>580000</v>
      </c>
      <c r="F25" s="7">
        <v>20000</v>
      </c>
      <c r="G25" s="8">
        <v>0.6</v>
      </c>
      <c r="H25" s="8">
        <f t="shared" si="10"/>
        <v>1.4656743718038643</v>
      </c>
      <c r="J25" s="32" t="s">
        <v>180</v>
      </c>
      <c r="K25" s="29">
        <v>1.224</v>
      </c>
      <c r="L25" s="8">
        <v>0.60960000000000003</v>
      </c>
      <c r="M25" s="6">
        <f t="shared" si="19"/>
        <v>1.2494000000000001</v>
      </c>
      <c r="N25" s="6">
        <f t="shared" si="20"/>
        <v>4.9342136960620307E-2</v>
      </c>
      <c r="O25" s="6">
        <f t="shared" si="21"/>
        <v>3.0078966691194142E-2</v>
      </c>
      <c r="P25" s="3">
        <v>8000</v>
      </c>
      <c r="Q25" s="8">
        <f t="shared" si="22"/>
        <v>240.63173352955314</v>
      </c>
    </row>
    <row r="26" spans="1:17" x14ac:dyDescent="0.3">
      <c r="A26" s="3" t="s">
        <v>203</v>
      </c>
      <c r="B26" s="3" t="s">
        <v>170</v>
      </c>
      <c r="C26" s="3" t="s">
        <v>53</v>
      </c>
      <c r="D26" s="8">
        <v>567.55420327873105</v>
      </c>
      <c r="E26" s="7">
        <v>580000</v>
      </c>
      <c r="F26" s="7">
        <v>20000</v>
      </c>
      <c r="G26" s="8">
        <v>0.6</v>
      </c>
      <c r="H26" s="8">
        <f t="shared" si="10"/>
        <v>1.4783268951693787</v>
      </c>
      <c r="J26" s="32" t="s">
        <v>181</v>
      </c>
      <c r="K26" s="29">
        <v>1.6795</v>
      </c>
      <c r="L26" s="8">
        <f>0.6096*2</f>
        <v>1.2192000000000001</v>
      </c>
      <c r="M26" s="6">
        <f t="shared" si="19"/>
        <v>1.7049000000000001</v>
      </c>
      <c r="N26" s="6">
        <f t="shared" si="20"/>
        <v>6.7515779222739242E-2</v>
      </c>
      <c r="O26" s="6">
        <f t="shared" si="21"/>
        <v>8.2315238028363685E-2</v>
      </c>
      <c r="P26" s="3">
        <v>8000</v>
      </c>
      <c r="Q26" s="8">
        <f t="shared" si="22"/>
        <v>658.52190422690944</v>
      </c>
    </row>
    <row r="27" spans="1:17" x14ac:dyDescent="0.3">
      <c r="A27" s="3" t="s">
        <v>204</v>
      </c>
      <c r="B27" s="3" t="s">
        <v>170</v>
      </c>
      <c r="C27" s="3" t="s">
        <v>53</v>
      </c>
      <c r="D27" s="8">
        <v>930.986804539849</v>
      </c>
      <c r="E27" s="7">
        <v>580000</v>
      </c>
      <c r="F27" s="7">
        <v>20000</v>
      </c>
      <c r="G27" s="8">
        <v>0.6</v>
      </c>
      <c r="H27" s="8">
        <f t="shared" si="10"/>
        <v>1.788915959514831</v>
      </c>
    </row>
    <row r="28" spans="1:17" x14ac:dyDescent="0.3">
      <c r="A28" s="3" t="s">
        <v>205</v>
      </c>
      <c r="B28" s="3" t="s">
        <v>170</v>
      </c>
      <c r="C28" s="3" t="s">
        <v>53</v>
      </c>
      <c r="D28" s="8">
        <v>2559.67493189061</v>
      </c>
      <c r="E28" s="7">
        <v>580000</v>
      </c>
      <c r="F28" s="7">
        <v>20000</v>
      </c>
      <c r="G28" s="8">
        <v>0.6</v>
      </c>
      <c r="H28" s="8">
        <f t="shared" si="10"/>
        <v>2.7978945043417927</v>
      </c>
    </row>
    <row r="29" spans="1:17" x14ac:dyDescent="0.3">
      <c r="A29" s="3" t="s">
        <v>206</v>
      </c>
      <c r="B29" s="3" t="s">
        <v>170</v>
      </c>
      <c r="C29" s="3" t="s">
        <v>53</v>
      </c>
      <c r="D29" s="8">
        <v>2937.9039296988999</v>
      </c>
      <c r="E29" s="7">
        <v>580000</v>
      </c>
      <c r="F29" s="7">
        <v>20000</v>
      </c>
      <c r="G29" s="8">
        <v>0.6</v>
      </c>
      <c r="H29" s="8">
        <f t="shared" si="10"/>
        <v>2.9890873642777609</v>
      </c>
    </row>
    <row r="30" spans="1:17" x14ac:dyDescent="0.3">
      <c r="A30" s="3" t="s">
        <v>253</v>
      </c>
      <c r="B30" s="3" t="s">
        <v>170</v>
      </c>
      <c r="C30" s="3" t="s">
        <v>53</v>
      </c>
      <c r="D30" s="8">
        <v>3007.8458499827798</v>
      </c>
      <c r="E30" s="7">
        <v>580000</v>
      </c>
      <c r="F30" s="7">
        <v>20000</v>
      </c>
      <c r="G30" s="8">
        <v>0.6</v>
      </c>
      <c r="H30" s="8">
        <f t="shared" ref="H30" si="23">(E30+(F30*(D30^G30)))/1000000</f>
        <v>3.0233368262924087</v>
      </c>
    </row>
    <row r="31" spans="1:17" x14ac:dyDescent="0.3">
      <c r="A31" s="3"/>
      <c r="B31" s="2" t="s">
        <v>146</v>
      </c>
      <c r="C31" s="3"/>
      <c r="D31" s="8"/>
      <c r="E31" s="7"/>
      <c r="F31" s="7"/>
      <c r="G31" s="8"/>
      <c r="H31" s="10">
        <f>SUM(H14:H30)</f>
        <v>34.531641848083744</v>
      </c>
    </row>
    <row r="32" spans="1:17" x14ac:dyDescent="0.3">
      <c r="A32" s="37" t="s">
        <v>162</v>
      </c>
      <c r="B32" s="38"/>
      <c r="C32" s="38"/>
      <c r="D32" s="38"/>
      <c r="E32" s="38"/>
      <c r="F32" s="38"/>
      <c r="G32" s="38"/>
      <c r="H32" s="39"/>
    </row>
    <row r="33" spans="1:15" x14ac:dyDescent="0.3">
      <c r="A33" s="3" t="s">
        <v>158</v>
      </c>
      <c r="B33" s="3" t="s">
        <v>171</v>
      </c>
      <c r="C33" s="3" t="s">
        <v>161</v>
      </c>
      <c r="D33" s="8">
        <v>1.5359808419399359</v>
      </c>
      <c r="E33" s="7">
        <v>8000</v>
      </c>
      <c r="F33" s="7">
        <v>240</v>
      </c>
      <c r="G33" s="8">
        <v>0.9</v>
      </c>
      <c r="H33" s="8">
        <f t="shared" ref="H33:H35" si="24">(E33+(F33*(D33^G33)))/1000000</f>
        <v>8.3531493901967038E-3</v>
      </c>
    </row>
    <row r="34" spans="1:15" x14ac:dyDescent="0.3">
      <c r="A34" s="3" t="s">
        <v>159</v>
      </c>
      <c r="B34" s="3" t="s">
        <v>171</v>
      </c>
      <c r="C34" s="3" t="s">
        <v>161</v>
      </c>
      <c r="D34" s="8">
        <v>10.61498996949525</v>
      </c>
      <c r="E34" s="7">
        <v>8000</v>
      </c>
      <c r="F34" s="7">
        <v>240</v>
      </c>
      <c r="G34" s="8">
        <v>0.9</v>
      </c>
      <c r="H34" s="8">
        <f t="shared" si="24"/>
        <v>1.0011587234910298E-2</v>
      </c>
    </row>
    <row r="35" spans="1:15" x14ac:dyDescent="0.3">
      <c r="A35" s="3" t="s">
        <v>160</v>
      </c>
      <c r="B35" s="3" t="s">
        <v>171</v>
      </c>
      <c r="C35" s="3" t="s">
        <v>161</v>
      </c>
      <c r="D35" s="8">
        <v>11.086554232330752</v>
      </c>
      <c r="E35" s="7">
        <v>8000</v>
      </c>
      <c r="F35" s="7">
        <v>240</v>
      </c>
      <c r="G35" s="8">
        <v>0.9</v>
      </c>
      <c r="H35" s="8">
        <f t="shared" si="24"/>
        <v>1.00918385821454E-2</v>
      </c>
    </row>
    <row r="36" spans="1:15" x14ac:dyDescent="0.3">
      <c r="A36" s="3"/>
      <c r="B36" s="2" t="s">
        <v>146</v>
      </c>
      <c r="C36" s="3"/>
      <c r="D36" s="8"/>
      <c r="E36" s="7"/>
      <c r="F36" s="7"/>
      <c r="G36" s="8"/>
      <c r="H36" s="10">
        <f>SUM(H33:H35)</f>
        <v>2.8456575207252401E-2</v>
      </c>
    </row>
    <row r="37" spans="1:15" x14ac:dyDescent="0.3">
      <c r="A37" s="37" t="s">
        <v>165</v>
      </c>
      <c r="B37" s="38"/>
      <c r="C37" s="38"/>
      <c r="D37" s="38"/>
      <c r="E37" s="38"/>
      <c r="F37" s="38"/>
      <c r="G37" s="38"/>
      <c r="H37" s="39"/>
    </row>
    <row r="38" spans="1:15" x14ac:dyDescent="0.3">
      <c r="A38" s="3" t="s">
        <v>195</v>
      </c>
      <c r="B38" s="3" t="s">
        <v>172</v>
      </c>
      <c r="C38" s="3" t="s">
        <v>54</v>
      </c>
      <c r="D38" s="17">
        <v>876.29109270952665</v>
      </c>
      <c r="E38" s="7">
        <v>28000</v>
      </c>
      <c r="F38" s="7">
        <v>54</v>
      </c>
      <c r="G38" s="8">
        <v>1.2</v>
      </c>
      <c r="H38" s="8">
        <f t="shared" ref="H38:H169" si="25">(E38+(F38*(D38^G38)))/1000000</f>
        <v>0.21147286237690799</v>
      </c>
      <c r="O38" s="30"/>
    </row>
    <row r="39" spans="1:15" x14ac:dyDescent="0.3">
      <c r="A39" s="3" t="s">
        <v>195</v>
      </c>
      <c r="B39" s="3" t="s">
        <v>172</v>
      </c>
      <c r="C39" s="3" t="s">
        <v>54</v>
      </c>
      <c r="D39" s="17">
        <v>876.29109270952665</v>
      </c>
      <c r="E39" s="7">
        <v>28000</v>
      </c>
      <c r="F39" s="7">
        <v>54</v>
      </c>
      <c r="G39" s="8">
        <v>1.2</v>
      </c>
      <c r="H39" s="8">
        <f t="shared" si="25"/>
        <v>0.21147286237690799</v>
      </c>
      <c r="J39" t="s">
        <v>254</v>
      </c>
    </row>
    <row r="40" spans="1:15" x14ac:dyDescent="0.3">
      <c r="A40" s="3" t="s">
        <v>195</v>
      </c>
      <c r="B40" s="3" t="s">
        <v>172</v>
      </c>
      <c r="C40" s="3" t="s">
        <v>54</v>
      </c>
      <c r="D40" s="17">
        <v>876.29109270952665</v>
      </c>
      <c r="E40" s="7">
        <v>28000</v>
      </c>
      <c r="F40" s="7">
        <v>54</v>
      </c>
      <c r="G40" s="8">
        <v>1.2</v>
      </c>
      <c r="H40" s="8">
        <f t="shared" si="25"/>
        <v>0.21147286237690799</v>
      </c>
    </row>
    <row r="41" spans="1:15" x14ac:dyDescent="0.3">
      <c r="A41" s="3" t="s">
        <v>194</v>
      </c>
      <c r="B41" s="3" t="s">
        <v>172</v>
      </c>
      <c r="C41" s="3" t="s">
        <v>54</v>
      </c>
      <c r="D41" s="17">
        <v>63.2735188225518</v>
      </c>
      <c r="E41" s="7">
        <v>28000</v>
      </c>
      <c r="F41" s="7">
        <v>54</v>
      </c>
      <c r="G41" s="8">
        <v>1.2</v>
      </c>
      <c r="H41" s="8">
        <f t="shared" si="25"/>
        <v>3.5831773967474306E-2</v>
      </c>
    </row>
    <row r="42" spans="1:15" x14ac:dyDescent="0.3">
      <c r="A42" s="3" t="s">
        <v>187</v>
      </c>
      <c r="B42" s="3" t="s">
        <v>172</v>
      </c>
      <c r="C42" s="3" t="s">
        <v>54</v>
      </c>
      <c r="D42" s="17">
        <v>224.38566656060701</v>
      </c>
      <c r="E42" s="7">
        <v>28000</v>
      </c>
      <c r="F42" s="7">
        <v>54</v>
      </c>
      <c r="G42" s="8">
        <v>1.2</v>
      </c>
      <c r="H42" s="8">
        <f t="shared" si="25"/>
        <v>6.3775679683563694E-2</v>
      </c>
    </row>
    <row r="43" spans="1:15" x14ac:dyDescent="0.3">
      <c r="A43" s="3" t="s">
        <v>197</v>
      </c>
      <c r="B43" s="3" t="s">
        <v>172</v>
      </c>
      <c r="C43" s="3" t="s">
        <v>54</v>
      </c>
      <c r="D43" s="17">
        <v>4.3604776536647396</v>
      </c>
      <c r="E43" s="7">
        <v>28000</v>
      </c>
      <c r="F43" s="7">
        <v>54</v>
      </c>
      <c r="G43" s="8">
        <v>1.2</v>
      </c>
      <c r="H43" s="8">
        <f t="shared" ref="H43" si="26">(E43+(F43*(D43^G43)))/1000000</f>
        <v>2.8316107382060078E-2</v>
      </c>
    </row>
    <row r="44" spans="1:15" x14ac:dyDescent="0.3">
      <c r="A44" s="3" t="s">
        <v>188</v>
      </c>
      <c r="B44" s="3" t="s">
        <v>172</v>
      </c>
      <c r="C44" s="3" t="s">
        <v>54</v>
      </c>
      <c r="D44" s="17">
        <v>913.00923762943</v>
      </c>
      <c r="E44" s="7">
        <v>28000</v>
      </c>
      <c r="F44" s="7">
        <v>54</v>
      </c>
      <c r="G44" s="8">
        <v>1.2</v>
      </c>
      <c r="H44" s="8">
        <f t="shared" ref="H44:H52" si="27">(E44+(F44*(D44^G44)))/1000000</f>
        <v>0.22073649896252653</v>
      </c>
    </row>
    <row r="45" spans="1:15" x14ac:dyDescent="0.3">
      <c r="A45" s="3" t="s">
        <v>188</v>
      </c>
      <c r="B45" s="3" t="s">
        <v>172</v>
      </c>
      <c r="C45" s="3" t="s">
        <v>54</v>
      </c>
      <c r="D45" s="17">
        <v>913.00923762943</v>
      </c>
      <c r="E45" s="7">
        <v>28000</v>
      </c>
      <c r="F45" s="7">
        <v>54</v>
      </c>
      <c r="G45" s="8">
        <v>1.2</v>
      </c>
      <c r="H45" s="8">
        <f t="shared" si="27"/>
        <v>0.22073649896252653</v>
      </c>
    </row>
    <row r="46" spans="1:15" x14ac:dyDescent="0.3">
      <c r="A46" s="3" t="s">
        <v>111</v>
      </c>
      <c r="B46" s="3" t="s">
        <v>172</v>
      </c>
      <c r="C46" s="3" t="s">
        <v>54</v>
      </c>
      <c r="D46" s="17">
        <v>97.103838790667098</v>
      </c>
      <c r="E46" s="7">
        <v>28000</v>
      </c>
      <c r="F46" s="7">
        <v>54</v>
      </c>
      <c r="G46" s="8">
        <v>1.2</v>
      </c>
      <c r="H46" s="8">
        <f t="shared" si="27"/>
        <v>4.1094153832718201E-2</v>
      </c>
    </row>
    <row r="47" spans="1:15" x14ac:dyDescent="0.3">
      <c r="A47" s="3" t="s">
        <v>129</v>
      </c>
      <c r="B47" s="3" t="s">
        <v>172</v>
      </c>
      <c r="C47" s="3" t="s">
        <v>54</v>
      </c>
      <c r="D47" s="17">
        <v>183.204017227832</v>
      </c>
      <c r="E47" s="7">
        <v>28000</v>
      </c>
      <c r="F47" s="7">
        <v>54</v>
      </c>
      <c r="G47" s="8">
        <v>1.2</v>
      </c>
      <c r="H47" s="8">
        <f t="shared" si="27"/>
        <v>5.6048894619874258E-2</v>
      </c>
    </row>
    <row r="48" spans="1:15" x14ac:dyDescent="0.3">
      <c r="A48" s="3" t="s">
        <v>130</v>
      </c>
      <c r="B48" s="3" t="s">
        <v>172</v>
      </c>
      <c r="C48" s="3" t="s">
        <v>54</v>
      </c>
      <c r="D48" s="17">
        <v>420.30381943742799</v>
      </c>
      <c r="E48" s="7">
        <v>28000</v>
      </c>
      <c r="F48" s="7">
        <v>54</v>
      </c>
      <c r="G48" s="8">
        <v>1.2</v>
      </c>
      <c r="H48" s="8">
        <f t="shared" si="27"/>
        <v>0.10397483468102449</v>
      </c>
      <c r="N48" s="30"/>
    </row>
    <row r="49" spans="1:8" x14ac:dyDescent="0.3">
      <c r="A49" s="3" t="s">
        <v>128</v>
      </c>
      <c r="B49" s="3" t="s">
        <v>172</v>
      </c>
      <c r="C49" s="3" t="s">
        <v>54</v>
      </c>
      <c r="D49" s="17">
        <v>141.733021218635</v>
      </c>
      <c r="E49" s="7">
        <v>28000</v>
      </c>
      <c r="F49" s="7">
        <v>54</v>
      </c>
      <c r="G49" s="8">
        <v>1.2</v>
      </c>
      <c r="H49" s="8">
        <f t="shared" si="27"/>
        <v>4.8613845349666722E-2</v>
      </c>
    </row>
    <row r="50" spans="1:8" x14ac:dyDescent="0.3">
      <c r="A50" s="3" t="s">
        <v>127</v>
      </c>
      <c r="B50" s="3" t="s">
        <v>172</v>
      </c>
      <c r="C50" s="3" t="s">
        <v>54</v>
      </c>
      <c r="D50" s="17">
        <v>6.3323691505614101E-4</v>
      </c>
      <c r="E50" s="7">
        <v>28000</v>
      </c>
      <c r="F50" s="7">
        <v>54</v>
      </c>
      <c r="G50" s="8">
        <v>1.2</v>
      </c>
      <c r="H50" s="8">
        <f t="shared" si="27"/>
        <v>2.8000007839226796E-2</v>
      </c>
    </row>
    <row r="51" spans="1:8" ht="14.25" customHeight="1" x14ac:dyDescent="0.3">
      <c r="A51" s="3" t="s">
        <v>255</v>
      </c>
      <c r="B51" s="3" t="s">
        <v>172</v>
      </c>
      <c r="C51" s="3" t="s">
        <v>54</v>
      </c>
      <c r="D51" s="17">
        <v>115.103400562033</v>
      </c>
      <c r="E51" s="7">
        <v>28000</v>
      </c>
      <c r="F51" s="7">
        <v>54</v>
      </c>
      <c r="G51" s="8">
        <v>1.2</v>
      </c>
      <c r="H51" s="8">
        <f t="shared" si="27"/>
        <v>4.4058299186867274E-2</v>
      </c>
    </row>
    <row r="52" spans="1:8" x14ac:dyDescent="0.3">
      <c r="A52" s="3" t="s">
        <v>134</v>
      </c>
      <c r="B52" s="3" t="s">
        <v>172</v>
      </c>
      <c r="C52" s="3" t="s">
        <v>54</v>
      </c>
      <c r="D52" s="17">
        <v>279.39669939822301</v>
      </c>
      <c r="E52" s="7">
        <v>28000</v>
      </c>
      <c r="F52" s="7">
        <v>54</v>
      </c>
      <c r="G52" s="8">
        <v>1.2</v>
      </c>
      <c r="H52" s="8">
        <f t="shared" si="27"/>
        <v>7.4543526469341106E-2</v>
      </c>
    </row>
    <row r="53" spans="1:8" x14ac:dyDescent="0.3">
      <c r="A53" s="3" t="s">
        <v>136</v>
      </c>
      <c r="B53" s="3" t="s">
        <v>172</v>
      </c>
      <c r="C53" s="3" t="s">
        <v>54</v>
      </c>
      <c r="D53" s="17">
        <v>84.7667208108045</v>
      </c>
      <c r="E53" s="7">
        <v>28000</v>
      </c>
      <c r="F53" s="7">
        <v>54</v>
      </c>
      <c r="G53" s="8">
        <v>1.2</v>
      </c>
      <c r="H53" s="8">
        <f t="shared" ref="H53:H89" si="28">(E53+(F53*(D53^G53)))/1000000</f>
        <v>3.9124082965482532E-2</v>
      </c>
    </row>
    <row r="54" spans="1:8" x14ac:dyDescent="0.3">
      <c r="A54" s="3" t="s">
        <v>190</v>
      </c>
      <c r="B54" s="3" t="s">
        <v>172</v>
      </c>
      <c r="C54" s="3" t="s">
        <v>54</v>
      </c>
      <c r="D54" s="17">
        <v>92.0381127865694</v>
      </c>
      <c r="E54" s="7">
        <v>28000</v>
      </c>
      <c r="F54" s="7">
        <v>54</v>
      </c>
      <c r="G54" s="8">
        <v>1.2</v>
      </c>
      <c r="H54" s="8">
        <f t="shared" si="28"/>
        <v>4.027877399753952E-2</v>
      </c>
    </row>
    <row r="55" spans="1:8" x14ac:dyDescent="0.3">
      <c r="A55" s="3" t="s">
        <v>182</v>
      </c>
      <c r="B55" s="3" t="s">
        <v>172</v>
      </c>
      <c r="C55" s="3" t="s">
        <v>54</v>
      </c>
      <c r="D55" s="17">
        <v>69.033318199790799</v>
      </c>
      <c r="E55" s="7">
        <v>28000</v>
      </c>
      <c r="F55" s="7">
        <v>54</v>
      </c>
      <c r="G55" s="8">
        <v>1.2</v>
      </c>
      <c r="H55" s="8">
        <f t="shared" si="28"/>
        <v>3.6694893333794158E-2</v>
      </c>
    </row>
    <row r="56" spans="1:8" x14ac:dyDescent="0.3">
      <c r="A56" s="3" t="s">
        <v>124</v>
      </c>
      <c r="B56" s="3" t="s">
        <v>172</v>
      </c>
      <c r="C56" s="3" t="s">
        <v>54</v>
      </c>
      <c r="D56" s="17">
        <v>24.1054234391639</v>
      </c>
      <c r="E56" s="7">
        <v>28000</v>
      </c>
      <c r="F56" s="7">
        <v>54</v>
      </c>
      <c r="G56" s="8">
        <v>1.2</v>
      </c>
      <c r="H56" s="8">
        <f t="shared" si="28"/>
        <v>3.0459979440921714E-2</v>
      </c>
    </row>
    <row r="57" spans="1:8" x14ac:dyDescent="0.3">
      <c r="A57" s="3" t="s">
        <v>192</v>
      </c>
      <c r="B57" s="3" t="s">
        <v>172</v>
      </c>
      <c r="C57" s="3" t="s">
        <v>54</v>
      </c>
      <c r="D57" s="17">
        <v>140.39640578761501</v>
      </c>
      <c r="E57" s="7">
        <v>28000</v>
      </c>
      <c r="F57" s="7">
        <v>54</v>
      </c>
      <c r="G57" s="8">
        <v>1.2</v>
      </c>
      <c r="H57" s="8">
        <f t="shared" si="28"/>
        <v>4.8380786877624163E-2</v>
      </c>
    </row>
    <row r="58" spans="1:8" x14ac:dyDescent="0.3">
      <c r="A58" s="3" t="s">
        <v>193</v>
      </c>
      <c r="B58" s="3" t="s">
        <v>172</v>
      </c>
      <c r="C58" s="3" t="s">
        <v>54</v>
      </c>
      <c r="D58" s="17">
        <v>527.28759750785002</v>
      </c>
      <c r="E58" s="7">
        <v>28000</v>
      </c>
      <c r="F58" s="7">
        <v>54</v>
      </c>
      <c r="G58" s="8">
        <v>1.2</v>
      </c>
      <c r="H58" s="8">
        <f t="shared" si="28"/>
        <v>0.12773574299558915</v>
      </c>
    </row>
    <row r="59" spans="1:8" x14ac:dyDescent="0.3">
      <c r="A59" s="3" t="s">
        <v>193</v>
      </c>
      <c r="B59" s="3" t="s">
        <v>172</v>
      </c>
      <c r="C59" s="3" t="s">
        <v>54</v>
      </c>
      <c r="D59" s="17">
        <v>527.28759750785002</v>
      </c>
      <c r="E59" s="7">
        <v>28000</v>
      </c>
      <c r="F59" s="7">
        <v>54</v>
      </c>
      <c r="G59" s="8">
        <v>1.2</v>
      </c>
      <c r="H59" s="8">
        <f t="shared" si="28"/>
        <v>0.12773574299558915</v>
      </c>
    </row>
    <row r="60" spans="1:8" x14ac:dyDescent="0.3">
      <c r="A60" s="3" t="s">
        <v>139</v>
      </c>
      <c r="B60" s="3" t="s">
        <v>172</v>
      </c>
      <c r="C60" s="3" t="s">
        <v>54</v>
      </c>
      <c r="D60" s="17">
        <v>214.75106683489199</v>
      </c>
      <c r="E60" s="7">
        <v>28000</v>
      </c>
      <c r="F60" s="7">
        <v>54</v>
      </c>
      <c r="G60" s="8">
        <v>1.2</v>
      </c>
      <c r="H60" s="8">
        <f t="shared" si="28"/>
        <v>6.1940337438506486E-2</v>
      </c>
    </row>
    <row r="61" spans="1:8" x14ac:dyDescent="0.3">
      <c r="A61" s="3" t="s">
        <v>120</v>
      </c>
      <c r="B61" s="3" t="s">
        <v>172</v>
      </c>
      <c r="C61" s="3" t="s">
        <v>54</v>
      </c>
      <c r="D61" s="17">
        <v>31.786896608788901</v>
      </c>
      <c r="E61" s="7">
        <v>28000</v>
      </c>
      <c r="F61" s="7">
        <v>54</v>
      </c>
      <c r="G61" s="8">
        <v>1.2</v>
      </c>
      <c r="H61" s="8">
        <f t="shared" si="28"/>
        <v>3.1428400225546861E-2</v>
      </c>
    </row>
    <row r="62" spans="1:8" x14ac:dyDescent="0.3">
      <c r="A62" s="3" t="s">
        <v>119</v>
      </c>
      <c r="B62" s="3" t="s">
        <v>172</v>
      </c>
      <c r="C62" s="3" t="s">
        <v>54</v>
      </c>
      <c r="D62" s="17">
        <v>1.2330344304490399</v>
      </c>
      <c r="E62" s="7">
        <v>28000</v>
      </c>
      <c r="F62" s="7">
        <v>54</v>
      </c>
      <c r="G62" s="8">
        <v>1.2</v>
      </c>
      <c r="H62" s="8">
        <f t="shared" si="28"/>
        <v>2.8069432692082598E-2</v>
      </c>
    </row>
    <row r="63" spans="1:8" x14ac:dyDescent="0.3">
      <c r="A63" s="3" t="s">
        <v>121</v>
      </c>
      <c r="B63" s="3" t="s">
        <v>172</v>
      </c>
      <c r="C63" s="3" t="s">
        <v>54</v>
      </c>
      <c r="D63" s="17">
        <v>957.87727318829127</v>
      </c>
      <c r="E63" s="7">
        <v>28000</v>
      </c>
      <c r="F63" s="7">
        <v>54</v>
      </c>
      <c r="G63" s="8">
        <v>1.2</v>
      </c>
      <c r="H63" s="8">
        <f t="shared" si="28"/>
        <v>0.23215762407325871</v>
      </c>
    </row>
    <row r="64" spans="1:8" x14ac:dyDescent="0.3">
      <c r="A64" s="3" t="s">
        <v>121</v>
      </c>
      <c r="B64" s="3" t="s">
        <v>172</v>
      </c>
      <c r="C64" s="3" t="s">
        <v>54</v>
      </c>
      <c r="D64" s="17">
        <v>957.87727318829127</v>
      </c>
      <c r="E64" s="7">
        <v>28000</v>
      </c>
      <c r="F64" s="7">
        <v>54</v>
      </c>
      <c r="G64" s="8">
        <v>1.2</v>
      </c>
      <c r="H64" s="8">
        <f t="shared" si="28"/>
        <v>0.23215762407325871</v>
      </c>
    </row>
    <row r="65" spans="1:8" x14ac:dyDescent="0.3">
      <c r="A65" s="3" t="s">
        <v>121</v>
      </c>
      <c r="B65" s="3" t="s">
        <v>172</v>
      </c>
      <c r="C65" s="3" t="s">
        <v>54</v>
      </c>
      <c r="D65" s="17">
        <v>957.87727318829127</v>
      </c>
      <c r="E65" s="7">
        <v>28000</v>
      </c>
      <c r="F65" s="7">
        <v>54</v>
      </c>
      <c r="G65" s="8">
        <v>1.2</v>
      </c>
      <c r="H65" s="8">
        <f t="shared" si="28"/>
        <v>0.23215762407325871</v>
      </c>
    </row>
    <row r="66" spans="1:8" ht="15.75" customHeight="1" x14ac:dyDescent="0.3">
      <c r="A66" s="3" t="s">
        <v>121</v>
      </c>
      <c r="B66" s="3" t="s">
        <v>172</v>
      </c>
      <c r="C66" s="3" t="s">
        <v>54</v>
      </c>
      <c r="D66" s="17">
        <v>957.87727318829127</v>
      </c>
      <c r="E66" s="7">
        <v>28000</v>
      </c>
      <c r="F66" s="7">
        <v>54</v>
      </c>
      <c r="G66" s="8">
        <v>1.2</v>
      </c>
      <c r="H66" s="8">
        <f t="shared" si="28"/>
        <v>0.23215762407325871</v>
      </c>
    </row>
    <row r="67" spans="1:8" x14ac:dyDescent="0.3">
      <c r="A67" s="3" t="s">
        <v>121</v>
      </c>
      <c r="B67" s="3" t="s">
        <v>172</v>
      </c>
      <c r="C67" s="3" t="s">
        <v>54</v>
      </c>
      <c r="D67" s="17">
        <v>957.87727318829127</v>
      </c>
      <c r="E67" s="7">
        <v>28000</v>
      </c>
      <c r="F67" s="7">
        <v>54</v>
      </c>
      <c r="G67" s="8">
        <v>1.2</v>
      </c>
      <c r="H67" s="8">
        <f t="shared" si="28"/>
        <v>0.23215762407325871</v>
      </c>
    </row>
    <row r="68" spans="1:8" x14ac:dyDescent="0.3">
      <c r="A68" s="3" t="s">
        <v>121</v>
      </c>
      <c r="B68" s="3" t="s">
        <v>172</v>
      </c>
      <c r="C68" s="3" t="s">
        <v>54</v>
      </c>
      <c r="D68" s="17">
        <v>957.87727318829127</v>
      </c>
      <c r="E68" s="7">
        <v>28000</v>
      </c>
      <c r="F68" s="7">
        <v>54</v>
      </c>
      <c r="G68" s="8">
        <v>1.2</v>
      </c>
      <c r="H68" s="8">
        <f t="shared" si="28"/>
        <v>0.23215762407325871</v>
      </c>
    </row>
    <row r="69" spans="1:8" ht="15.75" customHeight="1" x14ac:dyDescent="0.3">
      <c r="A69" s="3" t="s">
        <v>121</v>
      </c>
      <c r="B69" s="3" t="s">
        <v>172</v>
      </c>
      <c r="C69" s="3" t="s">
        <v>54</v>
      </c>
      <c r="D69" s="17">
        <v>957.87727318829127</v>
      </c>
      <c r="E69" s="7">
        <v>28000</v>
      </c>
      <c r="F69" s="7">
        <v>54</v>
      </c>
      <c r="G69" s="8">
        <v>1.2</v>
      </c>
      <c r="H69" s="8">
        <f t="shared" si="28"/>
        <v>0.23215762407325871</v>
      </c>
    </row>
    <row r="70" spans="1:8" x14ac:dyDescent="0.3">
      <c r="A70" s="3" t="s">
        <v>121</v>
      </c>
      <c r="B70" s="3" t="s">
        <v>172</v>
      </c>
      <c r="C70" s="3" t="s">
        <v>54</v>
      </c>
      <c r="D70" s="17">
        <v>957.87727318829127</v>
      </c>
      <c r="E70" s="7">
        <v>28000</v>
      </c>
      <c r="F70" s="7">
        <v>54</v>
      </c>
      <c r="G70" s="8">
        <v>1.2</v>
      </c>
      <c r="H70" s="8">
        <f t="shared" si="28"/>
        <v>0.23215762407325871</v>
      </c>
    </row>
    <row r="71" spans="1:8" x14ac:dyDescent="0.3">
      <c r="A71" s="3" t="s">
        <v>121</v>
      </c>
      <c r="B71" s="3" t="s">
        <v>172</v>
      </c>
      <c r="C71" s="3" t="s">
        <v>54</v>
      </c>
      <c r="D71" s="17">
        <v>957.87727318829127</v>
      </c>
      <c r="E71" s="7">
        <v>28000</v>
      </c>
      <c r="F71" s="7">
        <v>54</v>
      </c>
      <c r="G71" s="8">
        <v>1.2</v>
      </c>
      <c r="H71" s="8">
        <f t="shared" si="28"/>
        <v>0.23215762407325871</v>
      </c>
    </row>
    <row r="72" spans="1:8" x14ac:dyDescent="0.3">
      <c r="A72" s="3" t="s">
        <v>121</v>
      </c>
      <c r="B72" s="3" t="s">
        <v>172</v>
      </c>
      <c r="C72" s="3" t="s">
        <v>54</v>
      </c>
      <c r="D72" s="17">
        <v>957.87727318829127</v>
      </c>
      <c r="E72" s="7">
        <v>28000</v>
      </c>
      <c r="F72" s="7">
        <v>54</v>
      </c>
      <c r="G72" s="8">
        <v>1.2</v>
      </c>
      <c r="H72" s="8">
        <f t="shared" si="28"/>
        <v>0.23215762407325871</v>
      </c>
    </row>
    <row r="73" spans="1:8" x14ac:dyDescent="0.3">
      <c r="A73" s="3" t="s">
        <v>121</v>
      </c>
      <c r="B73" s="3" t="s">
        <v>172</v>
      </c>
      <c r="C73" s="3" t="s">
        <v>54</v>
      </c>
      <c r="D73" s="17">
        <v>957.87727318829127</v>
      </c>
      <c r="E73" s="7">
        <v>28000</v>
      </c>
      <c r="F73" s="7">
        <v>54</v>
      </c>
      <c r="G73" s="8">
        <v>1.2</v>
      </c>
      <c r="H73" s="8">
        <f t="shared" si="28"/>
        <v>0.23215762407325871</v>
      </c>
    </row>
    <row r="74" spans="1:8" x14ac:dyDescent="0.3">
      <c r="A74" s="3" t="s">
        <v>121</v>
      </c>
      <c r="B74" s="3" t="s">
        <v>172</v>
      </c>
      <c r="C74" s="3" t="s">
        <v>54</v>
      </c>
      <c r="D74" s="17">
        <v>957.87727318829127</v>
      </c>
      <c r="E74" s="7">
        <v>28000</v>
      </c>
      <c r="F74" s="7">
        <v>54</v>
      </c>
      <c r="G74" s="8">
        <v>1.2</v>
      </c>
      <c r="H74" s="8">
        <f t="shared" si="28"/>
        <v>0.23215762407325871</v>
      </c>
    </row>
    <row r="75" spans="1:8" x14ac:dyDescent="0.3">
      <c r="A75" s="3" t="s">
        <v>121</v>
      </c>
      <c r="B75" s="3" t="s">
        <v>172</v>
      </c>
      <c r="C75" s="3" t="s">
        <v>54</v>
      </c>
      <c r="D75" s="17">
        <v>957.87727318829127</v>
      </c>
      <c r="E75" s="7">
        <v>28000</v>
      </c>
      <c r="F75" s="7">
        <v>54</v>
      </c>
      <c r="G75" s="8">
        <v>1.2</v>
      </c>
      <c r="H75" s="8">
        <f t="shared" si="28"/>
        <v>0.23215762407325871</v>
      </c>
    </row>
    <row r="76" spans="1:8" x14ac:dyDescent="0.3">
      <c r="A76" s="3" t="s">
        <v>121</v>
      </c>
      <c r="B76" s="3" t="s">
        <v>172</v>
      </c>
      <c r="C76" s="3" t="s">
        <v>54</v>
      </c>
      <c r="D76" s="17">
        <v>957.87727318829127</v>
      </c>
      <c r="E76" s="7">
        <v>28000</v>
      </c>
      <c r="F76" s="7">
        <v>54</v>
      </c>
      <c r="G76" s="8">
        <v>1.2</v>
      </c>
      <c r="H76" s="8">
        <f t="shared" si="28"/>
        <v>0.23215762407325871</v>
      </c>
    </row>
    <row r="77" spans="1:8" x14ac:dyDescent="0.3">
      <c r="A77" s="3" t="s">
        <v>121</v>
      </c>
      <c r="B77" s="3" t="s">
        <v>172</v>
      </c>
      <c r="C77" s="3" t="s">
        <v>54</v>
      </c>
      <c r="D77" s="17">
        <v>957.87727318829127</v>
      </c>
      <c r="E77" s="7">
        <v>28000</v>
      </c>
      <c r="F77" s="7">
        <v>54</v>
      </c>
      <c r="G77" s="8">
        <v>1.2</v>
      </c>
      <c r="H77" s="8">
        <f t="shared" si="28"/>
        <v>0.23215762407325871</v>
      </c>
    </row>
    <row r="78" spans="1:8" x14ac:dyDescent="0.3">
      <c r="A78" s="3" t="s">
        <v>121</v>
      </c>
      <c r="B78" s="3" t="s">
        <v>172</v>
      </c>
      <c r="C78" s="3" t="s">
        <v>54</v>
      </c>
      <c r="D78" s="17">
        <v>957.87727318829127</v>
      </c>
      <c r="E78" s="7">
        <v>28000</v>
      </c>
      <c r="F78" s="7">
        <v>54</v>
      </c>
      <c r="G78" s="8">
        <v>1.2</v>
      </c>
      <c r="H78" s="8">
        <f t="shared" si="28"/>
        <v>0.23215762407325871</v>
      </c>
    </row>
    <row r="79" spans="1:8" x14ac:dyDescent="0.3">
      <c r="A79" s="3" t="s">
        <v>121</v>
      </c>
      <c r="B79" s="3" t="s">
        <v>172</v>
      </c>
      <c r="C79" s="3" t="s">
        <v>54</v>
      </c>
      <c r="D79" s="17">
        <v>957.87727318829127</v>
      </c>
      <c r="E79" s="7">
        <v>28000</v>
      </c>
      <c r="F79" s="7">
        <v>54</v>
      </c>
      <c r="G79" s="8">
        <v>1.2</v>
      </c>
      <c r="H79" s="8">
        <f t="shared" si="28"/>
        <v>0.23215762407325871</v>
      </c>
    </row>
    <row r="80" spans="1:8" x14ac:dyDescent="0.3">
      <c r="A80" s="3" t="s">
        <v>121</v>
      </c>
      <c r="B80" s="3" t="s">
        <v>172</v>
      </c>
      <c r="C80" s="3" t="s">
        <v>54</v>
      </c>
      <c r="D80" s="17">
        <v>957.87727318829127</v>
      </c>
      <c r="E80" s="7">
        <v>28000</v>
      </c>
      <c r="F80" s="7">
        <v>54</v>
      </c>
      <c r="G80" s="8">
        <v>1.2</v>
      </c>
      <c r="H80" s="8">
        <f t="shared" si="28"/>
        <v>0.23215762407325871</v>
      </c>
    </row>
    <row r="81" spans="1:8" x14ac:dyDescent="0.3">
      <c r="A81" s="3" t="s">
        <v>121</v>
      </c>
      <c r="B81" s="3" t="s">
        <v>172</v>
      </c>
      <c r="C81" s="3" t="s">
        <v>54</v>
      </c>
      <c r="D81" s="17">
        <v>957.87727318829127</v>
      </c>
      <c r="E81" s="7">
        <v>28000</v>
      </c>
      <c r="F81" s="7">
        <v>54</v>
      </c>
      <c r="G81" s="8">
        <v>1.2</v>
      </c>
      <c r="H81" s="8">
        <f t="shared" si="28"/>
        <v>0.23215762407325871</v>
      </c>
    </row>
    <row r="82" spans="1:8" x14ac:dyDescent="0.3">
      <c r="A82" s="3" t="s">
        <v>121</v>
      </c>
      <c r="B82" s="3" t="s">
        <v>172</v>
      </c>
      <c r="C82" s="3" t="s">
        <v>54</v>
      </c>
      <c r="D82" s="17">
        <v>957.87727318829127</v>
      </c>
      <c r="E82" s="7">
        <v>28000</v>
      </c>
      <c r="F82" s="7">
        <v>54</v>
      </c>
      <c r="G82" s="8">
        <v>1.2</v>
      </c>
      <c r="H82" s="8">
        <f t="shared" si="28"/>
        <v>0.23215762407325871</v>
      </c>
    </row>
    <row r="83" spans="1:8" x14ac:dyDescent="0.3">
      <c r="A83" s="3" t="s">
        <v>121</v>
      </c>
      <c r="B83" s="3" t="s">
        <v>172</v>
      </c>
      <c r="C83" s="3" t="s">
        <v>54</v>
      </c>
      <c r="D83" s="17">
        <v>957.87727318829127</v>
      </c>
      <c r="E83" s="7">
        <v>28000</v>
      </c>
      <c r="F83" s="7">
        <v>54</v>
      </c>
      <c r="G83" s="8">
        <v>1.2</v>
      </c>
      <c r="H83" s="8">
        <f t="shared" si="28"/>
        <v>0.23215762407325871</v>
      </c>
    </row>
    <row r="84" spans="1:8" x14ac:dyDescent="0.3">
      <c r="A84" s="3" t="s">
        <v>121</v>
      </c>
      <c r="B84" s="3" t="s">
        <v>172</v>
      </c>
      <c r="C84" s="3" t="s">
        <v>54</v>
      </c>
      <c r="D84" s="17">
        <v>957.87727318829127</v>
      </c>
      <c r="E84" s="7">
        <v>28000</v>
      </c>
      <c r="F84" s="7">
        <v>54</v>
      </c>
      <c r="G84" s="8">
        <v>1.2</v>
      </c>
      <c r="H84" s="8">
        <f t="shared" si="28"/>
        <v>0.23215762407325871</v>
      </c>
    </row>
    <row r="85" spans="1:8" x14ac:dyDescent="0.3">
      <c r="A85" s="3" t="s">
        <v>121</v>
      </c>
      <c r="B85" s="3" t="s">
        <v>172</v>
      </c>
      <c r="C85" s="3" t="s">
        <v>54</v>
      </c>
      <c r="D85" s="17">
        <v>957.87727318829127</v>
      </c>
      <c r="E85" s="7">
        <v>28000</v>
      </c>
      <c r="F85" s="7">
        <v>54</v>
      </c>
      <c r="G85" s="8">
        <v>1.2</v>
      </c>
      <c r="H85" s="8">
        <f t="shared" si="28"/>
        <v>0.23215762407325871</v>
      </c>
    </row>
    <row r="86" spans="1:8" x14ac:dyDescent="0.3">
      <c r="A86" s="3" t="s">
        <v>138</v>
      </c>
      <c r="B86" s="3" t="s">
        <v>172</v>
      </c>
      <c r="C86" s="3" t="s">
        <v>54</v>
      </c>
      <c r="D86" s="17">
        <v>156.17573963962701</v>
      </c>
      <c r="E86" s="7">
        <v>28000</v>
      </c>
      <c r="F86" s="7">
        <v>54</v>
      </c>
      <c r="G86" s="8">
        <v>1.2</v>
      </c>
      <c r="H86" s="8">
        <f t="shared" si="28"/>
        <v>5.1159546209251595E-2</v>
      </c>
    </row>
    <row r="87" spans="1:8" x14ac:dyDescent="0.3">
      <c r="A87" s="3" t="s">
        <v>137</v>
      </c>
      <c r="B87" s="3" t="s">
        <v>172</v>
      </c>
      <c r="C87" s="3" t="s">
        <v>54</v>
      </c>
      <c r="D87" s="17">
        <v>110.447100112201</v>
      </c>
      <c r="E87" s="7">
        <v>28000</v>
      </c>
      <c r="F87" s="7">
        <v>54</v>
      </c>
      <c r="G87" s="8">
        <v>1.2</v>
      </c>
      <c r="H87" s="8">
        <f t="shared" si="28"/>
        <v>4.3281955858497083E-2</v>
      </c>
    </row>
    <row r="88" spans="1:8" x14ac:dyDescent="0.3">
      <c r="A88" s="3" t="s">
        <v>140</v>
      </c>
      <c r="B88" s="3" t="s">
        <v>172</v>
      </c>
      <c r="C88" s="3" t="s">
        <v>54</v>
      </c>
      <c r="D88" s="17">
        <v>529.83595234566405</v>
      </c>
      <c r="E88" s="7">
        <v>28000</v>
      </c>
      <c r="F88" s="7">
        <v>54</v>
      </c>
      <c r="G88" s="8">
        <v>1.2</v>
      </c>
      <c r="H88" s="8">
        <f t="shared" si="28"/>
        <v>0.12831444367051925</v>
      </c>
    </row>
    <row r="89" spans="1:8" x14ac:dyDescent="0.3">
      <c r="A89" s="3" t="s">
        <v>133</v>
      </c>
      <c r="B89" s="3" t="s">
        <v>172</v>
      </c>
      <c r="C89" s="3" t="s">
        <v>54</v>
      </c>
      <c r="D89" s="17">
        <v>107.70066284834</v>
      </c>
      <c r="E89" s="7">
        <v>28000</v>
      </c>
      <c r="F89" s="7">
        <v>54</v>
      </c>
      <c r="G89" s="8">
        <v>1.2</v>
      </c>
      <c r="H89" s="8">
        <f t="shared" si="28"/>
        <v>4.2827086160172077E-2</v>
      </c>
    </row>
    <row r="90" spans="1:8" x14ac:dyDescent="0.3">
      <c r="A90" s="3" t="s">
        <v>115</v>
      </c>
      <c r="B90" s="3" t="s">
        <v>172</v>
      </c>
      <c r="C90" s="3" t="s">
        <v>54</v>
      </c>
      <c r="D90" s="17">
        <v>699.09099735534801</v>
      </c>
      <c r="E90" s="7">
        <v>28000</v>
      </c>
      <c r="F90" s="7">
        <v>54</v>
      </c>
      <c r="G90" s="8">
        <v>1.2</v>
      </c>
      <c r="H90" s="8">
        <f t="shared" ref="H90:H96" si="29">(E90+(F90*(D90^G90)))/1000000</f>
        <v>0.16790531421075439</v>
      </c>
    </row>
    <row r="91" spans="1:8" x14ac:dyDescent="0.3">
      <c r="A91" s="3" t="s">
        <v>186</v>
      </c>
      <c r="B91" s="3" t="s">
        <v>172</v>
      </c>
      <c r="C91" s="3" t="s">
        <v>54</v>
      </c>
      <c r="D91" s="17">
        <v>584.06768168912095</v>
      </c>
      <c r="E91" s="7">
        <v>28000</v>
      </c>
      <c r="F91" s="7">
        <v>54</v>
      </c>
      <c r="G91" s="8">
        <v>1.2</v>
      </c>
      <c r="H91" s="8">
        <f t="shared" si="29"/>
        <v>0.14075857299017522</v>
      </c>
    </row>
    <row r="92" spans="1:8" x14ac:dyDescent="0.3">
      <c r="A92" s="3" t="s">
        <v>189</v>
      </c>
      <c r="B92" s="3" t="s">
        <v>172</v>
      </c>
      <c r="C92" s="3" t="s">
        <v>54</v>
      </c>
      <c r="D92" s="17">
        <v>349.295667223061</v>
      </c>
      <c r="E92" s="7">
        <v>28000</v>
      </c>
      <c r="F92" s="7">
        <v>54</v>
      </c>
      <c r="G92" s="8">
        <v>1.2</v>
      </c>
      <c r="H92" s="8">
        <f t="shared" si="29"/>
        <v>8.8845098439450876E-2</v>
      </c>
    </row>
    <row r="93" spans="1:8" x14ac:dyDescent="0.3">
      <c r="A93" s="3" t="s">
        <v>118</v>
      </c>
      <c r="B93" s="3" t="s">
        <v>172</v>
      </c>
      <c r="C93" s="3" t="s">
        <v>54</v>
      </c>
      <c r="D93" s="17">
        <v>98.457936559813405</v>
      </c>
      <c r="E93" s="7">
        <v>28000</v>
      </c>
      <c r="F93" s="7">
        <v>54</v>
      </c>
      <c r="G93" s="8">
        <v>1.2</v>
      </c>
      <c r="H93" s="8">
        <f t="shared" si="29"/>
        <v>4.1313573356589792E-2</v>
      </c>
    </row>
    <row r="94" spans="1:8" x14ac:dyDescent="0.3">
      <c r="A94" s="3" t="s">
        <v>117</v>
      </c>
      <c r="B94" s="3" t="s">
        <v>172</v>
      </c>
      <c r="C94" s="3" t="s">
        <v>54</v>
      </c>
      <c r="D94" s="17">
        <v>35.064016913787697</v>
      </c>
      <c r="E94" s="7">
        <v>28000</v>
      </c>
      <c r="F94" s="7">
        <v>54</v>
      </c>
      <c r="G94" s="8">
        <v>1.2</v>
      </c>
      <c r="H94" s="8">
        <f t="shared" si="29"/>
        <v>3.1856805700568161E-2</v>
      </c>
    </row>
    <row r="95" spans="1:8" x14ac:dyDescent="0.3">
      <c r="A95" s="3" t="s">
        <v>196</v>
      </c>
      <c r="B95" s="3" t="s">
        <v>172</v>
      </c>
      <c r="C95" s="3" t="s">
        <v>54</v>
      </c>
      <c r="D95" s="17">
        <v>406.33235765875003</v>
      </c>
      <c r="E95" s="7">
        <v>28000</v>
      </c>
      <c r="F95" s="7">
        <v>54</v>
      </c>
      <c r="G95" s="8">
        <v>1.2</v>
      </c>
      <c r="H95" s="8">
        <f t="shared" si="29"/>
        <v>0.1009543931947096</v>
      </c>
    </row>
    <row r="96" spans="1:8" x14ac:dyDescent="0.3">
      <c r="A96" s="3" t="s">
        <v>108</v>
      </c>
      <c r="B96" s="3" t="s">
        <v>172</v>
      </c>
      <c r="C96" s="3" t="s">
        <v>54</v>
      </c>
      <c r="D96" s="17">
        <v>168.25246126021599</v>
      </c>
      <c r="E96" s="7">
        <v>28000</v>
      </c>
      <c r="F96" s="7">
        <v>54</v>
      </c>
      <c r="G96" s="8">
        <v>1.2</v>
      </c>
      <c r="H96" s="8">
        <f t="shared" si="29"/>
        <v>5.3324884362678127E-2</v>
      </c>
    </row>
    <row r="97" spans="1:8" x14ac:dyDescent="0.3">
      <c r="A97" s="3" t="s">
        <v>109</v>
      </c>
      <c r="B97" s="3" t="s">
        <v>172</v>
      </c>
      <c r="C97" s="3" t="s">
        <v>54</v>
      </c>
      <c r="D97" s="17">
        <v>2.8414751729144201</v>
      </c>
      <c r="E97" s="7">
        <v>28000</v>
      </c>
      <c r="F97" s="7">
        <v>54</v>
      </c>
      <c r="G97" s="8">
        <v>1.2</v>
      </c>
      <c r="H97" s="8">
        <f t="shared" ref="H97:H150" si="30">(E97+(F97*(D97^G97)))/1000000</f>
        <v>2.8189080350539401E-2</v>
      </c>
    </row>
    <row r="98" spans="1:8" x14ac:dyDescent="0.3">
      <c r="A98" s="3" t="s">
        <v>110</v>
      </c>
      <c r="B98" s="3" t="s">
        <v>172</v>
      </c>
      <c r="C98" s="3" t="s">
        <v>54</v>
      </c>
      <c r="D98" s="17">
        <v>937.87467015377001</v>
      </c>
      <c r="E98" s="7">
        <v>28000</v>
      </c>
      <c r="F98" s="7">
        <v>54</v>
      </c>
      <c r="G98" s="8">
        <v>1.2</v>
      </c>
      <c r="H98" s="8">
        <f t="shared" si="30"/>
        <v>0.22705245022910647</v>
      </c>
    </row>
    <row r="99" spans="1:8" x14ac:dyDescent="0.3">
      <c r="A99" s="3" t="s">
        <v>110</v>
      </c>
      <c r="B99" s="3" t="s">
        <v>172</v>
      </c>
      <c r="C99" s="3" t="s">
        <v>54</v>
      </c>
      <c r="D99" s="17">
        <v>937.87467015377001</v>
      </c>
      <c r="E99" s="7">
        <v>28000</v>
      </c>
      <c r="F99" s="7">
        <v>54</v>
      </c>
      <c r="G99" s="8">
        <v>1.2</v>
      </c>
      <c r="H99" s="8">
        <f t="shared" si="30"/>
        <v>0.22705245022910647</v>
      </c>
    </row>
    <row r="100" spans="1:8" x14ac:dyDescent="0.3">
      <c r="A100" s="3" t="s">
        <v>126</v>
      </c>
      <c r="B100" s="3" t="s">
        <v>172</v>
      </c>
      <c r="C100" s="3" t="s">
        <v>54</v>
      </c>
      <c r="D100" s="17">
        <v>0.17639801430131799</v>
      </c>
      <c r="E100" s="7">
        <v>28000</v>
      </c>
      <c r="F100" s="7">
        <v>54</v>
      </c>
      <c r="G100" s="8">
        <v>1.2</v>
      </c>
      <c r="H100" s="8">
        <f t="shared" si="30"/>
        <v>2.8006732652359135E-2</v>
      </c>
    </row>
    <row r="101" spans="1:8" x14ac:dyDescent="0.3">
      <c r="A101" s="3" t="s">
        <v>145</v>
      </c>
      <c r="B101" s="3" t="s">
        <v>172</v>
      </c>
      <c r="C101" s="3" t="s">
        <v>54</v>
      </c>
      <c r="D101" s="17">
        <v>200.180029941269</v>
      </c>
      <c r="E101" s="7">
        <v>28000</v>
      </c>
      <c r="F101" s="7">
        <v>54</v>
      </c>
      <c r="G101" s="8">
        <v>1.2</v>
      </c>
      <c r="H101" s="8">
        <f t="shared" si="30"/>
        <v>5.9195981898494926E-2</v>
      </c>
    </row>
    <row r="102" spans="1:8" x14ac:dyDescent="0.3">
      <c r="A102" s="3" t="s">
        <v>144</v>
      </c>
      <c r="B102" s="3" t="s">
        <v>172</v>
      </c>
      <c r="C102" s="3" t="s">
        <v>54</v>
      </c>
      <c r="D102" s="17">
        <v>60.334658689947602</v>
      </c>
      <c r="E102" s="7">
        <v>28000</v>
      </c>
      <c r="F102" s="7">
        <v>54</v>
      </c>
      <c r="G102" s="8">
        <v>1.2</v>
      </c>
      <c r="H102" s="8">
        <f t="shared" si="30"/>
        <v>3.5397312947712846E-2</v>
      </c>
    </row>
    <row r="103" spans="1:8" x14ac:dyDescent="0.3">
      <c r="A103" s="3" t="s">
        <v>122</v>
      </c>
      <c r="B103" s="3" t="s">
        <v>172</v>
      </c>
      <c r="C103" s="3" t="s">
        <v>54</v>
      </c>
      <c r="D103" s="17">
        <v>259.51892963344301</v>
      </c>
      <c r="E103" s="7">
        <v>28000</v>
      </c>
      <c r="F103" s="7">
        <v>54</v>
      </c>
      <c r="G103" s="8">
        <v>1.2</v>
      </c>
      <c r="H103" s="8">
        <f t="shared" si="30"/>
        <v>7.059872585810599E-2</v>
      </c>
    </row>
    <row r="104" spans="1:8" x14ac:dyDescent="0.3">
      <c r="A104" s="3" t="s">
        <v>123</v>
      </c>
      <c r="B104" s="3" t="s">
        <v>172</v>
      </c>
      <c r="C104" s="3" t="s">
        <v>54</v>
      </c>
      <c r="D104" s="17">
        <v>540.62278934769199</v>
      </c>
      <c r="E104" s="7">
        <v>28000</v>
      </c>
      <c r="F104" s="7">
        <v>54</v>
      </c>
      <c r="G104" s="8">
        <v>1.2</v>
      </c>
      <c r="H104" s="8">
        <f t="shared" si="30"/>
        <v>0.13077014719522009</v>
      </c>
    </row>
    <row r="105" spans="1:8" x14ac:dyDescent="0.3">
      <c r="A105" s="3" t="s">
        <v>141</v>
      </c>
      <c r="B105" s="3" t="s">
        <v>172</v>
      </c>
      <c r="C105" s="3" t="s">
        <v>54</v>
      </c>
      <c r="D105" s="17">
        <v>996.07885588411341</v>
      </c>
      <c r="E105" s="7">
        <v>28000</v>
      </c>
      <c r="F105" s="7">
        <v>54</v>
      </c>
      <c r="G105" s="8">
        <v>1.2</v>
      </c>
      <c r="H105" s="8">
        <f t="shared" si="30"/>
        <v>0.24196671809624576</v>
      </c>
    </row>
    <row r="106" spans="1:8" x14ac:dyDescent="0.3">
      <c r="A106" s="3" t="s">
        <v>141</v>
      </c>
      <c r="B106" s="3" t="s">
        <v>172</v>
      </c>
      <c r="C106" s="3" t="s">
        <v>54</v>
      </c>
      <c r="D106" s="17">
        <v>996.07885588411341</v>
      </c>
      <c r="E106" s="7">
        <v>28000</v>
      </c>
      <c r="F106" s="7">
        <v>54</v>
      </c>
      <c r="G106" s="8">
        <v>1.2</v>
      </c>
      <c r="H106" s="8">
        <f t="shared" si="30"/>
        <v>0.24196671809624576</v>
      </c>
    </row>
    <row r="107" spans="1:8" x14ac:dyDescent="0.3">
      <c r="A107" s="3" t="s">
        <v>141</v>
      </c>
      <c r="B107" s="3" t="s">
        <v>172</v>
      </c>
      <c r="C107" s="3" t="s">
        <v>54</v>
      </c>
      <c r="D107" s="17">
        <v>996.07885588411341</v>
      </c>
      <c r="E107" s="7">
        <v>28000</v>
      </c>
      <c r="F107" s="7">
        <v>54</v>
      </c>
      <c r="G107" s="8">
        <v>1.2</v>
      </c>
      <c r="H107" s="8">
        <f t="shared" si="30"/>
        <v>0.24196671809624576</v>
      </c>
    </row>
    <row r="108" spans="1:8" x14ac:dyDescent="0.3">
      <c r="A108" s="3" t="s">
        <v>141</v>
      </c>
      <c r="B108" s="3" t="s">
        <v>172</v>
      </c>
      <c r="C108" s="3" t="s">
        <v>54</v>
      </c>
      <c r="D108" s="17">
        <v>996.07885588411341</v>
      </c>
      <c r="E108" s="7">
        <v>28000</v>
      </c>
      <c r="F108" s="7">
        <v>54</v>
      </c>
      <c r="G108" s="8">
        <v>1.2</v>
      </c>
      <c r="H108" s="8">
        <f t="shared" si="30"/>
        <v>0.24196671809624576</v>
      </c>
    </row>
    <row r="109" spans="1:8" x14ac:dyDescent="0.3">
      <c r="A109" s="3" t="s">
        <v>141</v>
      </c>
      <c r="B109" s="3" t="s">
        <v>172</v>
      </c>
      <c r="C109" s="3" t="s">
        <v>54</v>
      </c>
      <c r="D109" s="17">
        <v>996.07885588411341</v>
      </c>
      <c r="E109" s="7">
        <v>28000</v>
      </c>
      <c r="F109" s="7">
        <v>54</v>
      </c>
      <c r="G109" s="8">
        <v>1.2</v>
      </c>
      <c r="H109" s="8">
        <f t="shared" si="30"/>
        <v>0.24196671809624576</v>
      </c>
    </row>
    <row r="110" spans="1:8" x14ac:dyDescent="0.3">
      <c r="A110" s="3" t="s">
        <v>141</v>
      </c>
      <c r="B110" s="3" t="s">
        <v>172</v>
      </c>
      <c r="C110" s="3" t="s">
        <v>54</v>
      </c>
      <c r="D110" s="17">
        <v>996.07885588411341</v>
      </c>
      <c r="E110" s="7">
        <v>28000</v>
      </c>
      <c r="F110" s="7">
        <v>54</v>
      </c>
      <c r="G110" s="8">
        <v>1.2</v>
      </c>
      <c r="H110" s="8">
        <f t="shared" si="30"/>
        <v>0.24196671809624576</v>
      </c>
    </row>
    <row r="111" spans="1:8" x14ac:dyDescent="0.3">
      <c r="A111" s="3" t="s">
        <v>141</v>
      </c>
      <c r="B111" s="3" t="s">
        <v>172</v>
      </c>
      <c r="C111" s="3" t="s">
        <v>54</v>
      </c>
      <c r="D111" s="17">
        <v>996.07885588411341</v>
      </c>
      <c r="E111" s="7">
        <v>28000</v>
      </c>
      <c r="F111" s="7">
        <v>54</v>
      </c>
      <c r="G111" s="8">
        <v>1.2</v>
      </c>
      <c r="H111" s="8">
        <f t="shared" si="30"/>
        <v>0.24196671809624576</v>
      </c>
    </row>
    <row r="112" spans="1:8" x14ac:dyDescent="0.3">
      <c r="A112" s="3" t="s">
        <v>141</v>
      </c>
      <c r="B112" s="3" t="s">
        <v>172</v>
      </c>
      <c r="C112" s="3" t="s">
        <v>54</v>
      </c>
      <c r="D112" s="17">
        <v>996.07885588411341</v>
      </c>
      <c r="E112" s="7">
        <v>28000</v>
      </c>
      <c r="F112" s="7">
        <v>54</v>
      </c>
      <c r="G112" s="8">
        <v>1.2</v>
      </c>
      <c r="H112" s="8">
        <f t="shared" si="30"/>
        <v>0.24196671809624576</v>
      </c>
    </row>
    <row r="113" spans="1:8" x14ac:dyDescent="0.3">
      <c r="A113" s="3" t="s">
        <v>141</v>
      </c>
      <c r="B113" s="3" t="s">
        <v>172</v>
      </c>
      <c r="C113" s="3" t="s">
        <v>54</v>
      </c>
      <c r="D113" s="17">
        <v>996.07885588411341</v>
      </c>
      <c r="E113" s="7">
        <v>28000</v>
      </c>
      <c r="F113" s="7">
        <v>54</v>
      </c>
      <c r="G113" s="8">
        <v>1.2</v>
      </c>
      <c r="H113" s="8">
        <f t="shared" si="30"/>
        <v>0.24196671809624576</v>
      </c>
    </row>
    <row r="114" spans="1:8" x14ac:dyDescent="0.3">
      <c r="A114" s="3" t="s">
        <v>141</v>
      </c>
      <c r="B114" s="3" t="s">
        <v>172</v>
      </c>
      <c r="C114" s="3" t="s">
        <v>54</v>
      </c>
      <c r="D114" s="17">
        <v>996.07885588411341</v>
      </c>
      <c r="E114" s="7">
        <v>28000</v>
      </c>
      <c r="F114" s="7">
        <v>54</v>
      </c>
      <c r="G114" s="8">
        <v>1.2</v>
      </c>
      <c r="H114" s="8">
        <f t="shared" si="30"/>
        <v>0.24196671809624576</v>
      </c>
    </row>
    <row r="115" spans="1:8" x14ac:dyDescent="0.3">
      <c r="A115" s="3" t="s">
        <v>141</v>
      </c>
      <c r="B115" s="3" t="s">
        <v>172</v>
      </c>
      <c r="C115" s="3" t="s">
        <v>54</v>
      </c>
      <c r="D115" s="17">
        <v>996.07885588411341</v>
      </c>
      <c r="E115" s="7">
        <v>28000</v>
      </c>
      <c r="F115" s="7">
        <v>54</v>
      </c>
      <c r="G115" s="8">
        <v>1.2</v>
      </c>
      <c r="H115" s="8">
        <f t="shared" si="30"/>
        <v>0.24196671809624576</v>
      </c>
    </row>
    <row r="116" spans="1:8" x14ac:dyDescent="0.3">
      <c r="A116" s="3" t="s">
        <v>141</v>
      </c>
      <c r="B116" s="3" t="s">
        <v>172</v>
      </c>
      <c r="C116" s="3" t="s">
        <v>54</v>
      </c>
      <c r="D116" s="17">
        <v>996.07885588411341</v>
      </c>
      <c r="E116" s="7">
        <v>28000</v>
      </c>
      <c r="F116" s="7">
        <v>54</v>
      </c>
      <c r="G116" s="8">
        <v>1.2</v>
      </c>
      <c r="H116" s="8">
        <f t="shared" si="30"/>
        <v>0.24196671809624576</v>
      </c>
    </row>
    <row r="117" spans="1:8" x14ac:dyDescent="0.3">
      <c r="A117" s="3" t="s">
        <v>141</v>
      </c>
      <c r="B117" s="3" t="s">
        <v>172</v>
      </c>
      <c r="C117" s="3" t="s">
        <v>54</v>
      </c>
      <c r="D117" s="17">
        <v>996.07885588411341</v>
      </c>
      <c r="E117" s="7">
        <v>28000</v>
      </c>
      <c r="F117" s="7">
        <v>54</v>
      </c>
      <c r="G117" s="8">
        <v>1.2</v>
      </c>
      <c r="H117" s="8">
        <f t="shared" si="30"/>
        <v>0.24196671809624576</v>
      </c>
    </row>
    <row r="118" spans="1:8" x14ac:dyDescent="0.3">
      <c r="A118" s="3" t="s">
        <v>141</v>
      </c>
      <c r="B118" s="3" t="s">
        <v>172</v>
      </c>
      <c r="C118" s="3" t="s">
        <v>54</v>
      </c>
      <c r="D118" s="17">
        <v>996.07885588411341</v>
      </c>
      <c r="E118" s="7">
        <v>28000</v>
      </c>
      <c r="F118" s="7">
        <v>54</v>
      </c>
      <c r="G118" s="8">
        <v>1.2</v>
      </c>
      <c r="H118" s="8">
        <f t="shared" si="30"/>
        <v>0.24196671809624576</v>
      </c>
    </row>
    <row r="119" spans="1:8" x14ac:dyDescent="0.3">
      <c r="A119" s="3" t="s">
        <v>141</v>
      </c>
      <c r="B119" s="3" t="s">
        <v>172</v>
      </c>
      <c r="C119" s="3" t="s">
        <v>54</v>
      </c>
      <c r="D119" s="17">
        <v>996.07885588411341</v>
      </c>
      <c r="E119" s="7">
        <v>28000</v>
      </c>
      <c r="F119" s="7">
        <v>54</v>
      </c>
      <c r="G119" s="8">
        <v>1.2</v>
      </c>
      <c r="H119" s="8">
        <f t="shared" si="30"/>
        <v>0.24196671809624576</v>
      </c>
    </row>
    <row r="120" spans="1:8" x14ac:dyDescent="0.3">
      <c r="A120" s="3" t="s">
        <v>141</v>
      </c>
      <c r="B120" s="3" t="s">
        <v>172</v>
      </c>
      <c r="C120" s="3" t="s">
        <v>54</v>
      </c>
      <c r="D120" s="17">
        <v>996.07885588411341</v>
      </c>
      <c r="E120" s="7">
        <v>28000</v>
      </c>
      <c r="F120" s="7">
        <v>54</v>
      </c>
      <c r="G120" s="8">
        <v>1.2</v>
      </c>
      <c r="H120" s="8">
        <f t="shared" si="30"/>
        <v>0.24196671809624576</v>
      </c>
    </row>
    <row r="121" spans="1:8" x14ac:dyDescent="0.3">
      <c r="A121" s="3" t="s">
        <v>141</v>
      </c>
      <c r="B121" s="3" t="s">
        <v>172</v>
      </c>
      <c r="C121" s="3" t="s">
        <v>54</v>
      </c>
      <c r="D121" s="17">
        <v>996.07885588411341</v>
      </c>
      <c r="E121" s="7">
        <v>28000</v>
      </c>
      <c r="F121" s="7">
        <v>54</v>
      </c>
      <c r="G121" s="8">
        <v>1.2</v>
      </c>
      <c r="H121" s="8">
        <f t="shared" si="30"/>
        <v>0.24196671809624576</v>
      </c>
    </row>
    <row r="122" spans="1:8" x14ac:dyDescent="0.3">
      <c r="A122" s="3" t="s">
        <v>141</v>
      </c>
      <c r="B122" s="3" t="s">
        <v>172</v>
      </c>
      <c r="C122" s="3" t="s">
        <v>54</v>
      </c>
      <c r="D122" s="17">
        <v>996.07885588411341</v>
      </c>
      <c r="E122" s="7">
        <v>28000</v>
      </c>
      <c r="F122" s="7">
        <v>54</v>
      </c>
      <c r="G122" s="8">
        <v>1.2</v>
      </c>
      <c r="H122" s="8">
        <f t="shared" si="30"/>
        <v>0.24196671809624576</v>
      </c>
    </row>
    <row r="123" spans="1:8" x14ac:dyDescent="0.3">
      <c r="A123" s="3" t="s">
        <v>141</v>
      </c>
      <c r="B123" s="3" t="s">
        <v>172</v>
      </c>
      <c r="C123" s="3" t="s">
        <v>54</v>
      </c>
      <c r="D123" s="17">
        <v>996.07885588411341</v>
      </c>
      <c r="E123" s="7">
        <v>28000</v>
      </c>
      <c r="F123" s="7">
        <v>54</v>
      </c>
      <c r="G123" s="8">
        <v>1.2</v>
      </c>
      <c r="H123" s="8">
        <f t="shared" si="30"/>
        <v>0.24196671809624576</v>
      </c>
    </row>
    <row r="124" spans="1:8" x14ac:dyDescent="0.3">
      <c r="A124" s="3" t="s">
        <v>141</v>
      </c>
      <c r="B124" s="3" t="s">
        <v>172</v>
      </c>
      <c r="C124" s="3" t="s">
        <v>54</v>
      </c>
      <c r="D124" s="17">
        <v>996.07885588411341</v>
      </c>
      <c r="E124" s="7">
        <v>28000</v>
      </c>
      <c r="F124" s="7">
        <v>54</v>
      </c>
      <c r="G124" s="8">
        <v>1.2</v>
      </c>
      <c r="H124" s="8">
        <f t="shared" si="30"/>
        <v>0.24196671809624576</v>
      </c>
    </row>
    <row r="125" spans="1:8" x14ac:dyDescent="0.3">
      <c r="A125" s="3" t="s">
        <v>141</v>
      </c>
      <c r="B125" s="3" t="s">
        <v>172</v>
      </c>
      <c r="C125" s="3" t="s">
        <v>54</v>
      </c>
      <c r="D125" s="17">
        <v>996.07885588411341</v>
      </c>
      <c r="E125" s="7">
        <v>28000</v>
      </c>
      <c r="F125" s="7">
        <v>54</v>
      </c>
      <c r="G125" s="8">
        <v>1.2</v>
      </c>
      <c r="H125" s="8">
        <f t="shared" si="30"/>
        <v>0.24196671809624576</v>
      </c>
    </row>
    <row r="126" spans="1:8" x14ac:dyDescent="0.3">
      <c r="A126" s="3" t="s">
        <v>141</v>
      </c>
      <c r="B126" s="3" t="s">
        <v>172</v>
      </c>
      <c r="C126" s="3" t="s">
        <v>54</v>
      </c>
      <c r="D126" s="17">
        <v>996.07885588411341</v>
      </c>
      <c r="E126" s="7">
        <v>28000</v>
      </c>
      <c r="F126" s="7">
        <v>54</v>
      </c>
      <c r="G126" s="8">
        <v>1.2</v>
      </c>
      <c r="H126" s="8">
        <f t="shared" si="30"/>
        <v>0.24196671809624576</v>
      </c>
    </row>
    <row r="127" spans="1:8" x14ac:dyDescent="0.3">
      <c r="A127" s="3" t="s">
        <v>141</v>
      </c>
      <c r="B127" s="3" t="s">
        <v>172</v>
      </c>
      <c r="C127" s="3" t="s">
        <v>54</v>
      </c>
      <c r="D127" s="17">
        <v>996.07885588411341</v>
      </c>
      <c r="E127" s="7">
        <v>28000</v>
      </c>
      <c r="F127" s="7">
        <v>54</v>
      </c>
      <c r="G127" s="8">
        <v>1.2</v>
      </c>
      <c r="H127" s="8">
        <f t="shared" si="30"/>
        <v>0.24196671809624576</v>
      </c>
    </row>
    <row r="128" spans="1:8" x14ac:dyDescent="0.3">
      <c r="A128" s="3" t="s">
        <v>141</v>
      </c>
      <c r="B128" s="3" t="s">
        <v>172</v>
      </c>
      <c r="C128" s="3" t="s">
        <v>54</v>
      </c>
      <c r="D128" s="17">
        <v>996.07885588411341</v>
      </c>
      <c r="E128" s="7">
        <v>28000</v>
      </c>
      <c r="F128" s="7">
        <v>54</v>
      </c>
      <c r="G128" s="8">
        <v>1.2</v>
      </c>
      <c r="H128" s="8">
        <f t="shared" si="30"/>
        <v>0.24196671809624576</v>
      </c>
    </row>
    <row r="129" spans="1:8" x14ac:dyDescent="0.3">
      <c r="A129" s="3" t="s">
        <v>141</v>
      </c>
      <c r="B129" s="3" t="s">
        <v>172</v>
      </c>
      <c r="C129" s="3" t="s">
        <v>54</v>
      </c>
      <c r="D129" s="17">
        <v>996.07885588411341</v>
      </c>
      <c r="E129" s="7">
        <v>28000</v>
      </c>
      <c r="F129" s="7">
        <v>54</v>
      </c>
      <c r="G129" s="8">
        <v>1.2</v>
      </c>
      <c r="H129" s="8">
        <f t="shared" si="30"/>
        <v>0.24196671809624576</v>
      </c>
    </row>
    <row r="130" spans="1:8" x14ac:dyDescent="0.3">
      <c r="A130" s="3" t="s">
        <v>141</v>
      </c>
      <c r="B130" s="3" t="s">
        <v>172</v>
      </c>
      <c r="C130" s="3" t="s">
        <v>54</v>
      </c>
      <c r="D130" s="17">
        <v>996.07885588411341</v>
      </c>
      <c r="E130" s="7">
        <v>28000</v>
      </c>
      <c r="F130" s="7">
        <v>54</v>
      </c>
      <c r="G130" s="8">
        <v>1.2</v>
      </c>
      <c r="H130" s="8">
        <f t="shared" si="30"/>
        <v>0.24196671809624576</v>
      </c>
    </row>
    <row r="131" spans="1:8" x14ac:dyDescent="0.3">
      <c r="A131" s="3" t="s">
        <v>141</v>
      </c>
      <c r="B131" s="3" t="s">
        <v>172</v>
      </c>
      <c r="C131" s="3" t="s">
        <v>54</v>
      </c>
      <c r="D131" s="17">
        <v>996.07885588411341</v>
      </c>
      <c r="E131" s="7">
        <v>28000</v>
      </c>
      <c r="F131" s="7">
        <v>54</v>
      </c>
      <c r="G131" s="8">
        <v>1.2</v>
      </c>
      <c r="H131" s="8">
        <f t="shared" si="30"/>
        <v>0.24196671809624576</v>
      </c>
    </row>
    <row r="132" spans="1:8" x14ac:dyDescent="0.3">
      <c r="A132" s="3" t="s">
        <v>141</v>
      </c>
      <c r="B132" s="3" t="s">
        <v>172</v>
      </c>
      <c r="C132" s="3" t="s">
        <v>54</v>
      </c>
      <c r="D132" s="17">
        <v>996.07885588411341</v>
      </c>
      <c r="E132" s="7">
        <v>28000</v>
      </c>
      <c r="F132" s="7">
        <v>54</v>
      </c>
      <c r="G132" s="8">
        <v>1.2</v>
      </c>
      <c r="H132" s="8">
        <f t="shared" si="30"/>
        <v>0.24196671809624576</v>
      </c>
    </row>
    <row r="133" spans="1:8" x14ac:dyDescent="0.3">
      <c r="A133" s="3" t="s">
        <v>141</v>
      </c>
      <c r="B133" s="3" t="s">
        <v>172</v>
      </c>
      <c r="C133" s="3" t="s">
        <v>54</v>
      </c>
      <c r="D133" s="17">
        <v>996.07885588411341</v>
      </c>
      <c r="E133" s="7">
        <v>28000</v>
      </c>
      <c r="F133" s="7">
        <v>54</v>
      </c>
      <c r="G133" s="8">
        <v>1.2</v>
      </c>
      <c r="H133" s="8">
        <f t="shared" si="30"/>
        <v>0.24196671809624576</v>
      </c>
    </row>
    <row r="134" spans="1:8" x14ac:dyDescent="0.3">
      <c r="A134" s="3" t="s">
        <v>141</v>
      </c>
      <c r="B134" s="3" t="s">
        <v>172</v>
      </c>
      <c r="C134" s="3" t="s">
        <v>54</v>
      </c>
      <c r="D134" s="17">
        <v>996.07885588411341</v>
      </c>
      <c r="E134" s="7">
        <v>28000</v>
      </c>
      <c r="F134" s="7">
        <v>54</v>
      </c>
      <c r="G134" s="8">
        <v>1.2</v>
      </c>
      <c r="H134" s="8">
        <f t="shared" si="30"/>
        <v>0.24196671809624576</v>
      </c>
    </row>
    <row r="135" spans="1:8" x14ac:dyDescent="0.3">
      <c r="A135" s="3" t="s">
        <v>131</v>
      </c>
      <c r="B135" s="3" t="s">
        <v>172</v>
      </c>
      <c r="C135" s="3" t="s">
        <v>54</v>
      </c>
      <c r="D135" s="17">
        <v>357.022031546113</v>
      </c>
      <c r="E135" s="7">
        <v>28000</v>
      </c>
      <c r="F135" s="7">
        <v>54</v>
      </c>
      <c r="G135" s="8">
        <v>1.2</v>
      </c>
      <c r="H135" s="8">
        <f t="shared" si="30"/>
        <v>9.0463710683616416E-2</v>
      </c>
    </row>
    <row r="136" spans="1:8" x14ac:dyDescent="0.3">
      <c r="A136" s="3" t="s">
        <v>135</v>
      </c>
      <c r="B136" s="3" t="s">
        <v>172</v>
      </c>
      <c r="C136" s="3" t="s">
        <v>54</v>
      </c>
      <c r="D136" s="17">
        <v>62.574798657295901</v>
      </c>
      <c r="E136" s="7">
        <v>28000</v>
      </c>
      <c r="F136" s="7">
        <v>54</v>
      </c>
      <c r="G136" s="8">
        <v>1.2</v>
      </c>
      <c r="H136" s="8">
        <f t="shared" si="30"/>
        <v>3.57281067576522E-2</v>
      </c>
    </row>
    <row r="137" spans="1:8" x14ac:dyDescent="0.3">
      <c r="A137" s="3" t="s">
        <v>191</v>
      </c>
      <c r="B137" s="3" t="s">
        <v>172</v>
      </c>
      <c r="C137" s="3" t="s">
        <v>54</v>
      </c>
      <c r="D137" s="17">
        <v>302.91757938374002</v>
      </c>
      <c r="E137" s="7">
        <v>28000</v>
      </c>
      <c r="F137" s="7">
        <v>54</v>
      </c>
      <c r="G137" s="8">
        <v>1.2</v>
      </c>
      <c r="H137" s="8">
        <f t="shared" si="30"/>
        <v>7.9284146611795059E-2</v>
      </c>
    </row>
    <row r="138" spans="1:8" x14ac:dyDescent="0.3">
      <c r="A138" s="3" t="s">
        <v>184</v>
      </c>
      <c r="B138" s="3" t="s">
        <v>172</v>
      </c>
      <c r="C138" s="3" t="s">
        <v>54</v>
      </c>
      <c r="D138" s="17">
        <v>0.131768116322282</v>
      </c>
      <c r="E138" s="7">
        <v>28000</v>
      </c>
      <c r="F138" s="7">
        <v>54</v>
      </c>
      <c r="G138" s="8">
        <v>1.2</v>
      </c>
      <c r="H138" s="8">
        <f t="shared" si="30"/>
        <v>2.80047442346915E-2</v>
      </c>
    </row>
    <row r="139" spans="1:8" x14ac:dyDescent="0.3">
      <c r="A139" s="3" t="s">
        <v>185</v>
      </c>
      <c r="B139" s="3" t="s">
        <v>172</v>
      </c>
      <c r="C139" s="3" t="s">
        <v>54</v>
      </c>
      <c r="D139" s="17">
        <v>580.537417109025</v>
      </c>
      <c r="E139" s="7">
        <v>28000</v>
      </c>
      <c r="F139" s="7">
        <v>54</v>
      </c>
      <c r="G139" s="8">
        <v>1.2</v>
      </c>
      <c r="H139" s="8">
        <f t="shared" si="30"/>
        <v>0.1399412157892661</v>
      </c>
    </row>
    <row r="140" spans="1:8" x14ac:dyDescent="0.3">
      <c r="A140" s="3" t="s">
        <v>185</v>
      </c>
      <c r="B140" s="3" t="s">
        <v>172</v>
      </c>
      <c r="C140" s="3" t="s">
        <v>54</v>
      </c>
      <c r="D140" s="17">
        <v>580.537417109025</v>
      </c>
      <c r="E140" s="7">
        <v>28000</v>
      </c>
      <c r="F140" s="7">
        <v>54</v>
      </c>
      <c r="G140" s="8">
        <v>1.2</v>
      </c>
      <c r="H140" s="8">
        <f t="shared" si="30"/>
        <v>0.1399412157892661</v>
      </c>
    </row>
    <row r="141" spans="1:8" x14ac:dyDescent="0.3">
      <c r="A141" s="3" t="s">
        <v>125</v>
      </c>
      <c r="B141" s="3" t="s">
        <v>172</v>
      </c>
      <c r="C141" s="3" t="s">
        <v>54</v>
      </c>
      <c r="D141" s="17">
        <v>13.432544168085901</v>
      </c>
      <c r="E141" s="7">
        <v>28000</v>
      </c>
      <c r="F141" s="7">
        <v>54</v>
      </c>
      <c r="G141" s="8">
        <v>1.2</v>
      </c>
      <c r="H141" s="8">
        <f t="shared" si="30"/>
        <v>2.921950530121193E-2</v>
      </c>
    </row>
    <row r="142" spans="1:8" x14ac:dyDescent="0.3">
      <c r="A142" s="3" t="s">
        <v>183</v>
      </c>
      <c r="B142" s="3" t="s">
        <v>172</v>
      </c>
      <c r="C142" s="3" t="s">
        <v>54</v>
      </c>
      <c r="D142" s="17">
        <v>0.45401573942492601</v>
      </c>
      <c r="E142" s="7">
        <v>28000</v>
      </c>
      <c r="F142" s="7">
        <v>54</v>
      </c>
      <c r="G142" s="8">
        <v>1.2</v>
      </c>
      <c r="H142" s="8">
        <f t="shared" si="30"/>
        <v>2.8020935283697285E-2</v>
      </c>
    </row>
    <row r="143" spans="1:8" x14ac:dyDescent="0.3">
      <c r="A143" s="3" t="s">
        <v>116</v>
      </c>
      <c r="B143" s="3" t="s">
        <v>172</v>
      </c>
      <c r="C143" s="3" t="s">
        <v>54</v>
      </c>
      <c r="D143" s="17">
        <v>0.28190798807245598</v>
      </c>
      <c r="E143" s="7">
        <v>28000</v>
      </c>
      <c r="F143" s="7">
        <v>54</v>
      </c>
      <c r="G143" s="8">
        <v>1.2</v>
      </c>
      <c r="H143" s="8">
        <f t="shared" si="30"/>
        <v>2.8011817418568469E-2</v>
      </c>
    </row>
    <row r="144" spans="1:8" x14ac:dyDescent="0.3">
      <c r="A144" s="3" t="s">
        <v>114</v>
      </c>
      <c r="B144" s="3" t="s">
        <v>172</v>
      </c>
      <c r="C144" s="3" t="s">
        <v>54</v>
      </c>
      <c r="D144" s="17">
        <v>230.70020516650399</v>
      </c>
      <c r="E144" s="7">
        <v>28000</v>
      </c>
      <c r="F144" s="7">
        <v>54</v>
      </c>
      <c r="G144" s="8">
        <v>1.2</v>
      </c>
      <c r="H144" s="8">
        <f t="shared" si="30"/>
        <v>6.498718987061701E-2</v>
      </c>
    </row>
    <row r="145" spans="1:8" x14ac:dyDescent="0.3">
      <c r="A145" s="3" t="s">
        <v>132</v>
      </c>
      <c r="B145" s="3" t="s">
        <v>172</v>
      </c>
      <c r="C145" s="3" t="s">
        <v>54</v>
      </c>
      <c r="D145" s="17">
        <v>809.30260467457606</v>
      </c>
      <c r="E145" s="7">
        <v>28000</v>
      </c>
      <c r="F145" s="7">
        <v>54</v>
      </c>
      <c r="G145" s="8">
        <v>1.2</v>
      </c>
      <c r="H145" s="8">
        <f t="shared" si="30"/>
        <v>0.19477343947646669</v>
      </c>
    </row>
    <row r="146" spans="1:8" x14ac:dyDescent="0.3">
      <c r="A146" s="3" t="s">
        <v>132</v>
      </c>
      <c r="B146" s="3" t="s">
        <v>172</v>
      </c>
      <c r="C146" s="3" t="s">
        <v>54</v>
      </c>
      <c r="D146" s="17">
        <v>809.30260467457606</v>
      </c>
      <c r="E146" s="7">
        <v>28000</v>
      </c>
      <c r="F146" s="7">
        <v>54</v>
      </c>
      <c r="G146" s="8">
        <v>1.2</v>
      </c>
      <c r="H146" s="8">
        <f t="shared" si="30"/>
        <v>0.19477343947646669</v>
      </c>
    </row>
    <row r="147" spans="1:8" x14ac:dyDescent="0.3">
      <c r="A147" s="3" t="s">
        <v>132</v>
      </c>
      <c r="B147" s="3" t="s">
        <v>172</v>
      </c>
      <c r="C147" s="3" t="s">
        <v>54</v>
      </c>
      <c r="D147" s="17">
        <v>809.30260467457606</v>
      </c>
      <c r="E147" s="7">
        <v>28000</v>
      </c>
      <c r="F147" s="7">
        <v>54</v>
      </c>
      <c r="G147" s="8">
        <v>1.2</v>
      </c>
      <c r="H147" s="8">
        <f t="shared" si="30"/>
        <v>0.19477343947646669</v>
      </c>
    </row>
    <row r="148" spans="1:8" x14ac:dyDescent="0.3">
      <c r="A148" s="3" t="s">
        <v>132</v>
      </c>
      <c r="B148" s="3" t="s">
        <v>172</v>
      </c>
      <c r="C148" s="3" t="s">
        <v>54</v>
      </c>
      <c r="D148" s="17">
        <v>809.30260467457606</v>
      </c>
      <c r="E148" s="7">
        <v>28000</v>
      </c>
      <c r="F148" s="7">
        <v>54</v>
      </c>
      <c r="G148" s="8">
        <v>1.2</v>
      </c>
      <c r="H148" s="8">
        <f t="shared" si="30"/>
        <v>0.19477343947646669</v>
      </c>
    </row>
    <row r="149" spans="1:8" x14ac:dyDescent="0.3">
      <c r="A149" s="3" t="s">
        <v>132</v>
      </c>
      <c r="B149" s="3" t="s">
        <v>172</v>
      </c>
      <c r="C149" s="3" t="s">
        <v>54</v>
      </c>
      <c r="D149" s="17">
        <v>809.30260467457606</v>
      </c>
      <c r="E149" s="7">
        <v>28000</v>
      </c>
      <c r="F149" s="7">
        <v>54</v>
      </c>
      <c r="G149" s="8">
        <v>1.2</v>
      </c>
      <c r="H149" s="8">
        <f t="shared" si="30"/>
        <v>0.19477343947646669</v>
      </c>
    </row>
    <row r="150" spans="1:8" x14ac:dyDescent="0.3">
      <c r="A150" s="3" t="s">
        <v>112</v>
      </c>
      <c r="B150" s="3" t="s">
        <v>172</v>
      </c>
      <c r="C150" s="3" t="s">
        <v>54</v>
      </c>
      <c r="D150" s="17">
        <v>93.565928277654706</v>
      </c>
      <c r="E150" s="7">
        <v>28000</v>
      </c>
      <c r="F150" s="7">
        <v>54</v>
      </c>
      <c r="G150" s="8">
        <v>1.2</v>
      </c>
      <c r="H150" s="8">
        <f t="shared" si="30"/>
        <v>4.0523768656579674E-2</v>
      </c>
    </row>
    <row r="151" spans="1:8" x14ac:dyDescent="0.3">
      <c r="A151" s="3" t="s">
        <v>113</v>
      </c>
      <c r="B151" s="3" t="s">
        <v>172</v>
      </c>
      <c r="C151" s="3" t="s">
        <v>54</v>
      </c>
      <c r="D151" s="17">
        <v>175.58814111189699</v>
      </c>
      <c r="E151" s="7">
        <v>28000</v>
      </c>
      <c r="F151" s="7">
        <v>54</v>
      </c>
      <c r="G151" s="8">
        <v>1.2</v>
      </c>
      <c r="H151" s="8">
        <f t="shared" ref="H151:H159" si="31">(E151+(F151*(D151^G151)))/1000000</f>
        <v>5.4655570203846406E-2</v>
      </c>
    </row>
    <row r="152" spans="1:8" x14ac:dyDescent="0.3">
      <c r="A152" s="3" t="s">
        <v>143</v>
      </c>
      <c r="B152" s="3" t="s">
        <v>172</v>
      </c>
      <c r="C152" s="3" t="s">
        <v>54</v>
      </c>
      <c r="D152" s="17">
        <v>702.39956249741999</v>
      </c>
      <c r="E152" s="7">
        <v>28000</v>
      </c>
      <c r="F152" s="7">
        <v>54</v>
      </c>
      <c r="G152" s="8">
        <v>1.2</v>
      </c>
      <c r="H152" s="8">
        <f t="shared" si="31"/>
        <v>0.16870024014765209</v>
      </c>
    </row>
    <row r="153" spans="1:8" x14ac:dyDescent="0.3">
      <c r="A153" s="3" t="s">
        <v>256</v>
      </c>
      <c r="B153" s="3" t="s">
        <v>172</v>
      </c>
      <c r="C153" s="3" t="s">
        <v>54</v>
      </c>
      <c r="D153" s="17">
        <v>124.89507216808801</v>
      </c>
      <c r="E153" s="7">
        <v>28000</v>
      </c>
      <c r="F153" s="7">
        <v>54</v>
      </c>
      <c r="G153" s="8">
        <v>1.2</v>
      </c>
      <c r="H153" s="8">
        <f t="shared" si="31"/>
        <v>4.5711205566908851E-2</v>
      </c>
    </row>
    <row r="154" spans="1:8" x14ac:dyDescent="0.3">
      <c r="A154" s="3" t="s">
        <v>106</v>
      </c>
      <c r="B154" s="3" t="s">
        <v>172</v>
      </c>
      <c r="C154" s="3" t="s">
        <v>54</v>
      </c>
      <c r="D154" s="17">
        <v>819.96718164528329</v>
      </c>
      <c r="E154" s="7">
        <v>28000</v>
      </c>
      <c r="F154" s="7">
        <v>54</v>
      </c>
      <c r="G154" s="8">
        <v>1.2</v>
      </c>
      <c r="H154" s="8">
        <f t="shared" si="31"/>
        <v>0.19741408888125878</v>
      </c>
    </row>
    <row r="155" spans="1:8" x14ac:dyDescent="0.3">
      <c r="A155" s="3" t="s">
        <v>106</v>
      </c>
      <c r="B155" s="3" t="s">
        <v>172</v>
      </c>
      <c r="C155" s="3" t="s">
        <v>54</v>
      </c>
      <c r="D155" s="17">
        <v>819.96718164528329</v>
      </c>
      <c r="E155" s="7">
        <v>28000</v>
      </c>
      <c r="F155" s="7">
        <v>54</v>
      </c>
      <c r="G155" s="8">
        <v>1.2</v>
      </c>
      <c r="H155" s="8">
        <f t="shared" si="31"/>
        <v>0.19741408888125878</v>
      </c>
    </row>
    <row r="156" spans="1:8" x14ac:dyDescent="0.3">
      <c r="A156" s="3" t="s">
        <v>106</v>
      </c>
      <c r="B156" s="3" t="s">
        <v>172</v>
      </c>
      <c r="C156" s="3" t="s">
        <v>54</v>
      </c>
      <c r="D156" s="17">
        <v>819.96718164528329</v>
      </c>
      <c r="E156" s="7">
        <v>28000</v>
      </c>
      <c r="F156" s="7">
        <v>54</v>
      </c>
      <c r="G156" s="8">
        <v>1.2</v>
      </c>
      <c r="H156" s="8">
        <f t="shared" si="31"/>
        <v>0.19741408888125878</v>
      </c>
    </row>
    <row r="157" spans="1:8" x14ac:dyDescent="0.3">
      <c r="A157" s="3" t="s">
        <v>107</v>
      </c>
      <c r="B157" s="3" t="s">
        <v>172</v>
      </c>
      <c r="C157" s="3" t="s">
        <v>54</v>
      </c>
      <c r="D157" s="17">
        <v>368.03488359301798</v>
      </c>
      <c r="E157" s="7">
        <v>28000</v>
      </c>
      <c r="F157" s="7">
        <v>54</v>
      </c>
      <c r="G157" s="8">
        <v>1.2</v>
      </c>
      <c r="H157" s="8">
        <f t="shared" si="31"/>
        <v>9.2782923269768919E-2</v>
      </c>
    </row>
    <row r="158" spans="1:8" x14ac:dyDescent="0.3">
      <c r="A158" s="3" t="s">
        <v>142</v>
      </c>
      <c r="B158" s="3" t="s">
        <v>172</v>
      </c>
      <c r="C158" s="3" t="s">
        <v>54</v>
      </c>
      <c r="D158" s="17">
        <v>0.49320972554201598</v>
      </c>
      <c r="E158" s="7">
        <v>28000</v>
      </c>
      <c r="F158" s="7">
        <v>54</v>
      </c>
      <c r="G158" s="8">
        <v>1.2</v>
      </c>
      <c r="H158" s="8">
        <f t="shared" si="31"/>
        <v>2.8023122336542389E-2</v>
      </c>
    </row>
    <row r="159" spans="1:8" x14ac:dyDescent="0.3">
      <c r="A159" s="3" t="s">
        <v>105</v>
      </c>
      <c r="B159" s="3" t="s">
        <v>172</v>
      </c>
      <c r="C159" s="3" t="s">
        <v>54</v>
      </c>
      <c r="D159" s="17">
        <v>8.3308677822963606</v>
      </c>
      <c r="E159" s="7">
        <v>28000</v>
      </c>
      <c r="F159" s="7">
        <v>54</v>
      </c>
      <c r="G159" s="8">
        <v>1.2</v>
      </c>
      <c r="H159" s="8">
        <f t="shared" si="31"/>
        <v>2.8687419820575877E-2</v>
      </c>
    </row>
    <row r="160" spans="1:8" x14ac:dyDescent="0.3">
      <c r="A160" s="3"/>
      <c r="B160" s="2" t="s">
        <v>146</v>
      </c>
      <c r="C160" s="3"/>
      <c r="D160" s="17"/>
      <c r="E160" s="7"/>
      <c r="F160" s="7"/>
      <c r="G160" s="8"/>
      <c r="H160" s="10">
        <f>SUM(H38:H159)</f>
        <v>19.156224634884971</v>
      </c>
    </row>
    <row r="161" spans="1:8" x14ac:dyDescent="0.3">
      <c r="A161" s="40" t="s">
        <v>58</v>
      </c>
      <c r="B161" s="41"/>
      <c r="C161" s="41"/>
      <c r="D161" s="41"/>
      <c r="E161" s="41"/>
      <c r="F161" s="41"/>
      <c r="G161" s="41"/>
      <c r="H161" s="42"/>
    </row>
    <row r="162" spans="1:8" x14ac:dyDescent="0.3">
      <c r="A162" s="5" t="s">
        <v>257</v>
      </c>
      <c r="B162" s="3" t="s">
        <v>156</v>
      </c>
      <c r="C162" s="3" t="s">
        <v>157</v>
      </c>
      <c r="D162" s="8">
        <f>36123721.5221597/3600/1000</f>
        <v>10.034367089488805</v>
      </c>
      <c r="E162" s="7">
        <v>80000</v>
      </c>
      <c r="F162" s="7">
        <v>109000</v>
      </c>
      <c r="G162" s="8">
        <v>0.8</v>
      </c>
      <c r="H162" s="8">
        <f t="shared" ref="H162" si="32">(E162+(F162*(D162^G162)))/1000000</f>
        <v>0.76963371594955987</v>
      </c>
    </row>
    <row r="163" spans="1:8" x14ac:dyDescent="0.3">
      <c r="A163" s="3" t="s">
        <v>154</v>
      </c>
      <c r="B163" s="3" t="s">
        <v>156</v>
      </c>
      <c r="C163" s="3" t="s">
        <v>157</v>
      </c>
      <c r="D163" s="8">
        <f>148589925.203604/3600/1000</f>
        <v>41.27497922322334</v>
      </c>
      <c r="E163" s="7">
        <v>80000</v>
      </c>
      <c r="F163" s="7">
        <v>109000</v>
      </c>
      <c r="G163" s="8">
        <v>0.8</v>
      </c>
      <c r="H163" s="8">
        <f t="shared" ref="H163:H164" si="33">(E163+(F163*(D163^G163)))/1000000</f>
        <v>2.2178438884897065</v>
      </c>
    </row>
    <row r="164" spans="1:8" x14ac:dyDescent="0.3">
      <c r="A164" s="3" t="s">
        <v>155</v>
      </c>
      <c r="B164" s="3" t="s">
        <v>156</v>
      </c>
      <c r="C164" s="3" t="s">
        <v>157</v>
      </c>
      <c r="D164" s="8">
        <f>65764317.4170095/3600/1000</f>
        <v>18.267865949169305</v>
      </c>
      <c r="E164" s="7">
        <v>80000</v>
      </c>
      <c r="F164" s="7">
        <v>109000</v>
      </c>
      <c r="G164" s="8">
        <v>0.8</v>
      </c>
      <c r="H164" s="8">
        <f t="shared" si="33"/>
        <v>1.1937218773545057</v>
      </c>
    </row>
    <row r="165" spans="1:8" x14ac:dyDescent="0.3">
      <c r="A165" s="3"/>
      <c r="B165" s="2" t="s">
        <v>146</v>
      </c>
      <c r="C165" s="3"/>
      <c r="D165" s="17"/>
      <c r="E165" s="7"/>
      <c r="F165" s="7"/>
      <c r="G165" s="8"/>
      <c r="H165" s="10">
        <f>SUM(H162:H164)</f>
        <v>4.1811994817937723</v>
      </c>
    </row>
    <row r="166" spans="1:8" x14ac:dyDescent="0.3">
      <c r="A166" s="37" t="s">
        <v>164</v>
      </c>
      <c r="B166" s="38"/>
      <c r="C166" s="38"/>
      <c r="D166" s="38"/>
      <c r="E166" s="38"/>
      <c r="F166" s="38"/>
      <c r="G166" s="38"/>
      <c r="H166" s="39"/>
    </row>
    <row r="167" spans="1:8" x14ac:dyDescent="0.3">
      <c r="A167" s="3" t="s">
        <v>49</v>
      </c>
      <c r="B167" s="3" t="s">
        <v>173</v>
      </c>
      <c r="C167" s="3" t="s">
        <v>59</v>
      </c>
      <c r="D167" s="17">
        <f t="shared" ref="D167:D176" si="34">Q13</f>
        <v>41601.154258445582</v>
      </c>
      <c r="E167" s="7">
        <v>17400</v>
      </c>
      <c r="F167" s="7">
        <v>79</v>
      </c>
      <c r="G167" s="8">
        <v>0.85</v>
      </c>
      <c r="H167" s="8">
        <f t="shared" si="25"/>
        <v>0.68400208059761292</v>
      </c>
    </row>
    <row r="168" spans="1:8" x14ac:dyDescent="0.3">
      <c r="A168" s="3" t="s">
        <v>50</v>
      </c>
      <c r="B168" s="3" t="s">
        <v>173</v>
      </c>
      <c r="C168" s="3" t="s">
        <v>59</v>
      </c>
      <c r="D168" s="17">
        <f t="shared" si="34"/>
        <v>31860.343451049641</v>
      </c>
      <c r="E168" s="7">
        <v>17400</v>
      </c>
      <c r="F168" s="7">
        <v>79</v>
      </c>
      <c r="G168" s="8">
        <v>0.85</v>
      </c>
      <c r="H168" s="8">
        <f t="shared" si="25"/>
        <v>0.54876136812525367</v>
      </c>
    </row>
    <row r="169" spans="1:8" x14ac:dyDescent="0.3">
      <c r="A169" s="3" t="s">
        <v>147</v>
      </c>
      <c r="B169" s="3" t="s">
        <v>173</v>
      </c>
      <c r="C169" s="3" t="s">
        <v>59</v>
      </c>
      <c r="D169" s="17">
        <f t="shared" si="34"/>
        <v>31860.343451049641</v>
      </c>
      <c r="E169" s="7">
        <v>17400</v>
      </c>
      <c r="F169" s="7">
        <v>79</v>
      </c>
      <c r="G169" s="8">
        <v>0.85</v>
      </c>
      <c r="H169" s="8">
        <f t="shared" si="25"/>
        <v>0.54876136812525367</v>
      </c>
    </row>
    <row r="170" spans="1:8" x14ac:dyDescent="0.3">
      <c r="A170" s="3" t="s">
        <v>148</v>
      </c>
      <c r="B170" s="3" t="s">
        <v>173</v>
      </c>
      <c r="C170" s="3" t="s">
        <v>59</v>
      </c>
      <c r="D170" s="17">
        <f t="shared" si="34"/>
        <v>48068.360723467267</v>
      </c>
      <c r="E170" s="7">
        <v>17400</v>
      </c>
      <c r="F170" s="7">
        <v>79</v>
      </c>
      <c r="G170" s="8">
        <v>0.85</v>
      </c>
      <c r="H170" s="8">
        <f t="shared" ref="H170:H174" si="35">(E170+(F170*(D170^G170)))/1000000</f>
        <v>0.77111560349470087</v>
      </c>
    </row>
    <row r="171" spans="1:8" x14ac:dyDescent="0.3">
      <c r="A171" s="3" t="s">
        <v>149</v>
      </c>
      <c r="B171" s="3" t="s">
        <v>173</v>
      </c>
      <c r="C171" s="3" t="s">
        <v>59</v>
      </c>
      <c r="D171" s="17">
        <f t="shared" si="34"/>
        <v>665.96442367989084</v>
      </c>
      <c r="E171" s="7">
        <v>17400</v>
      </c>
      <c r="F171" s="7">
        <v>79</v>
      </c>
      <c r="G171" s="8">
        <v>0.85</v>
      </c>
      <c r="H171" s="8">
        <f t="shared" si="35"/>
        <v>3.7240858796187951E-2</v>
      </c>
    </row>
    <row r="172" spans="1:8" x14ac:dyDescent="0.3">
      <c r="A172" s="3" t="s">
        <v>150</v>
      </c>
      <c r="B172" s="3" t="s">
        <v>173</v>
      </c>
      <c r="C172" s="3" t="s">
        <v>59</v>
      </c>
      <c r="D172" s="17">
        <f t="shared" si="34"/>
        <v>12605.755162512123</v>
      </c>
      <c r="E172" s="7">
        <v>17400</v>
      </c>
      <c r="F172" s="7">
        <v>79</v>
      </c>
      <c r="G172" s="8">
        <v>0.85</v>
      </c>
      <c r="H172" s="8">
        <f t="shared" si="35"/>
        <v>0.25900762087824708</v>
      </c>
    </row>
    <row r="173" spans="1:8" x14ac:dyDescent="0.3">
      <c r="A173" s="3" t="s">
        <v>151</v>
      </c>
      <c r="B173" s="3" t="s">
        <v>173</v>
      </c>
      <c r="C173" s="3" t="s">
        <v>59</v>
      </c>
      <c r="D173" s="17">
        <f t="shared" si="34"/>
        <v>2021.67771474253</v>
      </c>
      <c r="E173" s="7">
        <v>17400</v>
      </c>
      <c r="F173" s="7">
        <v>79</v>
      </c>
      <c r="G173" s="8">
        <v>0.85</v>
      </c>
      <c r="H173" s="8">
        <f t="shared" si="35"/>
        <v>6.8389672967448259E-2</v>
      </c>
    </row>
    <row r="174" spans="1:8" x14ac:dyDescent="0.3">
      <c r="A174" s="3" t="s">
        <v>152</v>
      </c>
      <c r="B174" s="3" t="s">
        <v>173</v>
      </c>
      <c r="C174" s="3" t="s">
        <v>59</v>
      </c>
      <c r="D174" s="17">
        <f t="shared" si="34"/>
        <v>169.88888359180893</v>
      </c>
      <c r="E174" s="7">
        <v>17400</v>
      </c>
      <c r="F174" s="7">
        <v>79</v>
      </c>
      <c r="G174" s="8">
        <v>0.85</v>
      </c>
      <c r="H174" s="8">
        <f t="shared" si="35"/>
        <v>2.3612512983289514E-2</v>
      </c>
    </row>
    <row r="175" spans="1:8" x14ac:dyDescent="0.3">
      <c r="A175" s="3" t="s">
        <v>258</v>
      </c>
      <c r="B175" s="3" t="s">
        <v>173</v>
      </c>
      <c r="C175" s="3" t="s">
        <v>59</v>
      </c>
      <c r="D175" s="17">
        <f t="shared" si="34"/>
        <v>3333.6365485583228</v>
      </c>
      <c r="E175" s="7">
        <v>17400</v>
      </c>
      <c r="F175" s="7">
        <v>79</v>
      </c>
      <c r="G175" s="8">
        <v>0.85</v>
      </c>
      <c r="H175" s="8">
        <f t="shared" ref="H175" si="36">(E175+(F175*(D175^G175)))/1000000</f>
        <v>9.5402334884844273E-2</v>
      </c>
    </row>
    <row r="176" spans="1:8" x14ac:dyDescent="0.3">
      <c r="A176" s="3" t="s">
        <v>259</v>
      </c>
      <c r="B176" s="3" t="s">
        <v>173</v>
      </c>
      <c r="C176" s="3" t="s">
        <v>59</v>
      </c>
      <c r="D176" s="17">
        <f t="shared" si="34"/>
        <v>3334.0532010453317</v>
      </c>
      <c r="E176" s="7">
        <v>17400</v>
      </c>
      <c r="F176" s="7">
        <v>79</v>
      </c>
      <c r="G176" s="8">
        <v>0.85</v>
      </c>
      <c r="H176" s="8">
        <f t="shared" ref="H176" si="37">(E176+(F176*(D176^G176)))/1000000</f>
        <v>9.5410621519412236E-2</v>
      </c>
    </row>
    <row r="177" spans="1:9" x14ac:dyDescent="0.3">
      <c r="A177" s="3"/>
      <c r="B177" s="2" t="s">
        <v>146</v>
      </c>
      <c r="C177" s="3"/>
      <c r="D177" s="17"/>
      <c r="E177" s="7"/>
      <c r="F177" s="7"/>
      <c r="G177" s="8"/>
      <c r="H177" s="10">
        <f>SUM(H167:H176)</f>
        <v>3.1317040423722506</v>
      </c>
    </row>
    <row r="178" spans="1:9" x14ac:dyDescent="0.3">
      <c r="A178" s="37" t="s">
        <v>163</v>
      </c>
      <c r="B178" s="38"/>
      <c r="C178" s="38"/>
      <c r="D178" s="38"/>
      <c r="E178" s="38"/>
      <c r="F178" s="38"/>
      <c r="G178" s="38"/>
      <c r="H178" s="39"/>
    </row>
    <row r="179" spans="1:9" x14ac:dyDescent="0.3">
      <c r="A179" s="3" t="s">
        <v>166</v>
      </c>
      <c r="B179" s="3" t="s">
        <v>173</v>
      </c>
      <c r="C179" s="3" t="s">
        <v>59</v>
      </c>
      <c r="D179" s="8">
        <f>Q23</f>
        <v>3024.0950938112028</v>
      </c>
      <c r="E179" s="7">
        <v>17400</v>
      </c>
      <c r="F179" s="7">
        <v>79</v>
      </c>
      <c r="G179" s="8">
        <v>0.85</v>
      </c>
      <c r="H179" s="8">
        <f t="shared" ref="H179" si="38">(E179+(F179*(D179^G179)))/1000000</f>
        <v>8.9201450599112303E-2</v>
      </c>
      <c r="I179" s="2" t="s">
        <v>174</v>
      </c>
    </row>
    <row r="180" spans="1:9" x14ac:dyDescent="0.3">
      <c r="A180" s="3" t="s">
        <v>169</v>
      </c>
      <c r="B180" s="3" t="s">
        <v>167</v>
      </c>
      <c r="C180" s="3" t="s">
        <v>168</v>
      </c>
      <c r="D180" s="8">
        <f>K23</f>
        <v>1.5415000000000001</v>
      </c>
      <c r="E180" s="7">
        <v>130</v>
      </c>
      <c r="F180" s="7">
        <v>440</v>
      </c>
      <c r="G180" s="8">
        <v>1.8</v>
      </c>
      <c r="H180" s="8">
        <f>(E180+(F180*(D180^G180)))*I180/1000000</f>
        <v>1.0888507864606991E-2</v>
      </c>
      <c r="I180" s="31">
        <v>10</v>
      </c>
    </row>
    <row r="181" spans="1:9" x14ac:dyDescent="0.3">
      <c r="A181" s="3"/>
      <c r="B181" s="2" t="s">
        <v>146</v>
      </c>
      <c r="C181" s="3"/>
      <c r="D181" s="17"/>
      <c r="E181" s="7"/>
      <c r="F181" s="7"/>
      <c r="G181" s="8"/>
      <c r="H181" s="10">
        <f>SUM(H179:H180)</f>
        <v>0.10008995846371929</v>
      </c>
    </row>
    <row r="182" spans="1:9" x14ac:dyDescent="0.3">
      <c r="A182" s="37" t="s">
        <v>176</v>
      </c>
      <c r="B182" s="38"/>
      <c r="C182" s="38"/>
      <c r="D182" s="38"/>
      <c r="E182" s="38"/>
      <c r="F182" s="38"/>
      <c r="G182" s="38"/>
      <c r="H182" s="39"/>
    </row>
    <row r="183" spans="1:9" x14ac:dyDescent="0.3">
      <c r="A183" s="3" t="s">
        <v>166</v>
      </c>
      <c r="B183" s="3" t="s">
        <v>173</v>
      </c>
      <c r="C183" s="3" t="s">
        <v>59</v>
      </c>
      <c r="D183" s="8">
        <f>Q24</f>
        <v>1253.475936614662</v>
      </c>
      <c r="E183" s="7">
        <v>17400</v>
      </c>
      <c r="F183" s="7">
        <v>79</v>
      </c>
      <c r="G183" s="8">
        <v>0.85</v>
      </c>
      <c r="H183" s="8">
        <f t="shared" ref="H183" si="39">(E183+(F183*(D183^G183)))/1000000</f>
        <v>5.1364536490630483E-2</v>
      </c>
      <c r="I183" s="2" t="s">
        <v>174</v>
      </c>
    </row>
    <row r="184" spans="1:9" x14ac:dyDescent="0.3">
      <c r="A184" s="3" t="s">
        <v>169</v>
      </c>
      <c r="B184" s="3" t="s">
        <v>167</v>
      </c>
      <c r="C184" s="3" t="s">
        <v>168</v>
      </c>
      <c r="D184" s="8">
        <f>K24</f>
        <v>2.1346666669999999</v>
      </c>
      <c r="E184" s="7">
        <v>130</v>
      </c>
      <c r="F184" s="7">
        <v>440</v>
      </c>
      <c r="G184" s="8">
        <v>1.8</v>
      </c>
      <c r="H184" s="8">
        <f>(E184+(F184*(D184^G184)))*I184/1000000</f>
        <v>5.5585420588005786E-3</v>
      </c>
      <c r="I184" s="31">
        <v>3</v>
      </c>
    </row>
    <row r="185" spans="1:9" x14ac:dyDescent="0.3">
      <c r="A185" s="3"/>
      <c r="B185" s="2" t="s">
        <v>146</v>
      </c>
      <c r="C185" s="3"/>
      <c r="D185" s="17"/>
      <c r="E185" s="7"/>
      <c r="F185" s="7"/>
      <c r="G185" s="8"/>
      <c r="H185" s="10">
        <f>SUM(H183:H184)</f>
        <v>5.6923078549431058E-2</v>
      </c>
    </row>
    <row r="186" spans="1:9" x14ac:dyDescent="0.3">
      <c r="A186" s="37" t="s">
        <v>177</v>
      </c>
      <c r="B186" s="38"/>
      <c r="C186" s="38"/>
      <c r="D186" s="38"/>
      <c r="E186" s="38"/>
      <c r="F186" s="38"/>
      <c r="G186" s="38"/>
      <c r="H186" s="39"/>
    </row>
    <row r="187" spans="1:9" x14ac:dyDescent="0.3">
      <c r="A187" s="3" t="s">
        <v>166</v>
      </c>
      <c r="B187" s="3" t="s">
        <v>173</v>
      </c>
      <c r="C187" s="3" t="s">
        <v>59</v>
      </c>
      <c r="D187" s="8">
        <f>Q25</f>
        <v>240.63173352955314</v>
      </c>
      <c r="E187" s="7">
        <v>17400</v>
      </c>
      <c r="F187" s="7">
        <v>79</v>
      </c>
      <c r="G187" s="8">
        <v>0.85</v>
      </c>
      <c r="H187" s="8">
        <f t="shared" ref="H187" si="40">(E187+(F187*(D187^G187)))/1000000</f>
        <v>2.5751741737369414E-2</v>
      </c>
      <c r="I187" s="2" t="s">
        <v>174</v>
      </c>
    </row>
    <row r="188" spans="1:9" x14ac:dyDescent="0.3">
      <c r="A188" s="3" t="s">
        <v>169</v>
      </c>
      <c r="B188" s="3" t="s">
        <v>167</v>
      </c>
      <c r="C188" s="3" t="s">
        <v>168</v>
      </c>
      <c r="D188" s="8">
        <f>K25</f>
        <v>1.224</v>
      </c>
      <c r="E188" s="7">
        <v>130</v>
      </c>
      <c r="F188" s="7">
        <v>440</v>
      </c>
      <c r="G188" s="8">
        <v>1.8</v>
      </c>
      <c r="H188" s="8">
        <f>(E188+(F188*(D188^G188)))*I188/1000000</f>
        <v>7.6308092544301342E-4</v>
      </c>
      <c r="I188" s="31">
        <v>1</v>
      </c>
    </row>
    <row r="189" spans="1:9" x14ac:dyDescent="0.3">
      <c r="A189" s="3"/>
      <c r="B189" s="2" t="s">
        <v>146</v>
      </c>
      <c r="C189" s="3"/>
      <c r="D189" s="17"/>
      <c r="E189" s="7"/>
      <c r="F189" s="7"/>
      <c r="G189" s="8"/>
      <c r="H189" s="10">
        <f>SUM(H187:H188)</f>
        <v>2.6514822662812427E-2</v>
      </c>
    </row>
    <row r="190" spans="1:9" x14ac:dyDescent="0.3">
      <c r="A190" s="37" t="s">
        <v>178</v>
      </c>
      <c r="B190" s="38"/>
      <c r="C190" s="38"/>
      <c r="D190" s="38"/>
      <c r="E190" s="38"/>
      <c r="F190" s="38"/>
      <c r="G190" s="38"/>
      <c r="H190" s="39"/>
    </row>
    <row r="191" spans="1:9" x14ac:dyDescent="0.3">
      <c r="A191" s="3" t="s">
        <v>166</v>
      </c>
      <c r="B191" s="3" t="s">
        <v>173</v>
      </c>
      <c r="C191" s="3" t="s">
        <v>59</v>
      </c>
      <c r="D191" s="8">
        <f>Q26</f>
        <v>658.52190422690944</v>
      </c>
      <c r="E191" s="7">
        <v>17400</v>
      </c>
      <c r="F191" s="7">
        <v>79</v>
      </c>
      <c r="G191" s="8">
        <v>0.85</v>
      </c>
      <c r="H191" s="8">
        <f t="shared" ref="H191" si="41">(E191+(F191*(D191^G191)))/1000000</f>
        <v>3.7052227492140259E-2</v>
      </c>
      <c r="I191" s="2" t="s">
        <v>174</v>
      </c>
    </row>
    <row r="192" spans="1:9" x14ac:dyDescent="0.3">
      <c r="A192" s="3" t="s">
        <v>169</v>
      </c>
      <c r="B192" s="3" t="s">
        <v>167</v>
      </c>
      <c r="C192" s="3" t="s">
        <v>168</v>
      </c>
      <c r="D192" s="8">
        <f>K26</f>
        <v>1.6795</v>
      </c>
      <c r="E192" s="7">
        <v>130</v>
      </c>
      <c r="F192" s="7">
        <v>440</v>
      </c>
      <c r="G192" s="8">
        <v>1.8</v>
      </c>
      <c r="H192" s="8">
        <f>(E192+(F192*(D192^G192)))*I192/1000000</f>
        <v>2.4977248609166364E-3</v>
      </c>
      <c r="I192" s="31">
        <v>2</v>
      </c>
    </row>
    <row r="193" spans="1:8" x14ac:dyDescent="0.3">
      <c r="A193" s="3"/>
      <c r="B193" s="2" t="s">
        <v>146</v>
      </c>
      <c r="C193" s="3"/>
      <c r="D193" s="17"/>
      <c r="E193" s="7"/>
      <c r="F193" s="7"/>
      <c r="G193" s="8"/>
      <c r="H193" s="10">
        <f>SUM(H191:H192)</f>
        <v>3.9549952353056896E-2</v>
      </c>
    </row>
    <row r="194" spans="1:8" x14ac:dyDescent="0.3">
      <c r="A194" s="2"/>
      <c r="B194" s="2" t="s">
        <v>153</v>
      </c>
      <c r="C194" s="2"/>
      <c r="D194" s="9"/>
      <c r="E194" s="9"/>
      <c r="F194" s="9"/>
      <c r="G194" s="9"/>
      <c r="H194" s="10">
        <f>H31+H36+H160+H165+H177+H181+H185+H189+H193</f>
        <v>61.252304394371009</v>
      </c>
    </row>
    <row r="196" spans="1:8" x14ac:dyDescent="0.3">
      <c r="A196" s="19" t="s">
        <v>34</v>
      </c>
      <c r="B196" s="17">
        <v>532.9</v>
      </c>
    </row>
    <row r="197" spans="1:8" x14ac:dyDescent="0.3">
      <c r="A197" s="19" t="s">
        <v>234</v>
      </c>
      <c r="B197" s="17">
        <v>803.6</v>
      </c>
    </row>
    <row r="198" spans="1:8" x14ac:dyDescent="0.3">
      <c r="A198" s="19" t="s">
        <v>235</v>
      </c>
      <c r="B198" s="17">
        <f>H194*B197/B196</f>
        <v>92.366957799430551</v>
      </c>
    </row>
    <row r="199" spans="1:8" x14ac:dyDescent="0.3">
      <c r="A199" s="19" t="s">
        <v>60</v>
      </c>
      <c r="B199" s="17">
        <f>(B198)*((1+C3)+(C2+C5+C4+C6+C7+C8)/C9)*C9</f>
        <v>345.45242216987037</v>
      </c>
    </row>
    <row r="200" spans="1:8" x14ac:dyDescent="0.3">
      <c r="A200" s="19" t="s">
        <v>61</v>
      </c>
      <c r="B200" s="17">
        <f>0.3*B199</f>
        <v>103.6357266509611</v>
      </c>
    </row>
    <row r="201" spans="1:8" x14ac:dyDescent="0.3">
      <c r="A201" s="19" t="s">
        <v>62</v>
      </c>
      <c r="B201" s="17">
        <f>0.3*SUM(B199:B200)</f>
        <v>134.72644464624943</v>
      </c>
    </row>
    <row r="202" spans="1:8" x14ac:dyDescent="0.3">
      <c r="A202" s="19" t="s">
        <v>63</v>
      </c>
      <c r="B202" s="17">
        <f>0.1*SUM(B199:B200)</f>
        <v>44.908814882083149</v>
      </c>
      <c r="C202" s="23"/>
    </row>
    <row r="203" spans="1:8" x14ac:dyDescent="0.3">
      <c r="A203" s="19" t="s">
        <v>64</v>
      </c>
      <c r="B203" s="17">
        <f>B199*(1+0.3)*(1+0.3+0.1)</f>
        <v>628.72340834916417</v>
      </c>
      <c r="C203" s="24">
        <f>B203/B198</f>
        <v>6.8068000000000035</v>
      </c>
    </row>
    <row r="204" spans="1:8" x14ac:dyDescent="0.3">
      <c r="A204" s="19" t="s">
        <v>67</v>
      </c>
      <c r="B204" s="17">
        <f>B203*0.15</f>
        <v>94.308511252374629</v>
      </c>
    </row>
    <row r="205" spans="1:8" x14ac:dyDescent="0.3">
      <c r="A205" s="19" t="s">
        <v>65</v>
      </c>
      <c r="B205" s="22">
        <f>B203+B204</f>
        <v>723.03191960153879</v>
      </c>
    </row>
    <row r="206" spans="1:8" x14ac:dyDescent="0.3">
      <c r="A206" s="19" t="s">
        <v>27</v>
      </c>
      <c r="B206" s="11">
        <v>25</v>
      </c>
    </row>
    <row r="207" spans="1:8" x14ac:dyDescent="0.3">
      <c r="A207" s="19" t="s">
        <v>28</v>
      </c>
      <c r="B207" s="11">
        <v>0.12</v>
      </c>
    </row>
    <row r="208" spans="1:8" x14ac:dyDescent="0.3">
      <c r="A208" s="19" t="s">
        <v>29</v>
      </c>
      <c r="B208" s="13">
        <f>(B207*((1+B207)^B206))/(((1+B207)^B206)-1)</f>
        <v>0.12749996980950773</v>
      </c>
    </row>
    <row r="209" spans="1:2" x14ac:dyDescent="0.3">
      <c r="A209" s="19" t="s">
        <v>66</v>
      </c>
      <c r="B209" s="17">
        <f>B208*B205</f>
        <v>92.186547920506612</v>
      </c>
    </row>
    <row r="210" spans="1:2" x14ac:dyDescent="0.3">
      <c r="A210" s="20" t="s">
        <v>36</v>
      </c>
      <c r="B210" s="14">
        <f>B209</f>
        <v>92.186547920506612</v>
      </c>
    </row>
  </sheetData>
  <mergeCells count="9">
    <mergeCell ref="A178:H178"/>
    <mergeCell ref="A182:H182"/>
    <mergeCell ref="A186:H186"/>
    <mergeCell ref="A190:H190"/>
    <mergeCell ref="A13:H13"/>
    <mergeCell ref="A37:H37"/>
    <mergeCell ref="A161:H161"/>
    <mergeCell ref="A166:H166"/>
    <mergeCell ref="A32:H32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20"/>
  <sheetViews>
    <sheetView zoomScale="120" zoomScaleNormal="120" workbookViewId="0">
      <selection activeCell="B8" sqref="B8"/>
    </sheetView>
  </sheetViews>
  <sheetFormatPr defaultRowHeight="14.4" x14ac:dyDescent="0.3"/>
  <cols>
    <col min="1" max="1" width="16" bestFit="1" customWidth="1"/>
    <col min="2" max="2" width="34.44140625" customWidth="1"/>
    <col min="3" max="3" width="8.6640625" bestFit="1" customWidth="1"/>
  </cols>
  <sheetData>
    <row r="4" spans="1:3" x14ac:dyDescent="0.3">
      <c r="A4" s="2" t="s">
        <v>71</v>
      </c>
      <c r="B4" s="2" t="s">
        <v>72</v>
      </c>
      <c r="C4" s="12" t="s">
        <v>37</v>
      </c>
    </row>
    <row r="5" spans="1:3" x14ac:dyDescent="0.3">
      <c r="A5" s="43" t="s">
        <v>68</v>
      </c>
      <c r="B5" s="43"/>
      <c r="C5" s="43"/>
    </row>
    <row r="6" spans="1:3" x14ac:dyDescent="0.3">
      <c r="A6" s="11" t="s">
        <v>81</v>
      </c>
      <c r="B6" s="11" t="s">
        <v>93</v>
      </c>
      <c r="C6" s="11">
        <f>50000*9*9/1000000</f>
        <v>4.05</v>
      </c>
    </row>
    <row r="7" spans="1:3" x14ac:dyDescent="0.3">
      <c r="A7" s="11" t="s">
        <v>69</v>
      </c>
      <c r="B7" s="11" t="s">
        <v>70</v>
      </c>
      <c r="C7" s="17">
        <f>0.25*C6</f>
        <v>1.0125</v>
      </c>
    </row>
    <row r="8" spans="1:3" x14ac:dyDescent="0.3">
      <c r="A8" s="11" t="s">
        <v>73</v>
      </c>
      <c r="B8" s="11" t="s">
        <v>74</v>
      </c>
      <c r="C8" s="17">
        <f>0.45*(C6+C7)</f>
        <v>2.2781250000000002</v>
      </c>
    </row>
    <row r="9" spans="1:3" x14ac:dyDescent="0.3">
      <c r="A9" s="37"/>
      <c r="B9" s="39"/>
      <c r="C9" s="14">
        <f>SUM(C6:C8)</f>
        <v>7.3406250000000002</v>
      </c>
    </row>
    <row r="10" spans="1:3" x14ac:dyDescent="0.3">
      <c r="A10" s="43" t="s">
        <v>75</v>
      </c>
      <c r="B10" s="43"/>
      <c r="C10" s="43"/>
    </row>
    <row r="11" spans="1:3" x14ac:dyDescent="0.3">
      <c r="A11" s="11" t="s">
        <v>76</v>
      </c>
      <c r="B11" s="11" t="s">
        <v>77</v>
      </c>
      <c r="C11" s="17">
        <f>0.03*CAPEX!B199</f>
        <v>10.363572665096111</v>
      </c>
    </row>
    <row r="12" spans="1:3" x14ac:dyDescent="0.3">
      <c r="A12" s="43"/>
      <c r="B12" s="43"/>
      <c r="C12" s="21">
        <f>C11</f>
        <v>10.363572665096111</v>
      </c>
    </row>
    <row r="13" spans="1:3" x14ac:dyDescent="0.3">
      <c r="A13" s="37" t="s">
        <v>79</v>
      </c>
      <c r="B13" s="38"/>
      <c r="C13" s="39"/>
    </row>
    <row r="14" spans="1:3" x14ac:dyDescent="0.3">
      <c r="A14" s="11" t="s">
        <v>80</v>
      </c>
      <c r="B14" s="11" t="s">
        <v>82</v>
      </c>
      <c r="C14" s="17">
        <f>0.65*(C6+C7+C8+C11)</f>
        <v>11.507728482312473</v>
      </c>
    </row>
    <row r="15" spans="1:3" x14ac:dyDescent="0.3">
      <c r="A15" s="11" t="s">
        <v>83</v>
      </c>
      <c r="B15" s="11" t="s">
        <v>85</v>
      </c>
      <c r="C15" s="17">
        <f>0.02*(CAPEX!B199+CAPEX!B200)</f>
        <v>8.9817629764166291</v>
      </c>
    </row>
    <row r="16" spans="1:3" x14ac:dyDescent="0.3">
      <c r="A16" s="43"/>
      <c r="B16" s="43"/>
      <c r="C16" s="21">
        <f>SUM(C14:C15)</f>
        <v>20.489491458729102</v>
      </c>
    </row>
    <row r="17" spans="1:3" x14ac:dyDescent="0.3">
      <c r="A17" s="37" t="s">
        <v>86</v>
      </c>
      <c r="B17" s="38"/>
      <c r="C17" s="39"/>
    </row>
    <row r="18" spans="1:3" x14ac:dyDescent="0.3">
      <c r="A18" s="11" t="s">
        <v>87</v>
      </c>
      <c r="B18" s="11" t="s">
        <v>88</v>
      </c>
      <c r="C18" s="17">
        <f>0.06*CAPEX!B204</f>
        <v>5.6585106751424776</v>
      </c>
    </row>
    <row r="19" spans="1:3" x14ac:dyDescent="0.3">
      <c r="A19" s="43"/>
      <c r="B19" s="43"/>
      <c r="C19" s="14">
        <f>C18</f>
        <v>5.6585106751424776</v>
      </c>
    </row>
    <row r="20" spans="1:3" x14ac:dyDescent="0.3">
      <c r="A20" s="37" t="s">
        <v>91</v>
      </c>
      <c r="B20" s="39"/>
      <c r="C20" s="14">
        <f>C9+C12+C16+C19</f>
        <v>43.852199798967689</v>
      </c>
    </row>
  </sheetData>
  <mergeCells count="9"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120" zoomScaleNormal="120" workbookViewId="0">
      <selection activeCell="E5" sqref="E5"/>
    </sheetView>
  </sheetViews>
  <sheetFormatPr defaultRowHeight="14.4" x14ac:dyDescent="0.3"/>
  <cols>
    <col min="1" max="1" width="17.88671875" bestFit="1" customWidth="1"/>
    <col min="2" max="2" width="13" bestFit="1" customWidth="1"/>
    <col min="3" max="3" width="8.33203125" bestFit="1" customWidth="1"/>
    <col min="4" max="4" width="10.33203125" bestFit="1" customWidth="1"/>
    <col min="5" max="5" width="8.109375" bestFit="1" customWidth="1"/>
  </cols>
  <sheetData>
    <row r="1" spans="1:7" x14ac:dyDescent="0.3">
      <c r="A1" s="44" t="s">
        <v>209</v>
      </c>
      <c r="B1" s="44"/>
      <c r="C1" s="44"/>
      <c r="D1" s="10">
        <v>58559.194459623097</v>
      </c>
      <c r="E1" s="12" t="s">
        <v>208</v>
      </c>
    </row>
    <row r="4" spans="1:7" x14ac:dyDescent="0.3">
      <c r="A4" s="2" t="s">
        <v>101</v>
      </c>
      <c r="B4" s="2" t="s">
        <v>102</v>
      </c>
      <c r="C4" s="2" t="s">
        <v>208</v>
      </c>
      <c r="D4" s="2" t="s">
        <v>103</v>
      </c>
      <c r="E4" s="2" t="s">
        <v>210</v>
      </c>
      <c r="F4" s="2" t="s">
        <v>37</v>
      </c>
    </row>
    <row r="5" spans="1:7" ht="15.6" x14ac:dyDescent="0.35">
      <c r="A5" s="3" t="s">
        <v>154</v>
      </c>
      <c r="B5" s="3" t="s">
        <v>207</v>
      </c>
      <c r="C5" s="27">
        <v>8.1000000000000013E-3</v>
      </c>
      <c r="D5" s="29">
        <v>286000</v>
      </c>
      <c r="E5" s="17">
        <f>C5*D5</f>
        <v>2316.6000000000004</v>
      </c>
      <c r="F5" s="16">
        <f>E5/10^6*8000</f>
        <v>18.532800000000002</v>
      </c>
      <c r="G5" t="s">
        <v>212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32"/>
  <sheetViews>
    <sheetView tabSelected="1" workbookViewId="0">
      <selection activeCell="N10" sqref="N10"/>
    </sheetView>
  </sheetViews>
  <sheetFormatPr defaultColWidth="8.88671875" defaultRowHeight="14.4" x14ac:dyDescent="0.3"/>
  <cols>
    <col min="2" max="2" width="23.33203125" bestFit="1" customWidth="1"/>
    <col min="3" max="3" width="9.33203125" bestFit="1" customWidth="1"/>
    <col min="4" max="4" width="8.6640625" style="28" bestFit="1" customWidth="1"/>
    <col min="5" max="5" width="12.6640625" bestFit="1" customWidth="1"/>
    <col min="6" max="6" width="9.44140625" bestFit="1" customWidth="1"/>
    <col min="7" max="7" width="9.88671875" bestFit="1" customWidth="1"/>
    <col min="8" max="8" width="69.44140625" bestFit="1" customWidth="1"/>
    <col min="10" max="10" width="11.33203125" bestFit="1" customWidth="1"/>
  </cols>
  <sheetData>
    <row r="3" spans="2:13" x14ac:dyDescent="0.3">
      <c r="B3" s="2" t="s">
        <v>23</v>
      </c>
      <c r="C3" s="2" t="s">
        <v>30</v>
      </c>
      <c r="D3" s="2" t="s">
        <v>31</v>
      </c>
      <c r="E3" s="2" t="s">
        <v>32</v>
      </c>
      <c r="F3" s="2" t="s">
        <v>24</v>
      </c>
      <c r="G3" s="2" t="s">
        <v>239</v>
      </c>
      <c r="H3" s="2" t="s">
        <v>92</v>
      </c>
    </row>
    <row r="4" spans="2:13" x14ac:dyDescent="0.3">
      <c r="B4" s="37" t="s">
        <v>213</v>
      </c>
      <c r="C4" s="38"/>
      <c r="D4" s="38"/>
      <c r="E4" s="38"/>
      <c r="F4" s="38"/>
      <c r="G4" s="38"/>
      <c r="H4" s="39"/>
      <c r="I4" s="1"/>
      <c r="K4" s="3" t="s">
        <v>233</v>
      </c>
      <c r="L4" s="3" t="s">
        <v>232</v>
      </c>
      <c r="M4" s="3" t="s">
        <v>103</v>
      </c>
    </row>
    <row r="5" spans="2:13" x14ac:dyDescent="0.3">
      <c r="B5" s="3" t="s">
        <v>266</v>
      </c>
      <c r="C5" s="3" t="s">
        <v>33</v>
      </c>
      <c r="D5" s="29">
        <f>42148.0904323578/1000</f>
        <v>42.148090432357797</v>
      </c>
      <c r="E5" s="29">
        <v>164.2</v>
      </c>
      <c r="F5" s="29">
        <f t="shared" ref="F5" si="0">E5*D5</f>
        <v>6920.7164489931502</v>
      </c>
      <c r="G5" s="29">
        <f>F5*C29/C27</f>
        <v>9154.7123266022973</v>
      </c>
      <c r="H5" s="3" t="s">
        <v>263</v>
      </c>
      <c r="I5" s="1"/>
      <c r="J5" s="11" t="s">
        <v>231</v>
      </c>
      <c r="K5" s="3">
        <f>13.4/1000</f>
        <v>1.34E-2</v>
      </c>
      <c r="L5" s="27">
        <f>K5/1.06</f>
        <v>1.2641509433962264E-2</v>
      </c>
      <c r="M5" s="27">
        <f>L5*55</f>
        <v>0.69528301886792454</v>
      </c>
    </row>
    <row r="6" spans="2:13" x14ac:dyDescent="0.3">
      <c r="B6" s="3" t="s">
        <v>262</v>
      </c>
      <c r="C6" s="3" t="s">
        <v>33</v>
      </c>
      <c r="D6" s="29">
        <f>5829.71870176398/1000</f>
        <v>5.82971870176398</v>
      </c>
      <c r="E6" s="29">
        <v>3560</v>
      </c>
      <c r="F6" s="29">
        <f t="shared" ref="F6" si="1">E6*D6</f>
        <v>20753.79857827977</v>
      </c>
      <c r="G6" s="29">
        <f>F6*C29/C27</f>
        <v>27453.090596717077</v>
      </c>
      <c r="H6" s="3" t="s">
        <v>264</v>
      </c>
    </row>
    <row r="7" spans="2:13" x14ac:dyDescent="0.3">
      <c r="B7" s="33" t="s">
        <v>267</v>
      </c>
      <c r="C7" s="3" t="s">
        <v>33</v>
      </c>
      <c r="D7" s="29">
        <f>27826.8289304375/1000</f>
        <v>27.8268289304375</v>
      </c>
      <c r="E7" s="29">
        <v>1293</v>
      </c>
      <c r="F7" s="29">
        <f t="shared" ref="F7" si="2">E7*D7</f>
        <v>35980.089807055687</v>
      </c>
      <c r="G7" s="29">
        <f>F7*C29/C27</f>
        <v>47594.403570287985</v>
      </c>
      <c r="H7" s="3" t="s">
        <v>263</v>
      </c>
    </row>
    <row r="8" spans="2:13" x14ac:dyDescent="0.3">
      <c r="B8" s="2" t="s">
        <v>223</v>
      </c>
      <c r="C8" s="2"/>
      <c r="D8" s="16"/>
      <c r="E8" s="16"/>
      <c r="F8" s="16"/>
      <c r="G8" s="16">
        <f>SUM(G5:G7)</f>
        <v>84202.206493607358</v>
      </c>
      <c r="H8" s="2"/>
    </row>
    <row r="9" spans="2:13" x14ac:dyDescent="0.3">
      <c r="B9" s="37" t="s">
        <v>214</v>
      </c>
      <c r="C9" s="38"/>
      <c r="D9" s="38"/>
      <c r="E9" s="38"/>
      <c r="F9" s="38"/>
      <c r="G9" s="38"/>
      <c r="H9" s="39"/>
    </row>
    <row r="10" spans="2:13" ht="16.2" x14ac:dyDescent="0.3">
      <c r="B10" s="3" t="s">
        <v>25</v>
      </c>
      <c r="C10" s="3" t="s">
        <v>228</v>
      </c>
      <c r="D10" s="29">
        <f>16421602.7279223/1000</f>
        <v>16421.602727922298</v>
      </c>
      <c r="E10" s="29">
        <f>3.6/100</f>
        <v>3.6000000000000004E-2</v>
      </c>
      <c r="F10" s="29">
        <f>E10*D10</f>
        <v>591.17769820520277</v>
      </c>
      <c r="G10" s="29">
        <f>F10*C29/C27</f>
        <v>782.00888605382875</v>
      </c>
      <c r="H10" s="3" t="s">
        <v>227</v>
      </c>
    </row>
    <row r="11" spans="2:13" x14ac:dyDescent="0.3">
      <c r="B11" s="3" t="s">
        <v>26</v>
      </c>
      <c r="C11" s="3" t="s">
        <v>229</v>
      </c>
      <c r="D11" s="29">
        <f>27835.0537109595/1000</f>
        <v>27.8350537109595</v>
      </c>
      <c r="E11" s="29">
        <v>69.599999999999994</v>
      </c>
      <c r="F11" s="29">
        <f>E11*D11</f>
        <v>1937.3197382827809</v>
      </c>
      <c r="G11" s="29">
        <f>F11*C29/C27</f>
        <v>2562.6833607967783</v>
      </c>
      <c r="H11" s="3" t="s">
        <v>227</v>
      </c>
    </row>
    <row r="12" spans="2:13" x14ac:dyDescent="0.3">
      <c r="B12" s="3" t="s">
        <v>261</v>
      </c>
      <c r="C12" s="3" t="s">
        <v>33</v>
      </c>
      <c r="D12" s="29">
        <f>2018.00390320268/1000</f>
        <v>2.01800390320268</v>
      </c>
      <c r="E12" s="29">
        <v>524</v>
      </c>
      <c r="F12" s="29">
        <f>E12*D12</f>
        <v>1057.4340452782044</v>
      </c>
      <c r="G12" s="29">
        <f>F12*C29/C28</f>
        <v>1094.620634787537</v>
      </c>
      <c r="H12" s="3" t="s">
        <v>278</v>
      </c>
    </row>
    <row r="13" spans="2:13" x14ac:dyDescent="0.3">
      <c r="B13" s="2" t="s">
        <v>223</v>
      </c>
      <c r="C13" s="2"/>
      <c r="D13" s="16"/>
      <c r="E13" s="16"/>
      <c r="F13" s="16"/>
      <c r="G13" s="16">
        <f>SUM(G10:G12)</f>
        <v>4439.3128816381441</v>
      </c>
      <c r="H13" s="2"/>
    </row>
    <row r="14" spans="2:13" x14ac:dyDescent="0.3">
      <c r="B14" s="37" t="s">
        <v>215</v>
      </c>
      <c r="C14" s="38"/>
      <c r="D14" s="38"/>
      <c r="E14" s="38"/>
      <c r="F14" s="38"/>
      <c r="G14" s="38"/>
      <c r="H14" s="39"/>
    </row>
    <row r="15" spans="2:13" ht="16.2" x14ac:dyDescent="0.3">
      <c r="B15" s="3" t="s">
        <v>230</v>
      </c>
      <c r="C15" s="3" t="s">
        <v>228</v>
      </c>
      <c r="D15" s="29">
        <f>17008.5900537084/1000</f>
        <v>17.008590053708403</v>
      </c>
      <c r="E15" s="29">
        <v>1.6</v>
      </c>
      <c r="F15" s="29">
        <f t="shared" ref="F15:F16" si="3">E15*D15</f>
        <v>27.213744085933445</v>
      </c>
      <c r="G15" s="29">
        <f>F15*C29/C27</f>
        <v>35.998295880586198</v>
      </c>
      <c r="H15" s="3" t="s">
        <v>263</v>
      </c>
    </row>
    <row r="16" spans="2:13" x14ac:dyDescent="0.3">
      <c r="B16" s="3" t="s">
        <v>55</v>
      </c>
      <c r="C16" s="3" t="s">
        <v>33</v>
      </c>
      <c r="D16" s="29">
        <f>359.543844527518/1000</f>
        <v>0.35954384452751798</v>
      </c>
      <c r="E16" s="29">
        <v>200</v>
      </c>
      <c r="F16" s="29">
        <f t="shared" si="3"/>
        <v>71.908768905503592</v>
      </c>
      <c r="G16" s="29">
        <f>F16*C29/C26</f>
        <v>95.814768185147869</v>
      </c>
      <c r="H16" s="3" t="s">
        <v>265</v>
      </c>
    </row>
    <row r="17" spans="2:8" x14ac:dyDescent="0.3">
      <c r="B17" s="2" t="s">
        <v>223</v>
      </c>
      <c r="C17" s="2"/>
      <c r="D17" s="16"/>
      <c r="E17" s="16"/>
      <c r="F17" s="16"/>
      <c r="G17" s="16">
        <f>SUM(G15:G16)</f>
        <v>131.81306406573407</v>
      </c>
      <c r="H17" s="2"/>
    </row>
    <row r="18" spans="2:8" x14ac:dyDescent="0.3">
      <c r="B18" s="37" t="s">
        <v>225</v>
      </c>
      <c r="C18" s="38"/>
      <c r="D18" s="38"/>
      <c r="E18" s="38"/>
      <c r="F18" s="38"/>
      <c r="G18" s="38"/>
      <c r="H18" s="39"/>
    </row>
    <row r="19" spans="2:8" x14ac:dyDescent="0.3">
      <c r="B19" s="2" t="s">
        <v>226</v>
      </c>
      <c r="C19" s="2" t="s">
        <v>33</v>
      </c>
      <c r="D19" s="16">
        <f>-22639.240068494/1000</f>
        <v>-22.639240068494001</v>
      </c>
      <c r="E19" s="18">
        <v>15.6</v>
      </c>
      <c r="F19" s="29">
        <f>E19*D19</f>
        <v>-353.17214506850638</v>
      </c>
      <c r="G19" s="29">
        <f>F19*C29/C27</f>
        <v>-467.17553214329502</v>
      </c>
      <c r="H19" s="3" t="s">
        <v>263</v>
      </c>
    </row>
    <row r="20" spans="2:8" x14ac:dyDescent="0.3">
      <c r="B20" s="2" t="s">
        <v>223</v>
      </c>
      <c r="C20" s="2"/>
      <c r="D20" s="16"/>
      <c r="E20" s="16"/>
      <c r="F20" s="16"/>
      <c r="G20" s="16">
        <f>SUM(G19)</f>
        <v>-467.17553214329502</v>
      </c>
      <c r="H20" s="2"/>
    </row>
    <row r="21" spans="2:8" x14ac:dyDescent="0.3">
      <c r="B21" s="2" t="s">
        <v>104</v>
      </c>
      <c r="C21" s="15" t="s">
        <v>37</v>
      </c>
      <c r="D21" s="29"/>
      <c r="E21" s="29"/>
      <c r="F21" s="29"/>
      <c r="G21" s="16">
        <f>SUM('Catalyst costs'!F5)</f>
        <v>18.532800000000002</v>
      </c>
      <c r="H21" s="3" t="s">
        <v>216</v>
      </c>
    </row>
    <row r="22" spans="2:8" x14ac:dyDescent="0.3">
      <c r="B22" s="2" t="s">
        <v>211</v>
      </c>
      <c r="C22" s="15" t="s">
        <v>37</v>
      </c>
      <c r="D22" s="3"/>
      <c r="E22" s="3"/>
      <c r="F22" s="16"/>
      <c r="G22" s="16">
        <f>(G8+G13+G17+G20)*8000/1000000+G$21</f>
        <v>724.98205525734352</v>
      </c>
      <c r="H22" s="3"/>
    </row>
    <row r="23" spans="2:8" x14ac:dyDescent="0.3">
      <c r="B23" s="18"/>
      <c r="C23" s="18"/>
      <c r="D23" s="18"/>
      <c r="E23" s="18"/>
      <c r="F23" s="18"/>
      <c r="G23" s="18"/>
      <c r="H23" s="18"/>
    </row>
    <row r="24" spans="2:8" x14ac:dyDescent="0.3">
      <c r="B24" s="12" t="s">
        <v>95</v>
      </c>
      <c r="D24" s="18"/>
      <c r="E24" s="18"/>
      <c r="F24" s="18"/>
      <c r="G24" s="18"/>
      <c r="H24" s="18"/>
    </row>
    <row r="25" spans="2:8" x14ac:dyDescent="0.3">
      <c r="B25" s="11" t="s">
        <v>224</v>
      </c>
      <c r="C25" s="17">
        <v>575.4</v>
      </c>
      <c r="D25" s="18"/>
      <c r="E25" s="18"/>
      <c r="F25" s="18"/>
      <c r="G25" s="18"/>
      <c r="H25" s="18"/>
    </row>
    <row r="26" spans="2:8" x14ac:dyDescent="0.3">
      <c r="B26" s="11" t="s">
        <v>94</v>
      </c>
      <c r="C26" s="17">
        <v>603.1</v>
      </c>
      <c r="D26" s="18"/>
      <c r="E26" s="18"/>
      <c r="F26" s="18"/>
      <c r="G26" s="18"/>
      <c r="H26" s="18"/>
    </row>
    <row r="27" spans="2:8" x14ac:dyDescent="0.3">
      <c r="B27" s="11" t="s">
        <v>35</v>
      </c>
      <c r="C27" s="17">
        <v>607.5</v>
      </c>
      <c r="D27" s="18"/>
      <c r="E27" s="18"/>
      <c r="F27" s="18"/>
      <c r="G27" s="18"/>
      <c r="H27" s="18"/>
    </row>
    <row r="28" spans="2:8" x14ac:dyDescent="0.3">
      <c r="B28" s="11" t="s">
        <v>237</v>
      </c>
      <c r="C28" s="17">
        <v>776.3</v>
      </c>
      <c r="D28" s="18"/>
      <c r="E28" s="18"/>
      <c r="F28" s="18"/>
      <c r="G28" s="18"/>
      <c r="H28" s="18"/>
    </row>
    <row r="29" spans="2:8" x14ac:dyDescent="0.3">
      <c r="B29" s="11" t="s">
        <v>234</v>
      </c>
      <c r="C29" s="17">
        <v>803.6</v>
      </c>
      <c r="D29" s="18"/>
      <c r="E29" s="18"/>
      <c r="F29" s="18"/>
      <c r="G29" s="18"/>
      <c r="H29" s="18"/>
    </row>
    <row r="30" spans="2:8" x14ac:dyDescent="0.3">
      <c r="B30" s="18"/>
      <c r="C30" s="18"/>
      <c r="D30" s="18"/>
      <c r="E30" s="18"/>
      <c r="F30" s="18"/>
      <c r="G30" s="18"/>
      <c r="H30" s="18"/>
    </row>
    <row r="31" spans="2:8" x14ac:dyDescent="0.3">
      <c r="B31" s="18"/>
      <c r="C31" s="18"/>
      <c r="D31" s="18"/>
      <c r="E31" s="18"/>
      <c r="F31" s="18"/>
      <c r="G31" s="18"/>
      <c r="H31" s="18"/>
    </row>
    <row r="32" spans="2:8" x14ac:dyDescent="0.3">
      <c r="B32" s="18"/>
      <c r="C32" s="18"/>
      <c r="D32" s="18"/>
      <c r="E32" s="18"/>
      <c r="F32" s="18"/>
      <c r="G32" s="18"/>
      <c r="H32" s="18"/>
    </row>
  </sheetData>
  <mergeCells count="4">
    <mergeCell ref="B18:H18"/>
    <mergeCell ref="B4:H4"/>
    <mergeCell ref="B9:H9"/>
    <mergeCell ref="B14:H1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K56"/>
  <sheetViews>
    <sheetView topLeftCell="A25" zoomScale="110" zoomScaleNormal="110" workbookViewId="0">
      <selection activeCell="J36" sqref="J36"/>
    </sheetView>
  </sheetViews>
  <sheetFormatPr defaultRowHeight="14.4" x14ac:dyDescent="0.3"/>
  <cols>
    <col min="2" max="2" width="39.109375" bestFit="1" customWidth="1"/>
    <col min="3" max="3" width="9.5546875" bestFit="1" customWidth="1"/>
    <col min="5" max="5" width="22.5546875" bestFit="1" customWidth="1"/>
    <col min="6" max="7" width="16.88671875" bestFit="1" customWidth="1"/>
    <col min="8" max="8" width="16.33203125" bestFit="1" customWidth="1"/>
    <col min="10" max="10" width="15.6640625" bestFit="1" customWidth="1"/>
    <col min="11" max="11" width="16.33203125" bestFit="1" customWidth="1"/>
  </cols>
  <sheetData>
    <row r="3" spans="2:11" x14ac:dyDescent="0.3">
      <c r="B3" s="11" t="s">
        <v>236</v>
      </c>
      <c r="C3" s="17">
        <f>SUM(CAPEX!B198)</f>
        <v>92.366957799430551</v>
      </c>
      <c r="E3" s="43" t="s">
        <v>240</v>
      </c>
      <c r="F3" s="43"/>
      <c r="G3" s="43"/>
      <c r="H3" s="43"/>
      <c r="J3" s="37" t="s">
        <v>241</v>
      </c>
      <c r="K3" s="39"/>
    </row>
    <row r="4" spans="2:11" x14ac:dyDescent="0.3">
      <c r="B4" s="19" t="s">
        <v>60</v>
      </c>
      <c r="C4" s="17">
        <f>SUM(CAPEX!B199)</f>
        <v>345.45242216987037</v>
      </c>
      <c r="E4" s="2" t="s">
        <v>101</v>
      </c>
      <c r="F4" s="2" t="s">
        <v>252</v>
      </c>
      <c r="G4" s="2" t="s">
        <v>242</v>
      </c>
      <c r="H4" s="2" t="s">
        <v>243</v>
      </c>
      <c r="J4" s="2" t="s">
        <v>101</v>
      </c>
      <c r="K4" s="36" t="s">
        <v>243</v>
      </c>
    </row>
    <row r="5" spans="2:11" x14ac:dyDescent="0.3">
      <c r="B5" s="19" t="s">
        <v>61</v>
      </c>
      <c r="C5" s="17">
        <f>SUM(CAPEX!B200)</f>
        <v>103.6357266509611</v>
      </c>
      <c r="E5" s="3" t="s">
        <v>57</v>
      </c>
      <c r="F5" s="29">
        <f>CAPEX!H31</f>
        <v>34.531641848083744</v>
      </c>
      <c r="G5" s="29">
        <f>F5*CAPEX!$B$197/CAPEX!$B$196</f>
        <v>52.072860553800147</v>
      </c>
      <c r="H5" s="29">
        <f>(G5*CAPEX!$C$203+Summary!G5*CAPEX!$C$203*0.15)*CAPEX!$B$208</f>
        <v>51.971152554624361</v>
      </c>
      <c r="J5" s="33" t="s">
        <v>57</v>
      </c>
      <c r="K5" s="29">
        <f>H5</f>
        <v>51.971152554624361</v>
      </c>
    </row>
    <row r="6" spans="2:11" x14ac:dyDescent="0.3">
      <c r="B6" s="19" t="s">
        <v>84</v>
      </c>
      <c r="C6" s="17">
        <f>SUM(CAPEX!B201)</f>
        <v>134.72644464624943</v>
      </c>
      <c r="E6" s="3" t="s">
        <v>162</v>
      </c>
      <c r="F6" s="29">
        <f>CAPEX!H36</f>
        <v>2.8456575207252401E-2</v>
      </c>
      <c r="G6" s="29">
        <f>F6*CAPEX!$B$197/CAPEX!$B$196</f>
        <v>4.2911810539590978E-2</v>
      </c>
      <c r="H6" s="29">
        <f>(G6*CAPEX!$C$203+Summary!G6*CAPEX!$C$203*0.15)*CAPEX!$B$208</f>
        <v>4.2827995778032361E-2</v>
      </c>
      <c r="J6" s="33" t="s">
        <v>162</v>
      </c>
      <c r="K6" s="29">
        <f t="shared" ref="K6:K10" si="0">H6</f>
        <v>4.2827995778032361E-2</v>
      </c>
    </row>
    <row r="7" spans="2:11" x14ac:dyDescent="0.3">
      <c r="B7" s="19" t="s">
        <v>63</v>
      </c>
      <c r="C7" s="17">
        <f>SUM(CAPEX!B202)</f>
        <v>44.908814882083149</v>
      </c>
      <c r="E7" s="3" t="s">
        <v>165</v>
      </c>
      <c r="F7" s="29">
        <f>CAPEX!H160</f>
        <v>19.156224634884971</v>
      </c>
      <c r="G7" s="29">
        <f>F7*CAPEX!$B$197/CAPEX!$B$196</f>
        <v>28.887112247313876</v>
      </c>
      <c r="H7" s="29">
        <f>(G7*CAPEX!$C$203+Summary!G7*CAPEX!$C$203*0.15)*CAPEX!$B$208</f>
        <v>28.830690334682345</v>
      </c>
      <c r="J7" s="33" t="s">
        <v>165</v>
      </c>
      <c r="K7" s="29">
        <f t="shared" si="0"/>
        <v>28.830690334682345</v>
      </c>
    </row>
    <row r="8" spans="2:11" x14ac:dyDescent="0.3">
      <c r="B8" s="19" t="s">
        <v>64</v>
      </c>
      <c r="C8" s="17">
        <f>SUM(CAPEX!B203)</f>
        <v>628.72340834916417</v>
      </c>
      <c r="E8" s="3" t="s">
        <v>58</v>
      </c>
      <c r="F8" s="29">
        <f>CAPEX!H165</f>
        <v>4.1811994817937723</v>
      </c>
      <c r="G8" s="29">
        <f>F8*CAPEX!$B$197/CAPEX!$B$196</f>
        <v>6.305145249708155</v>
      </c>
      <c r="H8" s="29">
        <f>(G8*CAPEX!$C$203+Summary!G8*CAPEX!$C$203*0.15)*CAPEX!$B$208</f>
        <v>6.2928301262246285</v>
      </c>
      <c r="J8" s="33" t="s">
        <v>58</v>
      </c>
      <c r="K8" s="29">
        <f t="shared" si="0"/>
        <v>6.2928301262246285</v>
      </c>
    </row>
    <row r="9" spans="2:11" x14ac:dyDescent="0.3">
      <c r="B9" s="19" t="s">
        <v>67</v>
      </c>
      <c r="C9" s="17">
        <f>SUM(CAPEX!B204)</f>
        <v>94.308511252374629</v>
      </c>
      <c r="E9" s="3" t="s">
        <v>164</v>
      </c>
      <c r="F9" s="29">
        <f>CAPEX!H177</f>
        <v>3.1317040423722506</v>
      </c>
      <c r="G9" s="29">
        <f>F9*CAPEX!$B$197/CAPEX!$B$196</f>
        <v>4.7225321231944841</v>
      </c>
      <c r="H9" s="29">
        <f>(G9*CAPEX!$C$203+Summary!G9*CAPEX!$C$203*0.15)*CAPEX!$B$208</f>
        <v>4.7133081380285988</v>
      </c>
      <c r="J9" s="33" t="s">
        <v>164</v>
      </c>
      <c r="K9" s="29">
        <f t="shared" si="0"/>
        <v>4.7133081380285988</v>
      </c>
    </row>
    <row r="10" spans="2:11" x14ac:dyDescent="0.3">
      <c r="B10" s="11" t="s">
        <v>65</v>
      </c>
      <c r="C10" s="17">
        <f>SUM(CAPEX!B205)</f>
        <v>723.03191960153879</v>
      </c>
      <c r="E10" s="3" t="s">
        <v>244</v>
      </c>
      <c r="F10" s="29">
        <f>CAPEX!H181+CAPEX!H185+CAPEX!H189+CAPEX!H193</f>
        <v>0.22307781202901966</v>
      </c>
      <c r="G10" s="29">
        <f>F10*CAPEX!$B$197/CAPEX!$B$196</f>
        <v>0.33639581487431075</v>
      </c>
      <c r="H10" s="29">
        <f>(G10*CAPEX!$C$203+Summary!G10*CAPEX!$C$203*0.15)*CAPEX!$B$208</f>
        <v>0.33573877116866246</v>
      </c>
      <c r="J10" s="33" t="s">
        <v>244</v>
      </c>
      <c r="K10" s="29">
        <f t="shared" si="0"/>
        <v>0.33573877116866246</v>
      </c>
    </row>
    <row r="11" spans="2:11" x14ac:dyDescent="0.3">
      <c r="B11" s="11" t="s">
        <v>89</v>
      </c>
      <c r="C11" s="17">
        <f>SUM('Production costs'!C9)</f>
        <v>7.3406250000000002</v>
      </c>
      <c r="E11" s="2" t="s">
        <v>146</v>
      </c>
      <c r="F11" s="16">
        <f>SUM(F5:F10)</f>
        <v>61.252304394371009</v>
      </c>
      <c r="G11" s="16">
        <f>SUM(G5:G10)</f>
        <v>92.366957799430566</v>
      </c>
      <c r="H11" s="16">
        <f>SUM(H5:H10)</f>
        <v>92.186547920506626</v>
      </c>
      <c r="J11" s="35" t="s">
        <v>146</v>
      </c>
      <c r="K11" s="16">
        <f>SUM(K5:K10)</f>
        <v>92.186547920506626</v>
      </c>
    </row>
    <row r="12" spans="2:11" x14ac:dyDescent="0.3">
      <c r="B12" s="11" t="s">
        <v>90</v>
      </c>
      <c r="C12" s="17">
        <f>SUM('Production costs'!C12)</f>
        <v>10.363572665096111</v>
      </c>
    </row>
    <row r="13" spans="2:11" x14ac:dyDescent="0.3">
      <c r="B13" s="11" t="s">
        <v>78</v>
      </c>
      <c r="C13" s="17">
        <f>SUM('Production costs'!C16)</f>
        <v>20.489491458729102</v>
      </c>
      <c r="E13" s="37" t="s">
        <v>245</v>
      </c>
      <c r="F13" s="39"/>
      <c r="J13" s="37" t="s">
        <v>246</v>
      </c>
      <c r="K13" s="39"/>
    </row>
    <row r="14" spans="2:11" x14ac:dyDescent="0.3">
      <c r="B14" s="11" t="s">
        <v>86</v>
      </c>
      <c r="C14" s="17">
        <f>SUM('Production costs'!C19)</f>
        <v>5.6585106751424776</v>
      </c>
      <c r="E14" s="2" t="s">
        <v>247</v>
      </c>
      <c r="F14" s="2" t="s">
        <v>37</v>
      </c>
      <c r="J14" s="2" t="s">
        <v>247</v>
      </c>
      <c r="K14" s="2" t="s">
        <v>37</v>
      </c>
    </row>
    <row r="15" spans="2:11" x14ac:dyDescent="0.3">
      <c r="B15" s="11" t="s">
        <v>27</v>
      </c>
      <c r="C15" s="17">
        <f>SUM(CAPEX!B206)</f>
        <v>25</v>
      </c>
      <c r="E15" s="3" t="s">
        <v>81</v>
      </c>
      <c r="F15" s="29">
        <f>'Production costs'!C6</f>
        <v>4.05</v>
      </c>
      <c r="J15" s="3" t="s">
        <v>248</v>
      </c>
      <c r="K15" s="29">
        <f>F15+F16+F17</f>
        <v>7.3406250000000002</v>
      </c>
    </row>
    <row r="16" spans="2:11" x14ac:dyDescent="0.3">
      <c r="B16" s="11" t="s">
        <v>28</v>
      </c>
      <c r="C16" s="17">
        <f>SUM(CAPEX!B207)</f>
        <v>0.12</v>
      </c>
      <c r="E16" s="3" t="s">
        <v>69</v>
      </c>
      <c r="F16" s="29">
        <f>'Production costs'!C7</f>
        <v>1.0125</v>
      </c>
      <c r="J16" s="3" t="s">
        <v>76</v>
      </c>
      <c r="K16" s="29">
        <f>F18</f>
        <v>10.363572665096111</v>
      </c>
    </row>
    <row r="17" spans="2:11" x14ac:dyDescent="0.3">
      <c r="B17" s="11" t="s">
        <v>29</v>
      </c>
      <c r="C17" s="13">
        <f>SUM(CAPEX!B208)</f>
        <v>0.12749996980950773</v>
      </c>
      <c r="E17" s="3" t="s">
        <v>73</v>
      </c>
      <c r="F17" s="29">
        <f>'Production costs'!C8</f>
        <v>2.2781250000000002</v>
      </c>
      <c r="J17" s="3" t="s">
        <v>249</v>
      </c>
      <c r="K17" s="29">
        <f>F19+F20</f>
        <v>20.489491458729102</v>
      </c>
    </row>
    <row r="18" spans="2:11" x14ac:dyDescent="0.3">
      <c r="B18" s="12" t="s">
        <v>36</v>
      </c>
      <c r="C18" s="14">
        <f>SUM(CAPEX!B210)</f>
        <v>92.186547920506612</v>
      </c>
      <c r="E18" s="3" t="s">
        <v>76</v>
      </c>
      <c r="F18" s="29">
        <f>'Production costs'!C11</f>
        <v>10.363572665096111</v>
      </c>
      <c r="J18" s="3" t="s">
        <v>86</v>
      </c>
      <c r="K18" s="29">
        <f>F21</f>
        <v>5.6585106751424776</v>
      </c>
    </row>
    <row r="19" spans="2:11" x14ac:dyDescent="0.3">
      <c r="B19" s="12" t="s">
        <v>218</v>
      </c>
      <c r="C19" s="14">
        <f>'Production costs'!C20</f>
        <v>43.852199798967689</v>
      </c>
      <c r="E19" s="3" t="s">
        <v>80</v>
      </c>
      <c r="F19" s="29">
        <f>'Production costs'!C14</f>
        <v>11.507728482312473</v>
      </c>
      <c r="J19" s="2" t="s">
        <v>146</v>
      </c>
      <c r="K19" s="16">
        <f>SUM(K15:K18)</f>
        <v>43.852199798967689</v>
      </c>
    </row>
    <row r="20" spans="2:11" x14ac:dyDescent="0.3">
      <c r="B20" s="12" t="s">
        <v>56</v>
      </c>
      <c r="C20" s="14">
        <f>OPEX!G22</f>
        <v>724.98205525734352</v>
      </c>
      <c r="E20" s="3" t="s">
        <v>83</v>
      </c>
      <c r="F20" s="29">
        <f>'Production costs'!C15</f>
        <v>8.9817629764166291</v>
      </c>
    </row>
    <row r="21" spans="2:11" x14ac:dyDescent="0.3">
      <c r="B21" s="12" t="s">
        <v>219</v>
      </c>
      <c r="C21" s="14">
        <f>($C$18+$C$19+C20)</f>
        <v>861.02080297681778</v>
      </c>
      <c r="E21" s="3" t="s">
        <v>87</v>
      </c>
      <c r="F21" s="29">
        <f>'Production costs'!C18</f>
        <v>5.6585106751424776</v>
      </c>
    </row>
    <row r="22" spans="2:11" x14ac:dyDescent="0.3">
      <c r="B22" s="12" t="s">
        <v>220</v>
      </c>
      <c r="C22" s="14">
        <f>(C21)*1000000/8000</f>
        <v>107627.60037210221</v>
      </c>
      <c r="E22" s="2" t="s">
        <v>146</v>
      </c>
      <c r="F22" s="16">
        <f>SUM(F15:F21)</f>
        <v>43.852199798967689</v>
      </c>
    </row>
    <row r="23" spans="2:11" x14ac:dyDescent="0.3">
      <c r="B23" s="12" t="s">
        <v>221</v>
      </c>
      <c r="C23" s="14">
        <v>58559.194459623097</v>
      </c>
    </row>
    <row r="24" spans="2:11" x14ac:dyDescent="0.3">
      <c r="B24" s="26" t="s">
        <v>217</v>
      </c>
      <c r="C24" s="25">
        <f>C22/C23</f>
        <v>1.837928294015589</v>
      </c>
      <c r="E24" s="37" t="s">
        <v>250</v>
      </c>
      <c r="F24" s="39"/>
    </row>
    <row r="25" spans="2:11" x14ac:dyDescent="0.3">
      <c r="B25" s="26" t="s">
        <v>238</v>
      </c>
      <c r="C25" s="34">
        <f>C24*1000</f>
        <v>1837.928294015589</v>
      </c>
      <c r="E25" s="2" t="s">
        <v>247</v>
      </c>
      <c r="F25" s="2" t="s">
        <v>37</v>
      </c>
    </row>
    <row r="26" spans="2:11" x14ac:dyDescent="0.3">
      <c r="E26" s="3" t="s">
        <v>260</v>
      </c>
      <c r="F26" s="29">
        <f>OPEX!G5*8000/10^6</f>
        <v>73.237698612818377</v>
      </c>
    </row>
    <row r="27" spans="2:11" x14ac:dyDescent="0.3">
      <c r="E27" s="3" t="s">
        <v>96</v>
      </c>
      <c r="F27" s="29">
        <f>OPEX!G6*8000/10^6</f>
        <v>219.62472477373663</v>
      </c>
    </row>
    <row r="28" spans="2:11" x14ac:dyDescent="0.3">
      <c r="E28" s="3" t="s">
        <v>222</v>
      </c>
      <c r="F28" s="29">
        <f>OPEX!G7*8000/10^6</f>
        <v>380.7552285623039</v>
      </c>
    </row>
    <row r="29" spans="2:11" x14ac:dyDescent="0.3">
      <c r="E29" s="3" t="s">
        <v>25</v>
      </c>
      <c r="F29" s="29">
        <f>OPEX!G10*8000/10^6</f>
        <v>6.2560710884306303</v>
      </c>
    </row>
    <row r="30" spans="2:11" x14ac:dyDescent="0.3">
      <c r="E30" s="3" t="s">
        <v>26</v>
      </c>
      <c r="F30" s="29">
        <f>OPEX!G11*8000/10^6</f>
        <v>20.501466886374228</v>
      </c>
    </row>
    <row r="31" spans="2:11" x14ac:dyDescent="0.3">
      <c r="E31" s="3" t="s">
        <v>261</v>
      </c>
      <c r="F31" s="29">
        <f>OPEX!G12*8000/10^6</f>
        <v>8.7569650783002952</v>
      </c>
    </row>
    <row r="32" spans="2:11" x14ac:dyDescent="0.3">
      <c r="E32" s="3" t="s">
        <v>230</v>
      </c>
      <c r="F32" s="29">
        <f>OPEX!G15*8000/10^6</f>
        <v>0.28798636704468961</v>
      </c>
    </row>
    <row r="33" spans="5:9" x14ac:dyDescent="0.3">
      <c r="E33" s="3" t="s">
        <v>55</v>
      </c>
      <c r="F33" s="29">
        <f>OPEX!G16*8000/10^6</f>
        <v>0.76651814548118291</v>
      </c>
    </row>
    <row r="34" spans="5:9" x14ac:dyDescent="0.3">
      <c r="E34" s="3" t="s">
        <v>226</v>
      </c>
      <c r="F34" s="29">
        <f>OPEX!G19*8000/10^6</f>
        <v>-3.7374042571463604</v>
      </c>
    </row>
    <row r="35" spans="5:9" x14ac:dyDescent="0.3">
      <c r="E35" s="3" t="s">
        <v>251</v>
      </c>
      <c r="F35" s="29">
        <f>OPEX!G21</f>
        <v>18.532800000000002</v>
      </c>
    </row>
    <row r="36" spans="5:9" x14ac:dyDescent="0.3">
      <c r="E36" s="2" t="s">
        <v>146</v>
      </c>
      <c r="F36" s="16">
        <f>SUM(F26:F35)</f>
        <v>724.98205525734352</v>
      </c>
    </row>
    <row r="38" spans="5:9" x14ac:dyDescent="0.3">
      <c r="E38" s="43" t="s">
        <v>268</v>
      </c>
      <c r="F38" s="43"/>
      <c r="G38" s="43"/>
      <c r="H38" s="43"/>
    </row>
    <row r="39" spans="5:9" x14ac:dyDescent="0.3">
      <c r="E39" s="2" t="s">
        <v>247</v>
      </c>
      <c r="F39" s="2" t="s">
        <v>269</v>
      </c>
      <c r="G39" s="2" t="s">
        <v>275</v>
      </c>
      <c r="H39" s="2" t="s">
        <v>30</v>
      </c>
    </row>
    <row r="40" spans="5:9" x14ac:dyDescent="0.3">
      <c r="E40" s="3" t="s">
        <v>272</v>
      </c>
      <c r="F40" s="27">
        <v>0</v>
      </c>
      <c r="G40" s="27">
        <v>0</v>
      </c>
      <c r="H40" s="3" t="s">
        <v>33</v>
      </c>
    </row>
    <row r="41" spans="5:9" x14ac:dyDescent="0.3">
      <c r="E41" s="3" t="s">
        <v>260</v>
      </c>
      <c r="F41" s="27">
        <f>F26*10^9/8000/$C$23</f>
        <v>156.33262054030686</v>
      </c>
      <c r="G41" s="27">
        <f>SUM(OPEX!D5)</f>
        <v>42.148090432357797</v>
      </c>
      <c r="H41" s="3" t="s">
        <v>33</v>
      </c>
    </row>
    <row r="42" spans="5:9" x14ac:dyDescent="0.3">
      <c r="E42" s="3" t="s">
        <v>279</v>
      </c>
      <c r="F42" s="27">
        <v>0</v>
      </c>
      <c r="G42" s="27">
        <v>0</v>
      </c>
      <c r="H42" s="3" t="s">
        <v>33</v>
      </c>
    </row>
    <row r="43" spans="5:9" x14ac:dyDescent="0.3">
      <c r="E43" s="3" t="s">
        <v>273</v>
      </c>
      <c r="F43" s="27">
        <v>0</v>
      </c>
      <c r="G43" s="27">
        <v>0</v>
      </c>
      <c r="H43" s="3" t="s">
        <v>33</v>
      </c>
    </row>
    <row r="44" spans="5:9" x14ac:dyDescent="0.3">
      <c r="E44" s="3" t="s">
        <v>96</v>
      </c>
      <c r="F44" s="27">
        <f t="shared" ref="F44:F48" si="1">F27*10^9/8000/$C$23</f>
        <v>468.80922543506199</v>
      </c>
      <c r="G44" s="27">
        <f>SUM(OPEX!D6)</f>
        <v>5.82971870176398</v>
      </c>
      <c r="H44" s="3" t="s">
        <v>33</v>
      </c>
    </row>
    <row r="45" spans="5:9" x14ac:dyDescent="0.3">
      <c r="E45" s="3" t="s">
        <v>222</v>
      </c>
      <c r="F45" s="27">
        <f t="shared" si="1"/>
        <v>812.7571427421974</v>
      </c>
      <c r="G45" s="27">
        <f>SUM(OPEX!D7)</f>
        <v>27.8268289304375</v>
      </c>
      <c r="H45" s="3" t="s">
        <v>33</v>
      </c>
    </row>
    <row r="46" spans="5:9" x14ac:dyDescent="0.3">
      <c r="E46" s="3" t="s">
        <v>25</v>
      </c>
      <c r="F46" s="27">
        <f t="shared" si="1"/>
        <v>13.354160576662791</v>
      </c>
      <c r="G46" s="27">
        <f>SUM(OPEX!D10)</f>
        <v>16421.602727922298</v>
      </c>
      <c r="H46" s="3" t="s">
        <v>276</v>
      </c>
    </row>
    <row r="47" spans="5:9" x14ac:dyDescent="0.3">
      <c r="E47" s="3" t="s">
        <v>26</v>
      </c>
      <c r="F47" s="27">
        <f t="shared" si="1"/>
        <v>43.762271398110904</v>
      </c>
      <c r="G47" s="27">
        <f>SUM(OPEX!D11)</f>
        <v>27.8350537109595</v>
      </c>
      <c r="H47" s="3" t="s">
        <v>229</v>
      </c>
    </row>
    <row r="48" spans="5:9" x14ac:dyDescent="0.3">
      <c r="E48" s="3" t="s">
        <v>261</v>
      </c>
      <c r="F48" s="27">
        <f t="shared" si="1"/>
        <v>18.69254939191973</v>
      </c>
      <c r="G48" s="27">
        <f>SUM(OPEX!D12)</f>
        <v>2.01800390320268</v>
      </c>
      <c r="H48" s="3" t="s">
        <v>33</v>
      </c>
      <c r="I48">
        <f>F48/F56*100</f>
        <v>1.0170445415516944</v>
      </c>
    </row>
    <row r="49" spans="5:8" x14ac:dyDescent="0.3">
      <c r="E49" s="3" t="s">
        <v>274</v>
      </c>
      <c r="F49" s="27">
        <v>0</v>
      </c>
      <c r="G49" s="27">
        <v>0</v>
      </c>
      <c r="H49" s="3" t="s">
        <v>33</v>
      </c>
    </row>
    <row r="50" spans="5:8" x14ac:dyDescent="0.3">
      <c r="E50" s="3" t="s">
        <v>230</v>
      </c>
      <c r="F50" s="27">
        <f>F32*10^9/8000/$C$23</f>
        <v>0.61473345411892977</v>
      </c>
      <c r="G50" s="27">
        <f>SUM(OPEX!D15)</f>
        <v>17.008590053708403</v>
      </c>
      <c r="H50" s="3" t="s">
        <v>276</v>
      </c>
    </row>
    <row r="51" spans="5:8" x14ac:dyDescent="0.3">
      <c r="E51" s="3" t="s">
        <v>55</v>
      </c>
      <c r="F51" s="27">
        <f>F33*10^9/8000/$C$23</f>
        <v>1.6362036580133066</v>
      </c>
      <c r="G51" s="27">
        <f>SUM(OPEX!D16)</f>
        <v>0.35954384452751798</v>
      </c>
      <c r="H51" s="3" t="s">
        <v>33</v>
      </c>
    </row>
    <row r="52" spans="5:8" x14ac:dyDescent="0.3">
      <c r="E52" s="3" t="s">
        <v>226</v>
      </c>
      <c r="F52" s="27">
        <f>F34*10^9/8000/$C$23</f>
        <v>-7.9778339926689954</v>
      </c>
      <c r="G52" s="27">
        <f>SUM(OPEX!D19)</f>
        <v>-22.639240068494001</v>
      </c>
      <c r="H52" s="3" t="s">
        <v>33</v>
      </c>
    </row>
    <row r="53" spans="5:8" x14ac:dyDescent="0.3">
      <c r="E53" s="3" t="s">
        <v>251</v>
      </c>
      <c r="F53" s="27">
        <f>F35*10^9/8000/$C$23</f>
        <v>39.559970409041554</v>
      </c>
      <c r="G53" s="27">
        <v>0</v>
      </c>
      <c r="H53" s="3" t="s">
        <v>277</v>
      </c>
    </row>
    <row r="54" spans="5:8" x14ac:dyDescent="0.3">
      <c r="E54" s="3" t="s">
        <v>271</v>
      </c>
      <c r="F54" s="27">
        <f>K19*10^9/8000/$C$23</f>
        <v>93.606563844564221</v>
      </c>
      <c r="G54" s="27">
        <v>0</v>
      </c>
      <c r="H54" s="3" t="s">
        <v>277</v>
      </c>
    </row>
    <row r="55" spans="5:8" x14ac:dyDescent="0.3">
      <c r="E55" s="3" t="s">
        <v>270</v>
      </c>
      <c r="F55" s="27">
        <f>H11*10^9/8000/$C$23</f>
        <v>196.7806865582607</v>
      </c>
      <c r="G55" s="27"/>
      <c r="H55" s="3" t="s">
        <v>277</v>
      </c>
    </row>
    <row r="56" spans="5:8" x14ac:dyDescent="0.3">
      <c r="E56" s="2" t="s">
        <v>146</v>
      </c>
      <c r="F56" s="15">
        <f>SUM(F40:F55)</f>
        <v>1837.9282940155895</v>
      </c>
      <c r="G56" s="3"/>
      <c r="H56" s="3"/>
    </row>
  </sheetData>
  <mergeCells count="6">
    <mergeCell ref="E38:H38"/>
    <mergeCell ref="E3:H3"/>
    <mergeCell ref="J3:K3"/>
    <mergeCell ref="E13:F13"/>
    <mergeCell ref="J13:K13"/>
    <mergeCell ref="E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CAPEX</vt:lpstr>
      <vt:lpstr>Production costs</vt:lpstr>
      <vt:lpstr>Catalyst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2022-09-26T17:00:37Z</dcterms:modified>
</cp:coreProperties>
</file>