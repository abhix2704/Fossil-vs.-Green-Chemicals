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nabera\Desktop\Natural gas v chemicals\Propanol\"/>
    </mc:Choice>
  </mc:AlternateContent>
  <xr:revisionPtr revIDLastSave="0" documentId="13_ncr:1_{C49355F3-3327-44E0-9CEF-A3A1898F249A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" i="8" l="1"/>
  <c r="L25" i="7"/>
  <c r="L23" i="7"/>
  <c r="L22" i="7"/>
  <c r="D130" i="7"/>
  <c r="D126" i="7"/>
  <c r="D122" i="7"/>
  <c r="D118" i="7"/>
  <c r="D104" i="7"/>
  <c r="D103" i="7"/>
  <c r="D102" i="7"/>
  <c r="D101" i="7"/>
  <c r="H101" i="7" s="1"/>
  <c r="D81" i="7"/>
  <c r="H81" i="7" s="1"/>
  <c r="D80" i="7"/>
  <c r="D57" i="7"/>
  <c r="H57" i="7" s="1"/>
  <c r="D56" i="7"/>
  <c r="D55" i="7"/>
  <c r="H55" i="7" s="1"/>
  <c r="D54" i="7"/>
  <c r="D46" i="7"/>
  <c r="H46" i="7" s="1"/>
  <c r="D45" i="7"/>
  <c r="D39" i="7"/>
  <c r="H39" i="7" s="1"/>
  <c r="D38" i="7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4" i="7"/>
  <c r="N24" i="7" s="1"/>
  <c r="M25" i="7"/>
  <c r="N25" i="7" s="1"/>
  <c r="D33" i="7" l="1"/>
  <c r="D32" i="7"/>
  <c r="D31" i="7"/>
  <c r="D17" i="8"/>
  <c r="G52" i="11" s="1"/>
  <c r="D16" i="8"/>
  <c r="G51" i="11" s="1"/>
  <c r="D15" i="8"/>
  <c r="G50" i="11" s="1"/>
  <c r="D12" i="8"/>
  <c r="G48" i="11" s="1"/>
  <c r="D11" i="8"/>
  <c r="G47" i="11" s="1"/>
  <c r="D7" i="8"/>
  <c r="G46" i="11" s="1"/>
  <c r="D6" i="8"/>
  <c r="G44" i="11" s="1"/>
  <c r="D5" i="8"/>
  <c r="G41" i="11" s="1"/>
  <c r="G53" i="11"/>
  <c r="G45" i="11"/>
  <c r="H91" i="7" l="1"/>
  <c r="H77" i="7"/>
  <c r="H76" i="7"/>
  <c r="H74" i="7"/>
  <c r="H67" i="7"/>
  <c r="H61" i="7"/>
  <c r="H44" i="7"/>
  <c r="H43" i="7"/>
  <c r="K5" i="8"/>
  <c r="F20" i="8" l="1"/>
  <c r="G20" i="8" s="1"/>
  <c r="F35" i="11" s="1"/>
  <c r="F53" i="11" s="1"/>
  <c r="L5" i="8"/>
  <c r="M5" i="8" s="1"/>
  <c r="F17" i="8"/>
  <c r="G17" i="8" s="1"/>
  <c r="F34" i="11" s="1"/>
  <c r="F52" i="11" s="1"/>
  <c r="F16" i="8"/>
  <c r="G16" i="8" s="1"/>
  <c r="F33" i="11" s="1"/>
  <c r="F51" i="11" s="1"/>
  <c r="E11" i="8"/>
  <c r="F15" i="8"/>
  <c r="G15" i="8" s="1"/>
  <c r="F32" i="11" s="1"/>
  <c r="F50" i="11" s="1"/>
  <c r="F8" i="8"/>
  <c r="G8" i="8" s="1"/>
  <c r="F29" i="11" s="1"/>
  <c r="F45" i="11" s="1"/>
  <c r="F7" i="8"/>
  <c r="G7" i="8" s="1"/>
  <c r="F28" i="11" s="1"/>
  <c r="F46" i="11" s="1"/>
  <c r="F6" i="8"/>
  <c r="G6" i="8" s="1"/>
  <c r="F27" i="11" s="1"/>
  <c r="F44" i="11" s="1"/>
  <c r="G18" i="8" l="1"/>
  <c r="G21" i="8"/>
  <c r="H28" i="7" l="1"/>
  <c r="H27" i="7"/>
  <c r="H26" i="7"/>
  <c r="H25" i="7"/>
  <c r="H24" i="7"/>
  <c r="H23" i="7"/>
  <c r="H22" i="7"/>
  <c r="H21" i="7"/>
  <c r="H20" i="7"/>
  <c r="O25" i="7"/>
  <c r="Q25" i="7" s="1"/>
  <c r="O24" i="7"/>
  <c r="Q24" i="7" s="1"/>
  <c r="H130" i="7"/>
  <c r="H126" i="7"/>
  <c r="H122" i="7"/>
  <c r="H118" i="7"/>
  <c r="H33" i="7"/>
  <c r="H32" i="7"/>
  <c r="H31" i="7"/>
  <c r="H104" i="7"/>
  <c r="H103" i="7"/>
  <c r="H102" i="7"/>
  <c r="O13" i="7"/>
  <c r="Q13" i="7" s="1"/>
  <c r="D100" i="7" s="1"/>
  <c r="O21" i="7"/>
  <c r="Q21" i="7" s="1"/>
  <c r="D114" i="7" s="1"/>
  <c r="H114" i="7" s="1"/>
  <c r="O20" i="7"/>
  <c r="Q20" i="7" s="1"/>
  <c r="H97" i="7"/>
  <c r="H96" i="7"/>
  <c r="H95" i="7"/>
  <c r="H94" i="7"/>
  <c r="H93" i="7"/>
  <c r="H92" i="7"/>
  <c r="H90" i="7"/>
  <c r="H89" i="7"/>
  <c r="H88" i="7"/>
  <c r="H87" i="7"/>
  <c r="H86" i="7"/>
  <c r="H85" i="7"/>
  <c r="H84" i="7"/>
  <c r="H83" i="7"/>
  <c r="H82" i="7"/>
  <c r="H80" i="7"/>
  <c r="H79" i="7"/>
  <c r="H78" i="7"/>
  <c r="H75" i="7"/>
  <c r="H73" i="7"/>
  <c r="H72" i="7"/>
  <c r="H71" i="7"/>
  <c r="H70" i="7"/>
  <c r="H69" i="7"/>
  <c r="H68" i="7"/>
  <c r="H66" i="7"/>
  <c r="H65" i="7"/>
  <c r="H64" i="7"/>
  <c r="H63" i="7"/>
  <c r="H62" i="7"/>
  <c r="H60" i="7"/>
  <c r="H59" i="7"/>
  <c r="H58" i="7"/>
  <c r="H56" i="7"/>
  <c r="H34" i="7" l="1"/>
  <c r="F6" i="11" s="1"/>
  <c r="G6" i="11" s="1"/>
  <c r="D129" i="7"/>
  <c r="H129" i="7" s="1"/>
  <c r="H131" i="7" s="1"/>
  <c r="D125" i="7"/>
  <c r="H125" i="7" s="1"/>
  <c r="H127" i="7" s="1"/>
  <c r="O23" i="7"/>
  <c r="Q23" i="7" s="1"/>
  <c r="O22" i="7"/>
  <c r="Q22" i="7" s="1"/>
  <c r="D113" i="7"/>
  <c r="H113" i="7" s="1"/>
  <c r="F5" i="8"/>
  <c r="G5" i="8" s="1"/>
  <c r="F26" i="11" s="1"/>
  <c r="F41" i="11" s="1"/>
  <c r="D121" i="7" l="1"/>
  <c r="H121" i="7" s="1"/>
  <c r="H123" i="7" s="1"/>
  <c r="D117" i="7"/>
  <c r="H117" i="7" s="1"/>
  <c r="H119" i="7" s="1"/>
  <c r="G9" i="8"/>
  <c r="E5" i="13"/>
  <c r="F5" i="13" s="1"/>
  <c r="G22" i="8" s="1"/>
  <c r="F36" i="11" s="1"/>
  <c r="F54" i="11" s="1"/>
  <c r="F10" i="11" l="1"/>
  <c r="G10" i="11" s="1"/>
  <c r="H54" i="7"/>
  <c r="H53" i="7"/>
  <c r="H52" i="7"/>
  <c r="H51" i="7"/>
  <c r="H50" i="7"/>
  <c r="H49" i="7"/>
  <c r="H48" i="7"/>
  <c r="H47" i="7"/>
  <c r="H45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O19" i="7"/>
  <c r="Q19" i="7" s="1"/>
  <c r="D112" i="7" s="1"/>
  <c r="H112" i="7" s="1"/>
  <c r="O18" i="7"/>
  <c r="Q18" i="7" s="1"/>
  <c r="D111" i="7" s="1"/>
  <c r="H111" i="7" s="1"/>
  <c r="O17" i="7"/>
  <c r="Q17" i="7" s="1"/>
  <c r="H42" i="7"/>
  <c r="H19" i="7"/>
  <c r="H18" i="7"/>
  <c r="H29" i="7" l="1"/>
  <c r="F5" i="11" s="1"/>
  <c r="G5" i="11" s="1"/>
  <c r="D110" i="7"/>
  <c r="H110" i="7" s="1"/>
  <c r="H41" i="7"/>
  <c r="H40" i="7"/>
  <c r="H38" i="7"/>
  <c r="H37" i="7"/>
  <c r="H36" i="7"/>
  <c r="H98" i="7" l="1"/>
  <c r="F7" i="11" s="1"/>
  <c r="G7" i="11" s="1"/>
  <c r="F12" i="8"/>
  <c r="G12" i="8" s="1"/>
  <c r="F31" i="11" s="1"/>
  <c r="F48" i="11" s="1"/>
  <c r="F11" i="8"/>
  <c r="G11" i="8" s="1"/>
  <c r="F30" i="11" s="1"/>
  <c r="F47" i="11" s="1"/>
  <c r="B146" i="7"/>
  <c r="C17" i="11" s="1"/>
  <c r="G13" i="8" l="1"/>
  <c r="G23" i="8" s="1"/>
  <c r="C20" i="11" s="1"/>
  <c r="O16" i="7"/>
  <c r="Q16" i="7" s="1"/>
  <c r="O15" i="7"/>
  <c r="Q15" i="7" s="1"/>
  <c r="O14" i="7"/>
  <c r="Q14" i="7" s="1"/>
  <c r="D107" i="7" s="1"/>
  <c r="H107" i="7" s="1"/>
  <c r="D108" i="7" l="1"/>
  <c r="H108" i="7" s="1"/>
  <c r="D109" i="7"/>
  <c r="H109" i="7" s="1"/>
  <c r="H100" i="7"/>
  <c r="H105" i="7" s="1"/>
  <c r="F8" i="11" s="1"/>
  <c r="G8" i="11" s="1"/>
  <c r="H115" i="7" l="1"/>
  <c r="H132" i="7" l="1"/>
  <c r="B136" i="7" s="1"/>
  <c r="C3" i="11" s="1"/>
  <c r="F9" i="11"/>
  <c r="G9" i="11" s="1"/>
  <c r="B137" i="7" l="1"/>
  <c r="B138" i="7" s="1"/>
  <c r="C5" i="11" s="1"/>
  <c r="B140" i="7" l="1"/>
  <c r="C7" i="11" s="1"/>
  <c r="C15" i="12"/>
  <c r="F20" i="11" s="1"/>
  <c r="B141" i="7"/>
  <c r="B142" i="7" s="1"/>
  <c r="C18" i="12" s="1"/>
  <c r="B139" i="7"/>
  <c r="C6" i="11" s="1"/>
  <c r="C11" i="12"/>
  <c r="C4" i="11"/>
  <c r="C19" i="12" l="1"/>
  <c r="C14" i="11" s="1"/>
  <c r="F21" i="11"/>
  <c r="C12" i="12"/>
  <c r="C12" i="11" s="1"/>
  <c r="F18" i="11"/>
  <c r="C14" i="12"/>
  <c r="C9" i="11"/>
  <c r="C141" i="7"/>
  <c r="C8" i="11"/>
  <c r="B143" i="7"/>
  <c r="C10" i="11" s="1"/>
  <c r="C16" i="12" l="1"/>
  <c r="C13" i="11" s="1"/>
  <c r="F19" i="11"/>
  <c r="H6" i="11"/>
  <c r="H10" i="11"/>
  <c r="H5" i="11"/>
  <c r="H7" i="11"/>
  <c r="H8" i="11"/>
  <c r="H9" i="11"/>
  <c r="B147" i="7"/>
  <c r="B148" i="7" s="1"/>
  <c r="C18" i="11" s="1"/>
  <c r="C20" i="12" l="1"/>
  <c r="C19" i="11" s="1"/>
  <c r="C21" i="11" s="1"/>
  <c r="C22" i="11" s="1"/>
  <c r="C24" i="11" s="1"/>
  <c r="C25" i="11" s="1"/>
  <c r="K15" i="11" l="1"/>
  <c r="F37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5" i="11" s="1"/>
  <c r="H11" i="11"/>
  <c r="K5" i="11"/>
  <c r="K11" i="11" s="1"/>
  <c r="F56" i="11" l="1"/>
  <c r="F57" i="11" s="1"/>
</calcChain>
</file>

<file path=xl/sharedStrings.xml><?xml version="1.0" encoding="utf-8"?>
<sst xmlns="http://schemas.openxmlformats.org/spreadsheetml/2006/main" count="597" uniqueCount="273">
  <si>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</si>
  <si>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</si>
  <si>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</si>
  <si>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</si>
  <si>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</si>
  <si>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</si>
  <si>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</si>
  <si>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</si>
  <si>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</si>
  <si>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</si>
  <si>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</si>
  <si>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</si>
  <si>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</si>
  <si>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</si>
  <si>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</si>
  <si>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</si>
  <si>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</si>
  <si>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</si>
  <si>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</si>
  <si>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</si>
  <si>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</si>
  <si>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</si>
  <si>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</si>
  <si>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</si>
  <si>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</si>
  <si>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</si>
  <si>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</si>
  <si>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</si>
  <si>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</si>
  <si>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</si>
  <si>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</si>
  <si>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</si>
  <si>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</si>
  <si>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</si>
  <si>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</si>
  <si>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</si>
  <si>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</si>
  <si>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</si>
  <si>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</si>
  <si>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</si>
  <si>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</si>
  <si>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</si>
  <si>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</si>
  <si>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</si>
  <si>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</si>
  <si>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</si>
  <si>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</si>
  <si>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</si>
  <si>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</si>
  <si>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</si>
  <si>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</si>
  <si>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</si>
  <si>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</si>
  <si>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</si>
  <si>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</si>
  <si>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</si>
  <si>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</si>
  <si>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</si>
  <si>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</si>
  <si>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</si>
  <si>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</si>
  <si>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</si>
  <si>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</si>
  <si>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</si>
  <si>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</si>
  <si>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</si>
  <si>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</si>
  <si>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</si>
  <si>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</si>
  <si>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</si>
  <si>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</si>
  <si>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</si>
  <si>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</si>
  <si>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</si>
  <si>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</si>
  <si>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</si>
  <si>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</si>
  <si>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</si>
  <si>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</si>
  <si>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</si>
  <si>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</si>
  <si>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</si>
  <si>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</si>
  <si>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</si>
  <si>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</si>
  <si>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</si>
  <si>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</si>
  <si>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</si>
  <si>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</si>
  <si>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</si>
  <si>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</si>
  <si>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</si>
  <si>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</si>
  <si>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</si>
  <si>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</si>
  <si>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</si>
  <si>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</si>
  <si>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</si>
  <si>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</si>
  <si>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</si>
  <si>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</si>
  <si>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</si>
  <si>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</si>
  <si>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</si>
  <si>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</si>
  <si>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</si>
  <si>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</si>
  <si>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</si>
  <si>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</si>
  <si>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</si>
  <si>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</si>
  <si>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</si>
  <si>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</si>
  <si>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</si>
  <si>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</si>
  <si>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</si>
  <si>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</si>
  <si>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</si>
  <si>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</si>
  <si>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</si>
  <si>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</si>
  <si>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</si>
  <si>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</si>
  <si>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</si>
  <si>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</si>
  <si>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</si>
  <si>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</si>
  <si>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</si>
  <si>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</si>
  <si>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</si>
  <si>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</si>
  <si>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</si>
  <si>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</si>
  <si>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</si>
  <si>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</si>
  <si>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</si>
  <si>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</si>
  <si>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</si>
  <si>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</si>
  <si>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</si>
  <si>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</si>
  <si>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</si>
  <si>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</si>
  <si>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</si>
  <si>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</si>
  <si>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</si>
  <si>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</si>
  <si>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</si>
  <si>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</si>
  <si>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</si>
  <si>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</si>
  <si>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</si>
  <si>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</si>
  <si>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</si>
  <si>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POX</t>
  </si>
  <si>
    <t>Hydroformylation</t>
  </si>
  <si>
    <t>Methanation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</si>
  <si>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</si>
  <si>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</si>
  <si>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</si>
  <si>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</si>
  <si>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</si>
  <si>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</si>
  <si>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</si>
  <si>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</si>
  <si>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</si>
  <si>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</si>
  <si>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</si>
  <si>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</si>
  <si>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</si>
  <si>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</si>
  <si>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</si>
  <si>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</si>
  <si>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</si>
  <si>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</si>
  <si>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</si>
  <si>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</si>
  <si>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</si>
  <si>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</si>
  <si>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</si>
  <si>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</si>
  <si>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</si>
  <si>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</si>
  <si>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</si>
  <si>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E-183</t>
  </si>
  <si>
    <t>E-187</t>
  </si>
  <si>
    <t>E-185</t>
  </si>
  <si>
    <t>E-182</t>
  </si>
  <si>
    <t>E-184</t>
  </si>
  <si>
    <t>E-186</t>
  </si>
  <si>
    <t>E-188</t>
  </si>
  <si>
    <t>E-179</t>
  </si>
  <si>
    <t>E-181</t>
  </si>
  <si>
    <t>E-189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</si>
  <si>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</si>
  <si>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</si>
  <si>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</si>
  <si>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</si>
  <si>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</si>
  <si>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</si>
  <si>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</si>
  <si>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</si>
  <si>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</si>
  <si>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</si>
  <si>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</si>
  <si>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</si>
  <si>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</si>
  <si>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</si>
  <si>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</si>
  <si>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</si>
  <si>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</si>
  <si>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</si>
  <si>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</si>
  <si>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</si>
  <si>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</si>
  <si>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</si>
  <si>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</si>
  <si>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</si>
  <si>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</si>
  <si>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</si>
  <si>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</si>
  <si>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</si>
  <si>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</si>
  <si>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</si>
  <si>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</si>
  <si>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</si>
  <si>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</si>
  <si>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</si>
  <si>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</si>
  <si>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</si>
  <si>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</si>
  <si>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</si>
  <si>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</si>
  <si>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</si>
  <si>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</si>
  <si>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</si>
  <si>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Lin 2018 (pg. 4)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</si>
  <si>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</si>
  <si>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</si>
  <si>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</si>
  <si>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</si>
  <si>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</si>
  <si>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</si>
  <si>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</si>
  <si>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</si>
  <si>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</si>
  <si>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</si>
  <si>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</si>
  <si>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</si>
  <si>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</si>
  <si>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</si>
  <si>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</si>
  <si>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</si>
  <si>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</si>
  <si>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</si>
  <si>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</si>
  <si>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</si>
  <si>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</si>
  <si>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</si>
  <si>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</si>
  <si>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</si>
  <si>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</si>
  <si>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</si>
  <si>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</si>
  <si>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</si>
  <si>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</si>
  <si>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</si>
  <si>
    <t>E-133</t>
  </si>
  <si>
    <t>E-134</t>
  </si>
  <si>
    <t>E-135</t>
  </si>
  <si>
    <t>E-136</t>
  </si>
  <si>
    <t>WGS reactor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</si>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</sst>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8"/>
  <sheetViews>
    <sheetView topLeftCell="A106" zoomScale="120" zoomScaleNormal="120" workbookViewId="0">
      <selection activeCell="K119" sqref="K119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18"/>
      <c r="B10" s="18"/>
      <c r="C10" s="18"/>
    </row>
    <row r="12" spans="1:17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7" x14ac:dyDescent="0.3">
      <c r="A13" s="38" t="s">
        <v>57</v>
      </c>
      <c r="B13" s="39"/>
      <c r="C13" s="39"/>
      <c r="D13" s="39"/>
      <c r="E13" s="39"/>
      <c r="F13" s="39"/>
      <c r="G13" s="39"/>
      <c r="H13" s="40"/>
      <c r="J13" s="3" t="s">
        <v>154</v>
      </c>
      <c r="K13" s="21">
        <v>1.524</v>
      </c>
      <c r="L13" s="8">
        <v>5.3339999999999996</v>
      </c>
      <c r="M13" s="6">
        <f t="shared" ref="M13" si="0">K13+0.0254</f>
        <v>1.5494000000000001</v>
      </c>
      <c r="N13" s="6">
        <f t="shared" ref="N13" si="1">PI()*(M13*M13-K13*K13)/4</f>
        <v>6.1311604970797184E-2</v>
      </c>
      <c r="O13" s="6">
        <f t="shared" ref="O13:O25" si="2">N13*L13</f>
        <v>0.32703610091423219</v>
      </c>
      <c r="P13" s="3">
        <v>8000</v>
      </c>
      <c r="Q13" s="8">
        <f t="shared" ref="Q13" si="3">P13*O13</f>
        <v>2616.2888073138574</v>
      </c>
    </row>
    <row r="14" spans="1:17" x14ac:dyDescent="0.3">
      <c r="A14" s="3" t="s">
        <v>46</v>
      </c>
      <c r="B14" s="3" t="s">
        <v>172</v>
      </c>
      <c r="C14" s="3" t="s">
        <v>53</v>
      </c>
      <c r="D14" s="8">
        <v>1757.5948316152601</v>
      </c>
      <c r="E14" s="7">
        <v>580000</v>
      </c>
      <c r="F14" s="7">
        <v>20000</v>
      </c>
      <c r="G14" s="8">
        <v>0.6</v>
      </c>
      <c r="H14" s="8">
        <f t="shared" ref="H14:H17" si="4">(E14+(F14*(D14^G14)))/1000000</f>
        <v>2.3500325616982551</v>
      </c>
      <c r="J14" s="5" t="s">
        <v>49</v>
      </c>
      <c r="K14" s="21">
        <v>1.524</v>
      </c>
      <c r="L14" s="8">
        <v>5.3339999999999996</v>
      </c>
      <c r="M14" s="6">
        <f t="shared" ref="M14:M19" si="5">K14+0.0254</f>
        <v>1.5494000000000001</v>
      </c>
      <c r="N14" s="6">
        <f t="shared" ref="N14:N19" si="6">PI()*(M14*M14-K14*K14)/4</f>
        <v>6.1311604970797184E-2</v>
      </c>
      <c r="O14" s="6">
        <f t="shared" si="2"/>
        <v>0.32703610091423219</v>
      </c>
      <c r="P14" s="3">
        <v>8000</v>
      </c>
      <c r="Q14" s="8">
        <f t="shared" ref="Q14:Q19" si="7">P14*O14</f>
        <v>2616.2888073138574</v>
      </c>
    </row>
    <row r="15" spans="1:17" x14ac:dyDescent="0.3">
      <c r="A15" s="3" t="s">
        <v>47</v>
      </c>
      <c r="B15" s="3" t="s">
        <v>172</v>
      </c>
      <c r="C15" s="3" t="s">
        <v>53</v>
      </c>
      <c r="D15" s="8">
        <v>1897.9966215173199</v>
      </c>
      <c r="E15" s="7">
        <v>580000</v>
      </c>
      <c r="F15" s="7">
        <v>20000</v>
      </c>
      <c r="G15" s="8">
        <v>0.6</v>
      </c>
      <c r="H15" s="8">
        <f t="shared" si="4"/>
        <v>2.4335625945872628</v>
      </c>
      <c r="J15" s="5" t="s">
        <v>50</v>
      </c>
      <c r="K15" s="21">
        <v>0.60960000000000003</v>
      </c>
      <c r="L15" s="8">
        <v>3.3527999999999998</v>
      </c>
      <c r="M15" s="6">
        <f t="shared" si="5"/>
        <v>0.63500000000000001</v>
      </c>
      <c r="N15" s="6">
        <f t="shared" si="6"/>
        <v>2.4828666475777368E-2</v>
      </c>
      <c r="O15" s="6">
        <f t="shared" si="2"/>
        <v>8.3245552959986355E-2</v>
      </c>
      <c r="P15" s="3">
        <v>8000</v>
      </c>
      <c r="Q15" s="8">
        <f t="shared" si="7"/>
        <v>665.96442367989084</v>
      </c>
    </row>
    <row r="16" spans="1:17" x14ac:dyDescent="0.3">
      <c r="A16" s="3" t="s">
        <v>97</v>
      </c>
      <c r="B16" s="3" t="s">
        <v>172</v>
      </c>
      <c r="C16" s="3" t="s">
        <v>53</v>
      </c>
      <c r="D16" s="8">
        <v>1891.3410182626501</v>
      </c>
      <c r="E16" s="7">
        <v>580000</v>
      </c>
      <c r="F16" s="7">
        <v>20000</v>
      </c>
      <c r="G16" s="8">
        <v>0.6</v>
      </c>
      <c r="H16" s="8">
        <f t="shared" si="4"/>
        <v>2.4296599817094258</v>
      </c>
      <c r="J16" s="5" t="s">
        <v>147</v>
      </c>
      <c r="K16" s="21">
        <v>3.2004000000000001</v>
      </c>
      <c r="L16" s="8">
        <v>11.2014</v>
      </c>
      <c r="M16" s="6">
        <f t="shared" si="5"/>
        <v>3.2258</v>
      </c>
      <c r="N16" s="6">
        <f t="shared" si="6"/>
        <v>0.12819699221166653</v>
      </c>
      <c r="O16" s="6">
        <f t="shared" si="2"/>
        <v>1.4359857885597613</v>
      </c>
      <c r="P16" s="3">
        <v>8000</v>
      </c>
      <c r="Q16" s="8">
        <f t="shared" si="7"/>
        <v>11487.886308478091</v>
      </c>
    </row>
    <row r="17" spans="1:17" x14ac:dyDescent="0.3">
      <c r="A17" s="3" t="s">
        <v>98</v>
      </c>
      <c r="B17" s="3" t="s">
        <v>172</v>
      </c>
      <c r="C17" s="3" t="s">
        <v>53</v>
      </c>
      <c r="D17" s="8">
        <v>1291.6366073081699</v>
      </c>
      <c r="E17" s="7">
        <v>580000</v>
      </c>
      <c r="F17" s="7">
        <v>20000</v>
      </c>
      <c r="G17" s="8">
        <v>0.6</v>
      </c>
      <c r="H17" s="8">
        <f t="shared" si="4"/>
        <v>2.0513439329417364</v>
      </c>
      <c r="J17" s="5" t="s">
        <v>148</v>
      </c>
      <c r="K17" s="21">
        <v>1.0668</v>
      </c>
      <c r="L17" s="8">
        <v>5.8673999999999999</v>
      </c>
      <c r="M17" s="6">
        <f t="shared" si="5"/>
        <v>1.0922000000000001</v>
      </c>
      <c r="N17" s="6">
        <f t="shared" si="6"/>
        <v>4.3070135723287363E-2</v>
      </c>
      <c r="O17" s="6">
        <f t="shared" si="2"/>
        <v>0.25270971434281625</v>
      </c>
      <c r="P17" s="3">
        <v>8000</v>
      </c>
      <c r="Q17" s="8">
        <f t="shared" si="7"/>
        <v>2021.67771474253</v>
      </c>
    </row>
    <row r="18" spans="1:17" x14ac:dyDescent="0.3">
      <c r="A18" s="3" t="s">
        <v>99</v>
      </c>
      <c r="B18" s="3" t="s">
        <v>172</v>
      </c>
      <c r="C18" s="3" t="s">
        <v>53</v>
      </c>
      <c r="D18" s="8">
        <v>112.836626732269</v>
      </c>
      <c r="E18" s="7">
        <v>580000</v>
      </c>
      <c r="F18" s="7">
        <v>20000</v>
      </c>
      <c r="G18" s="8">
        <v>0.6</v>
      </c>
      <c r="H18" s="8">
        <f t="shared" ref="H18:H19" si="8">(E18+(F18*(D18^G18)))/1000000</f>
        <v>0.92080036583468927</v>
      </c>
      <c r="J18" s="5" t="s">
        <v>149</v>
      </c>
      <c r="K18" s="21">
        <v>0.30480000000000002</v>
      </c>
      <c r="L18" s="8">
        <v>1.6763999999999999</v>
      </c>
      <c r="M18" s="6">
        <f t="shared" si="5"/>
        <v>0.33019999999999999</v>
      </c>
      <c r="N18" s="6">
        <f t="shared" si="6"/>
        <v>1.2667686977437436E-2</v>
      </c>
      <c r="O18" s="6">
        <f t="shared" si="2"/>
        <v>2.1236110448976116E-2</v>
      </c>
      <c r="P18" s="3">
        <v>8000</v>
      </c>
      <c r="Q18" s="8">
        <f t="shared" si="7"/>
        <v>169.88888359180893</v>
      </c>
    </row>
    <row r="19" spans="1:17" x14ac:dyDescent="0.3">
      <c r="A19" s="3" t="s">
        <v>100</v>
      </c>
      <c r="B19" s="3" t="s">
        <v>172</v>
      </c>
      <c r="C19" s="3" t="s">
        <v>53</v>
      </c>
      <c r="D19" s="8">
        <v>31.729198582828801</v>
      </c>
      <c r="E19" s="7">
        <v>580000</v>
      </c>
      <c r="F19" s="7">
        <v>20000</v>
      </c>
      <c r="G19" s="8">
        <v>0.6</v>
      </c>
      <c r="H19" s="8">
        <f t="shared" si="8"/>
        <v>0.73918621528922557</v>
      </c>
      <c r="J19" s="5" t="s">
        <v>150</v>
      </c>
      <c r="K19" s="21">
        <v>1.3715999999999999</v>
      </c>
      <c r="L19" s="8">
        <v>7.5438000000000001</v>
      </c>
      <c r="M19" s="6">
        <f t="shared" si="5"/>
        <v>1.397</v>
      </c>
      <c r="N19" s="6">
        <f t="shared" si="6"/>
        <v>5.5231115221627589E-2</v>
      </c>
      <c r="O19" s="6">
        <f t="shared" si="2"/>
        <v>0.41665248700891422</v>
      </c>
      <c r="P19" s="3">
        <v>8000</v>
      </c>
      <c r="Q19" s="8">
        <f t="shared" si="7"/>
        <v>3333.2198960713135</v>
      </c>
    </row>
    <row r="20" spans="1:17" x14ac:dyDescent="0.3">
      <c r="A20" s="3" t="s">
        <v>196</v>
      </c>
      <c r="B20" s="3" t="s">
        <v>172</v>
      </c>
      <c r="C20" s="3" t="s">
        <v>53</v>
      </c>
      <c r="D20" s="8">
        <v>1.8582964424383199</v>
      </c>
      <c r="E20" s="7">
        <v>580000</v>
      </c>
      <c r="F20" s="7">
        <v>20000</v>
      </c>
      <c r="G20" s="8">
        <v>0.6</v>
      </c>
      <c r="H20" s="8">
        <f t="shared" ref="H20:H28" si="9">(E20+(F20*(D20^G20)))/1000000</f>
        <v>0.60900674472535243</v>
      </c>
      <c r="J20" s="5" t="s">
        <v>151</v>
      </c>
      <c r="K20" s="21">
        <v>0.76200000000000001</v>
      </c>
      <c r="L20" s="8">
        <v>2.6669999999999998</v>
      </c>
      <c r="M20" s="6">
        <f t="shared" ref="M20:M21" si="10">K20+0.0254</f>
        <v>0.78739999999999999</v>
      </c>
      <c r="N20" s="6">
        <f t="shared" ref="N20:N21" si="11">PI()*(M20*M20-K20*K20)/4</f>
        <v>3.0909156224947307E-2</v>
      </c>
      <c r="O20" s="6">
        <f t="shared" si="2"/>
        <v>8.2434719651934468E-2</v>
      </c>
      <c r="P20" s="3">
        <v>8000</v>
      </c>
      <c r="Q20" s="8">
        <f t="shared" ref="Q20:Q21" si="12">P20*O20</f>
        <v>659.47775721547578</v>
      </c>
    </row>
    <row r="21" spans="1:17" x14ac:dyDescent="0.3">
      <c r="A21" s="3" t="s">
        <v>197</v>
      </c>
      <c r="B21" s="3" t="s">
        <v>172</v>
      </c>
      <c r="C21" s="3" t="s">
        <v>53</v>
      </c>
      <c r="D21" s="8">
        <v>1.98122215268867</v>
      </c>
      <c r="E21" s="7">
        <v>580000</v>
      </c>
      <c r="F21" s="7">
        <v>20000</v>
      </c>
      <c r="G21" s="8">
        <v>0.6</v>
      </c>
      <c r="H21" s="8">
        <f t="shared" si="9"/>
        <v>0.61014323787983726</v>
      </c>
      <c r="J21" s="5" t="s">
        <v>152</v>
      </c>
      <c r="K21" s="21">
        <v>1.3715999999999999</v>
      </c>
      <c r="L21" s="8">
        <v>7.5438000000000001</v>
      </c>
      <c r="M21" s="6">
        <f t="shared" si="10"/>
        <v>1.397</v>
      </c>
      <c r="N21" s="6">
        <f t="shared" si="11"/>
        <v>5.5231115221627589E-2</v>
      </c>
      <c r="O21" s="6">
        <f t="shared" si="2"/>
        <v>0.41665248700891422</v>
      </c>
      <c r="P21" s="3">
        <v>8000</v>
      </c>
      <c r="Q21" s="8">
        <f t="shared" si="12"/>
        <v>3333.2198960713135</v>
      </c>
    </row>
    <row r="22" spans="1:17" x14ac:dyDescent="0.3">
      <c r="A22" s="3" t="s">
        <v>198</v>
      </c>
      <c r="B22" s="3" t="s">
        <v>172</v>
      </c>
      <c r="C22" s="3" t="s">
        <v>53</v>
      </c>
      <c r="D22" s="8">
        <v>2.0742246606301702</v>
      </c>
      <c r="E22" s="7">
        <v>580000</v>
      </c>
      <c r="F22" s="7">
        <v>20000</v>
      </c>
      <c r="G22" s="8">
        <v>0.6</v>
      </c>
      <c r="H22" s="8">
        <f t="shared" si="9"/>
        <v>0.61098442718363288</v>
      </c>
      <c r="J22" s="5" t="s">
        <v>177</v>
      </c>
      <c r="K22" s="21">
        <v>1.4159999999999999</v>
      </c>
      <c r="L22" s="8">
        <f>0.6096*10</f>
        <v>6.0960000000000001</v>
      </c>
      <c r="M22" s="6">
        <f t="shared" ref="M22" si="13">K22+0.0254</f>
        <v>1.4414</v>
      </c>
      <c r="N22" s="6">
        <f t="shared" ref="N22" si="14">PI()*(M22*M22-K22*K22)/4</f>
        <v>5.7002596487133683E-2</v>
      </c>
      <c r="O22" s="6">
        <f t="shared" si="2"/>
        <v>0.34748782818556695</v>
      </c>
      <c r="P22" s="3">
        <v>8000</v>
      </c>
      <c r="Q22" s="8">
        <f t="shared" ref="Q22" si="15">P22*O22</f>
        <v>2779.9026254845357</v>
      </c>
    </row>
    <row r="23" spans="1:17" x14ac:dyDescent="0.3">
      <c r="A23" s="3" t="s">
        <v>48</v>
      </c>
      <c r="B23" s="3" t="s">
        <v>172</v>
      </c>
      <c r="C23" s="3" t="s">
        <v>53</v>
      </c>
      <c r="D23" s="8">
        <v>1.4434991705812299</v>
      </c>
      <c r="E23" s="7">
        <v>580000</v>
      </c>
      <c r="F23" s="7">
        <v>20000</v>
      </c>
      <c r="G23" s="8">
        <v>0.6</v>
      </c>
      <c r="H23" s="8">
        <f t="shared" si="9"/>
        <v>0.60492756852959018</v>
      </c>
      <c r="J23" s="32" t="s">
        <v>181</v>
      </c>
      <c r="K23" s="21">
        <v>1.6419999999999999</v>
      </c>
      <c r="L23" s="8">
        <f>0.6096*2</f>
        <v>1.2192000000000001</v>
      </c>
      <c r="M23" s="6">
        <f t="shared" ref="M23:M25" si="16">K23+0.0254</f>
        <v>1.6674</v>
      </c>
      <c r="N23" s="6">
        <f t="shared" ref="N23:N25" si="17">PI()*(M23*M23-K23*K23)/4</f>
        <v>6.6019595721467247E-2</v>
      </c>
      <c r="O23" s="6">
        <f t="shared" si="2"/>
        <v>8.0491091103612869E-2</v>
      </c>
      <c r="P23" s="3">
        <v>8000</v>
      </c>
      <c r="Q23" s="8">
        <f t="shared" ref="Q23:Q25" si="18">P23*O23</f>
        <v>643.92872882890299</v>
      </c>
    </row>
    <row r="24" spans="1:17" x14ac:dyDescent="0.3">
      <c r="A24" s="3" t="s">
        <v>199</v>
      </c>
      <c r="B24" s="3" t="s">
        <v>172</v>
      </c>
      <c r="C24" s="3" t="s">
        <v>53</v>
      </c>
      <c r="D24" s="8">
        <v>867.14823172742797</v>
      </c>
      <c r="E24" s="7">
        <v>580000</v>
      </c>
      <c r="F24" s="7">
        <v>20000</v>
      </c>
      <c r="G24" s="8">
        <v>0.6</v>
      </c>
      <c r="H24" s="8">
        <f t="shared" si="9"/>
        <v>1.7384732267857455</v>
      </c>
      <c r="J24" s="32" t="s">
        <v>182</v>
      </c>
      <c r="K24" s="21">
        <v>1.129</v>
      </c>
      <c r="L24" s="8">
        <v>0.60960000000000003</v>
      </c>
      <c r="M24" s="6">
        <f t="shared" si="16"/>
        <v>1.1544000000000001</v>
      </c>
      <c r="N24" s="6">
        <f t="shared" si="17"/>
        <v>4.5551805424064222E-2</v>
      </c>
      <c r="O24" s="6">
        <f t="shared" si="2"/>
        <v>2.7768380586509551E-2</v>
      </c>
      <c r="P24" s="3">
        <v>8000</v>
      </c>
      <c r="Q24" s="8">
        <f t="shared" si="18"/>
        <v>222.14704469207641</v>
      </c>
    </row>
    <row r="25" spans="1:17" x14ac:dyDescent="0.3">
      <c r="A25" s="3" t="s">
        <v>200</v>
      </c>
      <c r="B25" s="3" t="s">
        <v>172</v>
      </c>
      <c r="C25" s="3" t="s">
        <v>53</v>
      </c>
      <c r="D25" s="8">
        <v>929.59754444857003</v>
      </c>
      <c r="E25" s="7">
        <v>580000</v>
      </c>
      <c r="F25" s="7">
        <v>20000</v>
      </c>
      <c r="G25" s="8">
        <v>0.6</v>
      </c>
      <c r="H25" s="8">
        <f t="shared" si="9"/>
        <v>1.7878332372149868</v>
      </c>
      <c r="J25" s="32" t="s">
        <v>183</v>
      </c>
      <c r="K25" s="21">
        <v>1.3720000000000001</v>
      </c>
      <c r="L25" s="8">
        <f>0.6096*2</f>
        <v>1.2192000000000001</v>
      </c>
      <c r="M25" s="6">
        <f t="shared" si="16"/>
        <v>1.3974000000000002</v>
      </c>
      <c r="N25" s="6">
        <f t="shared" si="17"/>
        <v>5.524707451230762E-2</v>
      </c>
      <c r="O25" s="6">
        <f t="shared" si="2"/>
        <v>6.7357233245405448E-2</v>
      </c>
      <c r="P25" s="3">
        <v>8000</v>
      </c>
      <c r="Q25" s="8">
        <f t="shared" si="18"/>
        <v>538.85786596324363</v>
      </c>
    </row>
    <row r="26" spans="1:17" x14ac:dyDescent="0.3">
      <c r="A26" s="3" t="s">
        <v>201</v>
      </c>
      <c r="B26" s="3" t="s">
        <v>172</v>
      </c>
      <c r="C26" s="3" t="s">
        <v>53</v>
      </c>
      <c r="D26" s="8">
        <v>909.24837904992796</v>
      </c>
      <c r="E26" s="7">
        <v>580000</v>
      </c>
      <c r="F26" s="7">
        <v>20000</v>
      </c>
      <c r="G26" s="8">
        <v>0.6</v>
      </c>
      <c r="H26" s="8">
        <f t="shared" si="9"/>
        <v>1.7718991689417845</v>
      </c>
    </row>
    <row r="27" spans="1:17" x14ac:dyDescent="0.3">
      <c r="A27" s="3" t="s">
        <v>202</v>
      </c>
      <c r="B27" s="3" t="s">
        <v>172</v>
      </c>
      <c r="C27" s="3" t="s">
        <v>53</v>
      </c>
      <c r="D27" s="8">
        <v>532.87049197203896</v>
      </c>
      <c r="E27" s="7">
        <v>580000</v>
      </c>
      <c r="F27" s="7">
        <v>20000</v>
      </c>
      <c r="G27" s="8">
        <v>0.6</v>
      </c>
      <c r="H27" s="8">
        <f t="shared" si="9"/>
        <v>1.444973891024983</v>
      </c>
    </row>
    <row r="28" spans="1:17" x14ac:dyDescent="0.3">
      <c r="A28" s="3" t="s">
        <v>203</v>
      </c>
      <c r="B28" s="3" t="s">
        <v>172</v>
      </c>
      <c r="C28" s="3" t="s">
        <v>53</v>
      </c>
      <c r="D28" s="8">
        <v>324.58092810333397</v>
      </c>
      <c r="E28" s="7">
        <v>580000</v>
      </c>
      <c r="F28" s="7">
        <v>20000</v>
      </c>
      <c r="G28" s="8">
        <v>0.6</v>
      </c>
      <c r="H28" s="8">
        <f t="shared" si="9"/>
        <v>1.2224270134174808</v>
      </c>
    </row>
    <row r="29" spans="1:17" x14ac:dyDescent="0.3">
      <c r="A29" s="3"/>
      <c r="B29" s="2" t="s">
        <v>146</v>
      </c>
      <c r="C29" s="3"/>
      <c r="D29" s="8"/>
      <c r="E29" s="7"/>
      <c r="F29" s="7"/>
      <c r="G29" s="8"/>
      <c r="H29" s="10">
        <f>SUM(H14:H28)</f>
        <v>21.325254167763983</v>
      </c>
    </row>
    <row r="30" spans="1:17" x14ac:dyDescent="0.3">
      <c r="A30" s="38" t="s">
        <v>164</v>
      </c>
      <c r="B30" s="39"/>
      <c r="C30" s="39"/>
      <c r="D30" s="39"/>
      <c r="E30" s="39"/>
      <c r="F30" s="39"/>
      <c r="G30" s="39"/>
      <c r="H30" s="40"/>
    </row>
    <row r="31" spans="1:17" x14ac:dyDescent="0.3">
      <c r="A31" s="3" t="s">
        <v>160</v>
      </c>
      <c r="B31" s="3" t="s">
        <v>173</v>
      </c>
      <c r="C31" s="3" t="s">
        <v>163</v>
      </c>
      <c r="D31" s="8">
        <f>3.25533722751099*1000/3600</f>
        <v>0.90426034097527497</v>
      </c>
      <c r="E31" s="7">
        <v>8000</v>
      </c>
      <c r="F31" s="7">
        <v>240</v>
      </c>
      <c r="G31" s="8">
        <v>0.9</v>
      </c>
      <c r="H31" s="8">
        <f t="shared" ref="H31:H33" si="19">(E31+(F31*(D31^G31)))/1000000</f>
        <v>8.2192175790645403E-3</v>
      </c>
    </row>
    <row r="32" spans="1:17" x14ac:dyDescent="0.3">
      <c r="A32" s="3" t="s">
        <v>161</v>
      </c>
      <c r="B32" s="3" t="s">
        <v>173</v>
      </c>
      <c r="C32" s="3" t="s">
        <v>163</v>
      </c>
      <c r="D32" s="8">
        <f>35.7549190976969*1000/3600</f>
        <v>9.9319219715824705</v>
      </c>
      <c r="E32" s="7">
        <v>8000</v>
      </c>
      <c r="F32" s="7">
        <v>240</v>
      </c>
      <c r="G32" s="8">
        <v>0.9</v>
      </c>
      <c r="H32" s="8">
        <f t="shared" si="19"/>
        <v>9.894703296627989E-3</v>
      </c>
    </row>
    <row r="33" spans="1:11" x14ac:dyDescent="0.3">
      <c r="A33" s="3" t="s">
        <v>162</v>
      </c>
      <c r="B33" s="3" t="s">
        <v>173</v>
      </c>
      <c r="C33" s="3" t="s">
        <v>163</v>
      </c>
      <c r="D33" s="8">
        <f>50.579169062572*1000/3600</f>
        <v>14.049769184047777</v>
      </c>
      <c r="E33" s="7">
        <v>8000</v>
      </c>
      <c r="F33" s="7">
        <v>240</v>
      </c>
      <c r="G33" s="8">
        <v>0.9</v>
      </c>
      <c r="H33" s="8">
        <f t="shared" si="19"/>
        <v>1.0588889489100223E-2</v>
      </c>
    </row>
    <row r="34" spans="1:11" x14ac:dyDescent="0.3">
      <c r="A34" s="3"/>
      <c r="B34" s="2" t="s">
        <v>146</v>
      </c>
      <c r="C34" s="3"/>
      <c r="D34" s="8"/>
      <c r="E34" s="7"/>
      <c r="F34" s="7"/>
      <c r="G34" s="8"/>
      <c r="H34" s="10">
        <f>SUM(H31:H33)</f>
        <v>2.8702810364792754E-2</v>
      </c>
    </row>
    <row r="35" spans="1:11" x14ac:dyDescent="0.3">
      <c r="A35" s="38" t="s">
        <v>167</v>
      </c>
      <c r="B35" s="39"/>
      <c r="C35" s="39"/>
      <c r="D35" s="39"/>
      <c r="E35" s="39"/>
      <c r="F35" s="39"/>
      <c r="G35" s="39"/>
      <c r="H35" s="40"/>
    </row>
    <row r="36" spans="1:11" x14ac:dyDescent="0.3">
      <c r="A36" s="3" t="s">
        <v>267</v>
      </c>
      <c r="B36" s="3" t="s">
        <v>174</v>
      </c>
      <c r="C36" s="3" t="s">
        <v>54</v>
      </c>
      <c r="D36" s="17">
        <v>18.909627343084701</v>
      </c>
      <c r="E36" s="7">
        <v>28000</v>
      </c>
      <c r="F36" s="7">
        <v>54</v>
      </c>
      <c r="G36" s="8">
        <v>1.2</v>
      </c>
      <c r="H36" s="8">
        <f t="shared" ref="H36:H109" si="20">(E36+(F36*(D36^G36)))/1000000</f>
        <v>2.9838287034153019E-2</v>
      </c>
      <c r="K36" s="30"/>
    </row>
    <row r="37" spans="1:11" x14ac:dyDescent="0.3">
      <c r="A37" s="3" t="s">
        <v>268</v>
      </c>
      <c r="B37" s="3" t="s">
        <v>174</v>
      </c>
      <c r="C37" s="3" t="s">
        <v>54</v>
      </c>
      <c r="D37" s="17">
        <v>218.602114068346</v>
      </c>
      <c r="E37" s="7">
        <v>28000</v>
      </c>
      <c r="F37" s="7">
        <v>54</v>
      </c>
      <c r="G37" s="8">
        <v>1.2</v>
      </c>
      <c r="H37" s="8">
        <f t="shared" si="20"/>
        <v>6.2672007584697639E-2</v>
      </c>
    </row>
    <row r="38" spans="1:11" x14ac:dyDescent="0.3">
      <c r="A38" s="3" t="s">
        <v>269</v>
      </c>
      <c r="B38" s="3" t="s">
        <v>174</v>
      </c>
      <c r="C38" s="3" t="s">
        <v>54</v>
      </c>
      <c r="D38" s="17">
        <f>1234.61009304443/2</f>
        <v>617.30504652221498</v>
      </c>
      <c r="E38" s="7">
        <v>28000</v>
      </c>
      <c r="F38" s="7">
        <v>54</v>
      </c>
      <c r="G38" s="8">
        <v>1.2</v>
      </c>
      <c r="H38" s="8">
        <f t="shared" si="20"/>
        <v>0.14850180511259017</v>
      </c>
    </row>
    <row r="39" spans="1:11" x14ac:dyDescent="0.3">
      <c r="A39" s="3" t="s">
        <v>269</v>
      </c>
      <c r="B39" s="3" t="s">
        <v>174</v>
      </c>
      <c r="C39" s="3" t="s">
        <v>54</v>
      </c>
      <c r="D39" s="17">
        <f>1234.61009304443/2</f>
        <v>617.30504652221498</v>
      </c>
      <c r="E39" s="7">
        <v>28000</v>
      </c>
      <c r="F39" s="7">
        <v>54</v>
      </c>
      <c r="G39" s="8">
        <v>1.2</v>
      </c>
      <c r="H39" s="8">
        <f t="shared" ref="H39" si="21">(E39+(F39*(D39^G39)))/1000000</f>
        <v>0.14850180511259017</v>
      </c>
    </row>
    <row r="40" spans="1:11" x14ac:dyDescent="0.3">
      <c r="A40" s="3" t="s">
        <v>270</v>
      </c>
      <c r="B40" s="3" t="s">
        <v>174</v>
      </c>
      <c r="C40" s="3" t="s">
        <v>54</v>
      </c>
      <c r="D40" s="17">
        <v>90.881523423946703</v>
      </c>
      <c r="E40" s="7">
        <v>28000</v>
      </c>
      <c r="F40" s="7">
        <v>54</v>
      </c>
      <c r="G40" s="8">
        <v>1.2</v>
      </c>
      <c r="H40" s="8">
        <f t="shared" si="20"/>
        <v>4.0093847219434681E-2</v>
      </c>
    </row>
    <row r="41" spans="1:11" x14ac:dyDescent="0.3">
      <c r="A41" s="3" t="s">
        <v>106</v>
      </c>
      <c r="B41" s="3" t="s">
        <v>174</v>
      </c>
      <c r="C41" s="3" t="s">
        <v>54</v>
      </c>
      <c r="D41" s="17">
        <v>17.246414441394201</v>
      </c>
      <c r="E41" s="7">
        <v>28000</v>
      </c>
      <c r="F41" s="7">
        <v>54</v>
      </c>
      <c r="G41" s="8">
        <v>1.2</v>
      </c>
      <c r="H41" s="8">
        <f t="shared" si="20"/>
        <v>2.9646009516227614E-2</v>
      </c>
    </row>
    <row r="42" spans="1:11" x14ac:dyDescent="0.3">
      <c r="A42" s="3" t="s">
        <v>136</v>
      </c>
      <c r="B42" s="3" t="s">
        <v>174</v>
      </c>
      <c r="C42" s="3" t="s">
        <v>54</v>
      </c>
      <c r="D42" s="17">
        <v>204.35818238429201</v>
      </c>
      <c r="E42" s="7">
        <v>28000</v>
      </c>
      <c r="F42" s="7">
        <v>54</v>
      </c>
      <c r="G42" s="8">
        <v>1.2</v>
      </c>
      <c r="H42" s="8">
        <f t="shared" ref="H42" si="22">(E42+(F42*(D42^G42)))/1000000</f>
        <v>5.9978949808806629E-2</v>
      </c>
    </row>
    <row r="43" spans="1:11" x14ac:dyDescent="0.3">
      <c r="A43" s="3" t="s">
        <v>107</v>
      </c>
      <c r="B43" s="3" t="s">
        <v>174</v>
      </c>
      <c r="C43" s="3" t="s">
        <v>54</v>
      </c>
      <c r="D43" s="17">
        <v>6.3821011037358405E-2</v>
      </c>
      <c r="E43" s="7">
        <v>28000</v>
      </c>
      <c r="F43" s="7">
        <v>54</v>
      </c>
      <c r="G43" s="8">
        <v>1.2</v>
      </c>
      <c r="H43" s="8">
        <f t="shared" ref="H43" si="23">(E43+(F43*(D43^G43)))/1000000</f>
        <v>2.8001987696970067E-2</v>
      </c>
      <c r="K43" s="30"/>
    </row>
    <row r="44" spans="1:11" x14ac:dyDescent="0.3">
      <c r="A44" s="3" t="s">
        <v>134</v>
      </c>
      <c r="B44" s="3" t="s">
        <v>174</v>
      </c>
      <c r="C44" s="3" t="s">
        <v>54</v>
      </c>
      <c r="D44" s="17">
        <v>113.84360759569201</v>
      </c>
      <c r="E44" s="7">
        <v>28000</v>
      </c>
      <c r="F44" s="7">
        <v>54</v>
      </c>
      <c r="G44" s="8">
        <v>1.2</v>
      </c>
      <c r="H44" s="8">
        <f t="shared" ref="H44" si="24">(E44+(F44*(D44^G44)))/1000000</f>
        <v>4.3847623300456488E-2</v>
      </c>
    </row>
    <row r="45" spans="1:11" x14ac:dyDescent="0.3">
      <c r="A45" s="3" t="s">
        <v>105</v>
      </c>
      <c r="B45" s="3" t="s">
        <v>174</v>
      </c>
      <c r="C45" s="3" t="s">
        <v>54</v>
      </c>
      <c r="D45" s="17">
        <f>1825.13854356158/2</f>
        <v>912.56927178079002</v>
      </c>
      <c r="E45" s="7">
        <v>28000</v>
      </c>
      <c r="F45" s="7">
        <v>54</v>
      </c>
      <c r="G45" s="8">
        <v>1.2</v>
      </c>
      <c r="H45" s="8">
        <f t="shared" ref="H45:H54" si="25">(E45+(F45*(D45^G45)))/1000000</f>
        <v>0.220625052041234</v>
      </c>
    </row>
    <row r="46" spans="1:11" x14ac:dyDescent="0.3">
      <c r="A46" s="3" t="s">
        <v>105</v>
      </c>
      <c r="B46" s="3" t="s">
        <v>174</v>
      </c>
      <c r="C46" s="3" t="s">
        <v>54</v>
      </c>
      <c r="D46" s="17">
        <f>1825.13854356158/2</f>
        <v>912.56927178079002</v>
      </c>
      <c r="E46" s="7">
        <v>28000</v>
      </c>
      <c r="F46" s="7">
        <v>54</v>
      </c>
      <c r="G46" s="8">
        <v>1.2</v>
      </c>
      <c r="H46" s="8">
        <f t="shared" ref="H46" si="26">(E46+(F46*(D46^G46)))/1000000</f>
        <v>0.220625052041234</v>
      </c>
    </row>
    <row r="47" spans="1:11" x14ac:dyDescent="0.3">
      <c r="A47" s="3" t="s">
        <v>135</v>
      </c>
      <c r="B47" s="3" t="s">
        <v>174</v>
      </c>
      <c r="C47" s="3" t="s">
        <v>54</v>
      </c>
      <c r="D47" s="17">
        <v>56.794538569712003</v>
      </c>
      <c r="E47" s="7">
        <v>28000</v>
      </c>
      <c r="F47" s="7">
        <v>54</v>
      </c>
      <c r="G47" s="8">
        <v>1.2</v>
      </c>
      <c r="H47" s="8">
        <f t="shared" si="25"/>
        <v>3.4879575645275065E-2</v>
      </c>
    </row>
    <row r="48" spans="1:11" x14ac:dyDescent="0.3">
      <c r="A48" s="3" t="s">
        <v>142</v>
      </c>
      <c r="B48" s="3" t="s">
        <v>174</v>
      </c>
      <c r="C48" s="3" t="s">
        <v>54</v>
      </c>
      <c r="D48" s="17">
        <v>206.245769622419</v>
      </c>
      <c r="E48" s="7">
        <v>28000</v>
      </c>
      <c r="F48" s="7">
        <v>54</v>
      </c>
      <c r="G48" s="8">
        <v>1.2</v>
      </c>
      <c r="H48" s="8">
        <f t="shared" si="25"/>
        <v>6.0333730862672935E-2</v>
      </c>
    </row>
    <row r="49" spans="1:8" x14ac:dyDescent="0.3">
      <c r="A49" s="3" t="s">
        <v>131</v>
      </c>
      <c r="B49" s="3" t="s">
        <v>174</v>
      </c>
      <c r="C49" s="3" t="s">
        <v>54</v>
      </c>
      <c r="D49" s="17">
        <v>29.445711523182101</v>
      </c>
      <c r="E49" s="7">
        <v>28000</v>
      </c>
      <c r="F49" s="7">
        <v>54</v>
      </c>
      <c r="G49" s="8">
        <v>1.2</v>
      </c>
      <c r="H49" s="8">
        <f t="shared" si="25"/>
        <v>3.1127664951600544E-2</v>
      </c>
    </row>
    <row r="50" spans="1:8" x14ac:dyDescent="0.3">
      <c r="A50" s="3" t="s">
        <v>143</v>
      </c>
      <c r="B50" s="3" t="s">
        <v>174</v>
      </c>
      <c r="C50" s="3" t="s">
        <v>54</v>
      </c>
      <c r="D50" s="17">
        <v>124.96725386545</v>
      </c>
      <c r="E50" s="7">
        <v>28000</v>
      </c>
      <c r="F50" s="7">
        <v>54</v>
      </c>
      <c r="G50" s="8">
        <v>1.2</v>
      </c>
      <c r="H50" s="8">
        <f t="shared" si="25"/>
        <v>4.5723489466329627E-2</v>
      </c>
    </row>
    <row r="51" spans="1:8" x14ac:dyDescent="0.3">
      <c r="A51" s="3" t="s">
        <v>114</v>
      </c>
      <c r="B51" s="3" t="s">
        <v>174</v>
      </c>
      <c r="C51" s="3" t="s">
        <v>54</v>
      </c>
      <c r="D51" s="17">
        <v>233.427074194</v>
      </c>
      <c r="E51" s="7">
        <v>28000</v>
      </c>
      <c r="F51" s="7">
        <v>54</v>
      </c>
      <c r="G51" s="8">
        <v>1.2</v>
      </c>
      <c r="H51" s="8">
        <f t="shared" si="25"/>
        <v>6.5512432909202084E-2</v>
      </c>
    </row>
    <row r="52" spans="1:8" x14ac:dyDescent="0.3">
      <c r="A52" s="3" t="s">
        <v>144</v>
      </c>
      <c r="B52" s="3" t="s">
        <v>174</v>
      </c>
      <c r="C52" s="3" t="s">
        <v>54</v>
      </c>
      <c r="D52" s="17">
        <v>89.649502356644305</v>
      </c>
      <c r="E52" s="7">
        <v>28000</v>
      </c>
      <c r="F52" s="7">
        <v>54</v>
      </c>
      <c r="G52" s="8">
        <v>1.2</v>
      </c>
      <c r="H52" s="8">
        <f t="shared" si="25"/>
        <v>3.9897376890811659E-2</v>
      </c>
    </row>
    <row r="53" spans="1:8" x14ac:dyDescent="0.3">
      <c r="A53" s="3" t="s">
        <v>132</v>
      </c>
      <c r="B53" s="3" t="s">
        <v>174</v>
      </c>
      <c r="C53" s="3" t="s">
        <v>54</v>
      </c>
      <c r="D53" s="17">
        <v>0.55461688841090195</v>
      </c>
      <c r="E53" s="7">
        <v>28000</v>
      </c>
      <c r="F53" s="7">
        <v>54</v>
      </c>
      <c r="G53" s="8">
        <v>1.2</v>
      </c>
      <c r="H53" s="8">
        <f t="shared" si="25"/>
        <v>2.8026618615793322E-2</v>
      </c>
    </row>
    <row r="54" spans="1:8" ht="14.25" customHeight="1" x14ac:dyDescent="0.3">
      <c r="A54" s="3" t="s">
        <v>145</v>
      </c>
      <c r="B54" s="3" t="s">
        <v>174</v>
      </c>
      <c r="C54" s="3" t="s">
        <v>54</v>
      </c>
      <c r="D54" s="17">
        <f>1885.0926981447/2</f>
        <v>942.54634907235004</v>
      </c>
      <c r="E54" s="7">
        <v>28000</v>
      </c>
      <c r="F54" s="7">
        <v>54</v>
      </c>
      <c r="G54" s="8">
        <v>1.2</v>
      </c>
      <c r="H54" s="8">
        <f t="shared" si="25"/>
        <v>0.22824285029166413</v>
      </c>
    </row>
    <row r="55" spans="1:8" ht="14.25" customHeight="1" x14ac:dyDescent="0.3">
      <c r="A55" s="3" t="s">
        <v>145</v>
      </c>
      <c r="B55" s="3" t="s">
        <v>174</v>
      </c>
      <c r="C55" s="3" t="s">
        <v>54</v>
      </c>
      <c r="D55" s="17">
        <f>1885.0926981447/2</f>
        <v>942.54634907235004</v>
      </c>
      <c r="E55" s="7">
        <v>28000</v>
      </c>
      <c r="F55" s="7">
        <v>54</v>
      </c>
      <c r="G55" s="8">
        <v>1.2</v>
      </c>
      <c r="H55" s="8">
        <f t="shared" ref="H55" si="27">(E55+(F55*(D55^G55)))/1000000</f>
        <v>0.22824285029166413</v>
      </c>
    </row>
    <row r="56" spans="1:8" x14ac:dyDescent="0.3">
      <c r="A56" s="3" t="s">
        <v>133</v>
      </c>
      <c r="B56" s="3" t="s">
        <v>174</v>
      </c>
      <c r="C56" s="3" t="s">
        <v>54</v>
      </c>
      <c r="D56" s="17">
        <f>1038.32431184317/2</f>
        <v>519.16215592158505</v>
      </c>
      <c r="E56" s="7">
        <v>28000</v>
      </c>
      <c r="F56" s="7">
        <v>54</v>
      </c>
      <c r="G56" s="8">
        <v>1.2</v>
      </c>
      <c r="H56" s="8">
        <f t="shared" ref="H56:H97" si="28">(E56+(F56*(D56^G56)))/1000000</f>
        <v>0.12589429712616895</v>
      </c>
    </row>
    <row r="57" spans="1:8" x14ac:dyDescent="0.3">
      <c r="A57" s="3" t="s">
        <v>133</v>
      </c>
      <c r="B57" s="3" t="s">
        <v>174</v>
      </c>
      <c r="C57" s="3" t="s">
        <v>54</v>
      </c>
      <c r="D57" s="17">
        <f>1038.32431184317/2</f>
        <v>519.16215592158505</v>
      </c>
      <c r="E57" s="7">
        <v>28000</v>
      </c>
      <c r="F57" s="7">
        <v>54</v>
      </c>
      <c r="G57" s="8">
        <v>1.2</v>
      </c>
      <c r="H57" s="8">
        <f t="shared" ref="H57" si="29">(E57+(F57*(D57^G57)))/1000000</f>
        <v>0.12589429712616895</v>
      </c>
    </row>
    <row r="58" spans="1:8" x14ac:dyDescent="0.3">
      <c r="A58" s="3" t="s">
        <v>122</v>
      </c>
      <c r="B58" s="3" t="s">
        <v>174</v>
      </c>
      <c r="C58" s="3" t="s">
        <v>54</v>
      </c>
      <c r="D58" s="17">
        <v>35.265272915369302</v>
      </c>
      <c r="E58" s="7">
        <v>28000</v>
      </c>
      <c r="F58" s="7">
        <v>54</v>
      </c>
      <c r="G58" s="8">
        <v>1.2</v>
      </c>
      <c r="H58" s="8">
        <f t="shared" si="28"/>
        <v>3.1883385089886397E-2</v>
      </c>
    </row>
    <row r="59" spans="1:8" x14ac:dyDescent="0.3">
      <c r="A59" s="3" t="s">
        <v>115</v>
      </c>
      <c r="B59" s="3" t="s">
        <v>174</v>
      </c>
      <c r="C59" s="3" t="s">
        <v>54</v>
      </c>
      <c r="D59" s="17">
        <v>154.077229183426</v>
      </c>
      <c r="E59" s="7">
        <v>28000</v>
      </c>
      <c r="F59" s="7">
        <v>54</v>
      </c>
      <c r="G59" s="8">
        <v>1.2</v>
      </c>
      <c r="H59" s="8">
        <f t="shared" si="28"/>
        <v>5.0786620088495014E-2</v>
      </c>
    </row>
    <row r="60" spans="1:8" x14ac:dyDescent="0.3">
      <c r="A60" s="3" t="s">
        <v>123</v>
      </c>
      <c r="B60" s="3" t="s">
        <v>174</v>
      </c>
      <c r="C60" s="3" t="s">
        <v>54</v>
      </c>
      <c r="D60" s="17">
        <v>129.93142778137801</v>
      </c>
      <c r="E60" s="7">
        <v>28000</v>
      </c>
      <c r="F60" s="7">
        <v>54</v>
      </c>
      <c r="G60" s="8">
        <v>1.2</v>
      </c>
      <c r="H60" s="8">
        <f t="shared" si="28"/>
        <v>4.6571663787561807E-2</v>
      </c>
    </row>
    <row r="61" spans="1:8" x14ac:dyDescent="0.3">
      <c r="A61" s="3" t="s">
        <v>112</v>
      </c>
      <c r="B61" s="3" t="s">
        <v>174</v>
      </c>
      <c r="C61" s="3" t="s">
        <v>54</v>
      </c>
      <c r="D61" s="17">
        <v>339.41372047475602</v>
      </c>
      <c r="E61" s="7">
        <v>28000</v>
      </c>
      <c r="F61" s="7">
        <v>54</v>
      </c>
      <c r="G61" s="8">
        <v>1.2</v>
      </c>
      <c r="H61" s="8">
        <f t="shared" ref="H61" si="30">(E61+(F61*(D61^G61)))/1000000</f>
        <v>8.678533980499438E-2</v>
      </c>
    </row>
    <row r="62" spans="1:8" x14ac:dyDescent="0.3">
      <c r="A62" s="3" t="s">
        <v>141</v>
      </c>
      <c r="B62" s="3" t="s">
        <v>174</v>
      </c>
      <c r="C62" s="3" t="s">
        <v>54</v>
      </c>
      <c r="D62" s="17">
        <v>73.459119615256299</v>
      </c>
      <c r="E62" s="7">
        <v>28000</v>
      </c>
      <c r="F62" s="7">
        <v>54</v>
      </c>
      <c r="G62" s="8">
        <v>1.2</v>
      </c>
      <c r="H62" s="8">
        <f t="shared" si="28"/>
        <v>3.7368037549035782E-2</v>
      </c>
    </row>
    <row r="63" spans="1:8" x14ac:dyDescent="0.3">
      <c r="A63" s="3" t="s">
        <v>113</v>
      </c>
      <c r="B63" s="3" t="s">
        <v>174</v>
      </c>
      <c r="C63" s="3" t="s">
        <v>54</v>
      </c>
      <c r="D63" s="17">
        <v>0.397950126577653</v>
      </c>
      <c r="E63" s="7">
        <v>28000</v>
      </c>
      <c r="F63" s="7">
        <v>54</v>
      </c>
      <c r="G63" s="8">
        <v>1.2</v>
      </c>
      <c r="H63" s="8">
        <f t="shared" si="28"/>
        <v>2.8017872616491871E-2</v>
      </c>
    </row>
    <row r="64" spans="1:8" x14ac:dyDescent="0.3">
      <c r="A64" s="3" t="s">
        <v>128</v>
      </c>
      <c r="B64" s="3" t="s">
        <v>174</v>
      </c>
      <c r="C64" s="3" t="s">
        <v>54</v>
      </c>
      <c r="D64" s="17">
        <v>30.154408998606598</v>
      </c>
      <c r="E64" s="7">
        <v>28000</v>
      </c>
      <c r="F64" s="7">
        <v>54</v>
      </c>
      <c r="G64" s="8">
        <v>1.2</v>
      </c>
      <c r="H64" s="8">
        <f t="shared" si="28"/>
        <v>3.1218212705636475E-2</v>
      </c>
    </row>
    <row r="65" spans="1:8" x14ac:dyDescent="0.3">
      <c r="A65" s="3" t="s">
        <v>140</v>
      </c>
      <c r="B65" s="3" t="s">
        <v>174</v>
      </c>
      <c r="C65" s="3" t="s">
        <v>54</v>
      </c>
      <c r="D65" s="17">
        <v>68.373639772241702</v>
      </c>
      <c r="E65" s="7">
        <v>28000</v>
      </c>
      <c r="F65" s="7">
        <v>54</v>
      </c>
      <c r="G65" s="8">
        <v>1.2</v>
      </c>
      <c r="H65" s="8">
        <f t="shared" si="28"/>
        <v>3.6595283373486491E-2</v>
      </c>
    </row>
    <row r="66" spans="1:8" x14ac:dyDescent="0.3">
      <c r="A66" s="3" t="s">
        <v>127</v>
      </c>
      <c r="B66" s="3" t="s">
        <v>174</v>
      </c>
      <c r="C66" s="3" t="s">
        <v>54</v>
      </c>
      <c r="D66" s="17">
        <v>762.72429963949298</v>
      </c>
      <c r="E66" s="7">
        <v>28000</v>
      </c>
      <c r="F66" s="7">
        <v>54</v>
      </c>
      <c r="G66" s="8">
        <v>1.2</v>
      </c>
      <c r="H66" s="8">
        <f t="shared" si="28"/>
        <v>0.18332267418942325</v>
      </c>
    </row>
    <row r="67" spans="1:8" x14ac:dyDescent="0.3">
      <c r="A67" s="3" t="s">
        <v>139</v>
      </c>
      <c r="B67" s="3" t="s">
        <v>174</v>
      </c>
      <c r="C67" s="3" t="s">
        <v>54</v>
      </c>
      <c r="D67" s="17">
        <v>4.4077802618988704</v>
      </c>
      <c r="E67" s="7">
        <v>28000</v>
      </c>
      <c r="F67" s="7">
        <v>54</v>
      </c>
      <c r="G67" s="8">
        <v>1.2</v>
      </c>
      <c r="H67" s="8">
        <f t="shared" ref="H67" si="31">(E67+(F67*(D67^G67)))/1000000</f>
        <v>2.832022680535903E-2</v>
      </c>
    </row>
    <row r="68" spans="1:8" x14ac:dyDescent="0.3">
      <c r="A68" s="3" t="s">
        <v>110</v>
      </c>
      <c r="B68" s="3" t="s">
        <v>174</v>
      </c>
      <c r="C68" s="3" t="s">
        <v>54</v>
      </c>
      <c r="D68" s="17">
        <v>0.129425989940473</v>
      </c>
      <c r="E68" s="7">
        <v>28000</v>
      </c>
      <c r="F68" s="7">
        <v>54</v>
      </c>
      <c r="G68" s="8">
        <v>1.2</v>
      </c>
      <c r="H68" s="8">
        <f t="shared" si="28"/>
        <v>2.8004643223132005E-2</v>
      </c>
    </row>
    <row r="69" spans="1:8" x14ac:dyDescent="0.3">
      <c r="A69" s="3" t="s">
        <v>119</v>
      </c>
      <c r="B69" s="3" t="s">
        <v>174</v>
      </c>
      <c r="C69" s="3" t="s">
        <v>54</v>
      </c>
      <c r="D69" s="17">
        <v>43.824976247547497</v>
      </c>
      <c r="E69" s="7">
        <v>28000</v>
      </c>
      <c r="F69" s="7">
        <v>54</v>
      </c>
      <c r="G69" s="8">
        <v>1.2</v>
      </c>
      <c r="H69" s="8">
        <f t="shared" si="28"/>
        <v>3.30403394659479E-2</v>
      </c>
    </row>
    <row r="70" spans="1:8" x14ac:dyDescent="0.3">
      <c r="A70" s="3" t="s">
        <v>111</v>
      </c>
      <c r="B70" s="3" t="s">
        <v>174</v>
      </c>
      <c r="C70" s="3" t="s">
        <v>54</v>
      </c>
      <c r="D70" s="17">
        <v>173.20335141383899</v>
      </c>
      <c r="E70" s="7">
        <v>28000</v>
      </c>
      <c r="F70" s="7">
        <v>54</v>
      </c>
      <c r="G70" s="8">
        <v>1.2</v>
      </c>
      <c r="H70" s="8">
        <f t="shared" si="28"/>
        <v>5.4221728068560786E-2</v>
      </c>
    </row>
    <row r="71" spans="1:8" x14ac:dyDescent="0.3">
      <c r="A71" s="3" t="s">
        <v>120</v>
      </c>
      <c r="B71" s="3" t="s">
        <v>174</v>
      </c>
      <c r="C71" s="3" t="s">
        <v>54</v>
      </c>
      <c r="D71" s="17">
        <v>282.32333385807101</v>
      </c>
      <c r="E71" s="7">
        <v>28000</v>
      </c>
      <c r="F71" s="7">
        <v>54</v>
      </c>
      <c r="G71" s="8">
        <v>1.2</v>
      </c>
      <c r="H71" s="8">
        <f t="shared" si="28"/>
        <v>7.5129180527334458E-2</v>
      </c>
    </row>
    <row r="72" spans="1:8" x14ac:dyDescent="0.3">
      <c r="A72" s="3" t="s">
        <v>129</v>
      </c>
      <c r="B72" s="3" t="s">
        <v>174</v>
      </c>
      <c r="C72" s="3" t="s">
        <v>54</v>
      </c>
      <c r="D72" s="17">
        <v>33.811340196268198</v>
      </c>
      <c r="E72" s="7">
        <v>28000</v>
      </c>
      <c r="F72" s="7">
        <v>54</v>
      </c>
      <c r="G72" s="8">
        <v>1.2</v>
      </c>
      <c r="H72" s="8">
        <f t="shared" si="28"/>
        <v>3.169205891342651E-2</v>
      </c>
    </row>
    <row r="73" spans="1:8" ht="15.75" customHeight="1" x14ac:dyDescent="0.3">
      <c r="A73" s="3" t="s">
        <v>121</v>
      </c>
      <c r="B73" s="3" t="s">
        <v>174</v>
      </c>
      <c r="C73" s="3" t="s">
        <v>54</v>
      </c>
      <c r="D73" s="17">
        <v>129.64080872940599</v>
      </c>
      <c r="E73" s="7">
        <v>28000</v>
      </c>
      <c r="F73" s="7">
        <v>54</v>
      </c>
      <c r="G73" s="8">
        <v>1.2</v>
      </c>
      <c r="H73" s="8">
        <f t="shared" si="28"/>
        <v>4.6521827610315522E-2</v>
      </c>
    </row>
    <row r="74" spans="1:8" x14ac:dyDescent="0.3">
      <c r="A74" s="3" t="s">
        <v>130</v>
      </c>
      <c r="B74" s="3" t="s">
        <v>174</v>
      </c>
      <c r="C74" s="3" t="s">
        <v>54</v>
      </c>
      <c r="D74" s="17">
        <v>65.462893229883306</v>
      </c>
      <c r="E74" s="7">
        <v>28000</v>
      </c>
      <c r="F74" s="7">
        <v>54</v>
      </c>
      <c r="G74" s="8">
        <v>1.2</v>
      </c>
      <c r="H74" s="8">
        <f t="shared" ref="H74" si="32">(E74+(F74*(D74^G74)))/1000000</f>
        <v>3.6158080654713383E-2</v>
      </c>
    </row>
    <row r="75" spans="1:8" x14ac:dyDescent="0.3">
      <c r="A75" s="3" t="s">
        <v>137</v>
      </c>
      <c r="B75" s="3" t="s">
        <v>174</v>
      </c>
      <c r="C75" s="3" t="s">
        <v>54</v>
      </c>
      <c r="D75" s="17">
        <v>197.91244327257701</v>
      </c>
      <c r="E75" s="7">
        <v>28000</v>
      </c>
      <c r="F75" s="7">
        <v>54</v>
      </c>
      <c r="G75" s="8">
        <v>1.2</v>
      </c>
      <c r="H75" s="8">
        <f t="shared" si="28"/>
        <v>5.8772407873989713E-2</v>
      </c>
    </row>
    <row r="76" spans="1:8" x14ac:dyDescent="0.3">
      <c r="A76" s="3" t="s">
        <v>126</v>
      </c>
      <c r="B76" s="3" t="s">
        <v>174</v>
      </c>
      <c r="C76" s="3" t="s">
        <v>54</v>
      </c>
      <c r="D76" s="17">
        <v>0.12535317876490601</v>
      </c>
      <c r="E76" s="7">
        <v>28000</v>
      </c>
      <c r="F76" s="7">
        <v>54</v>
      </c>
      <c r="G76" s="8">
        <v>1.2</v>
      </c>
      <c r="H76" s="8">
        <f t="shared" ref="H76:H77" si="33">(E76+(F76*(D76^G76)))/1000000</f>
        <v>2.8004468442580244E-2</v>
      </c>
    </row>
    <row r="77" spans="1:8" x14ac:dyDescent="0.3">
      <c r="A77" s="3" t="s">
        <v>138</v>
      </c>
      <c r="B77" s="3" t="s">
        <v>174</v>
      </c>
      <c r="C77" s="3" t="s">
        <v>54</v>
      </c>
      <c r="D77" s="17">
        <v>0.27948597887509602</v>
      </c>
      <c r="E77" s="7">
        <v>28000</v>
      </c>
      <c r="F77" s="7">
        <v>54</v>
      </c>
      <c r="G77" s="8">
        <v>1.2</v>
      </c>
      <c r="H77" s="8">
        <f t="shared" si="33"/>
        <v>2.8011695688426812E-2</v>
      </c>
    </row>
    <row r="78" spans="1:8" x14ac:dyDescent="0.3">
      <c r="A78" s="3" t="s">
        <v>108</v>
      </c>
      <c r="B78" s="3" t="s">
        <v>174</v>
      </c>
      <c r="C78" s="3" t="s">
        <v>54</v>
      </c>
      <c r="D78" s="17">
        <v>208.16077712944099</v>
      </c>
      <c r="E78" s="7">
        <v>28000</v>
      </c>
      <c r="F78" s="7">
        <v>54</v>
      </c>
      <c r="G78" s="8">
        <v>1.2</v>
      </c>
      <c r="H78" s="8">
        <f t="shared" si="28"/>
        <v>6.0694329898991241E-2</v>
      </c>
    </row>
    <row r="79" spans="1:8" ht="15.75" customHeight="1" x14ac:dyDescent="0.3">
      <c r="A79" s="3" t="s">
        <v>116</v>
      </c>
      <c r="B79" s="3" t="s">
        <v>174</v>
      </c>
      <c r="C79" s="3" t="s">
        <v>54</v>
      </c>
      <c r="D79" s="17">
        <v>5.9538784772504796</v>
      </c>
      <c r="E79" s="7">
        <v>28000</v>
      </c>
      <c r="F79" s="7">
        <v>54</v>
      </c>
      <c r="G79" s="8">
        <v>1.2</v>
      </c>
      <c r="H79" s="8">
        <f t="shared" si="28"/>
        <v>2.8459360575454173E-2</v>
      </c>
    </row>
    <row r="80" spans="1:8" x14ac:dyDescent="0.3">
      <c r="A80" s="3" t="s">
        <v>109</v>
      </c>
      <c r="B80" s="3" t="s">
        <v>174</v>
      </c>
      <c r="C80" s="3" t="s">
        <v>54</v>
      </c>
      <c r="D80" s="17">
        <f>1415.80818491959/2</f>
        <v>707.90409245979504</v>
      </c>
      <c r="E80" s="7">
        <v>28000</v>
      </c>
      <c r="F80" s="7">
        <v>54</v>
      </c>
      <c r="G80" s="8">
        <v>1.2</v>
      </c>
      <c r="H80" s="8">
        <f t="shared" si="28"/>
        <v>0.17002443408937082</v>
      </c>
    </row>
    <row r="81" spans="1:8" x14ac:dyDescent="0.3">
      <c r="A81" s="3" t="s">
        <v>109</v>
      </c>
      <c r="B81" s="3" t="s">
        <v>174</v>
      </c>
      <c r="C81" s="3" t="s">
        <v>54</v>
      </c>
      <c r="D81" s="17">
        <f>1415.80818491959/2</f>
        <v>707.90409245979504</v>
      </c>
      <c r="E81" s="7">
        <v>28000</v>
      </c>
      <c r="F81" s="7">
        <v>54</v>
      </c>
      <c r="G81" s="8">
        <v>1.2</v>
      </c>
      <c r="H81" s="8">
        <f t="shared" ref="H81" si="34">(E81+(F81*(D81^G81)))/1000000</f>
        <v>0.17002443408937082</v>
      </c>
    </row>
    <row r="82" spans="1:8" x14ac:dyDescent="0.3">
      <c r="A82" s="3" t="s">
        <v>118</v>
      </c>
      <c r="B82" s="3" t="s">
        <v>174</v>
      </c>
      <c r="C82" s="3" t="s">
        <v>54</v>
      </c>
      <c r="D82" s="17">
        <v>118.84487860244499</v>
      </c>
      <c r="E82" s="7">
        <v>28000</v>
      </c>
      <c r="F82" s="7">
        <v>54</v>
      </c>
      <c r="G82" s="8">
        <v>1.2</v>
      </c>
      <c r="H82" s="8">
        <f t="shared" si="28"/>
        <v>4.4686694903446539E-2</v>
      </c>
    </row>
    <row r="83" spans="1:8" x14ac:dyDescent="0.3">
      <c r="A83" s="3" t="s">
        <v>124</v>
      </c>
      <c r="B83" s="3" t="s">
        <v>174</v>
      </c>
      <c r="C83" s="3" t="s">
        <v>54</v>
      </c>
      <c r="D83" s="17">
        <v>144.80962257260501</v>
      </c>
      <c r="E83" s="7">
        <v>28000</v>
      </c>
      <c r="F83" s="7">
        <v>54</v>
      </c>
      <c r="G83" s="8">
        <v>1.2</v>
      </c>
      <c r="H83" s="8">
        <f t="shared" si="28"/>
        <v>4.9151962397743484E-2</v>
      </c>
    </row>
    <row r="84" spans="1:8" x14ac:dyDescent="0.3">
      <c r="A84" s="3" t="s">
        <v>117</v>
      </c>
      <c r="B84" s="3" t="s">
        <v>174</v>
      </c>
      <c r="C84" s="3" t="s">
        <v>54</v>
      </c>
      <c r="D84" s="17">
        <v>30.031706222355702</v>
      </c>
      <c r="E84" s="7">
        <v>28000</v>
      </c>
      <c r="F84" s="7">
        <v>54</v>
      </c>
      <c r="G84" s="8">
        <v>1.2</v>
      </c>
      <c r="H84" s="8">
        <f t="shared" si="28"/>
        <v>3.1202504643514161E-2</v>
      </c>
    </row>
    <row r="85" spans="1:8" x14ac:dyDescent="0.3">
      <c r="A85" s="3" t="s">
        <v>125</v>
      </c>
      <c r="B85" s="3" t="s">
        <v>174</v>
      </c>
      <c r="C85" s="3" t="s">
        <v>54</v>
      </c>
      <c r="D85" s="17">
        <v>1.1889251156644101</v>
      </c>
      <c r="E85" s="7">
        <v>28000</v>
      </c>
      <c r="F85" s="7">
        <v>54</v>
      </c>
      <c r="G85" s="8">
        <v>1.2</v>
      </c>
      <c r="H85" s="8">
        <f t="shared" si="28"/>
        <v>2.8066462880796537E-2</v>
      </c>
    </row>
    <row r="86" spans="1:8" x14ac:dyDescent="0.3">
      <c r="A86" s="3" t="s">
        <v>194</v>
      </c>
      <c r="B86" s="3" t="s">
        <v>174</v>
      </c>
      <c r="C86" s="3" t="s">
        <v>54</v>
      </c>
      <c r="D86" s="17">
        <v>19.267001931058701</v>
      </c>
      <c r="E86" s="7">
        <v>28000</v>
      </c>
      <c r="F86" s="7">
        <v>54</v>
      </c>
      <c r="G86" s="8">
        <v>1.2</v>
      </c>
      <c r="H86" s="8">
        <f t="shared" si="28"/>
        <v>2.9880055755028119E-2</v>
      </c>
    </row>
    <row r="87" spans="1:8" x14ac:dyDescent="0.3">
      <c r="A87" s="3" t="s">
        <v>191</v>
      </c>
      <c r="B87" s="3" t="s">
        <v>174</v>
      </c>
      <c r="C87" s="3" t="s">
        <v>54</v>
      </c>
      <c r="D87" s="17">
        <v>105.998952768009</v>
      </c>
      <c r="E87" s="7">
        <v>28000</v>
      </c>
      <c r="F87" s="7">
        <v>54</v>
      </c>
      <c r="G87" s="8">
        <v>1.2</v>
      </c>
      <c r="H87" s="8">
        <f t="shared" si="28"/>
        <v>4.2546404141047975E-2</v>
      </c>
    </row>
    <row r="88" spans="1:8" x14ac:dyDescent="0.3">
      <c r="A88" s="3" t="s">
        <v>195</v>
      </c>
      <c r="B88" s="3" t="s">
        <v>174</v>
      </c>
      <c r="C88" s="3" t="s">
        <v>54</v>
      </c>
      <c r="D88" s="17">
        <v>283.97327323470199</v>
      </c>
      <c r="E88" s="7">
        <v>28000</v>
      </c>
      <c r="F88" s="7">
        <v>54</v>
      </c>
      <c r="G88" s="8">
        <v>1.2</v>
      </c>
      <c r="H88" s="8">
        <f t="shared" si="28"/>
        <v>7.5459889278777267E-2</v>
      </c>
    </row>
    <row r="89" spans="1:8" x14ac:dyDescent="0.3">
      <c r="A89" s="3" t="s">
        <v>192</v>
      </c>
      <c r="B89" s="3" t="s">
        <v>174</v>
      </c>
      <c r="C89" s="3" t="s">
        <v>54</v>
      </c>
      <c r="D89" s="17">
        <v>194.396423985252</v>
      </c>
      <c r="E89" s="7">
        <v>28000</v>
      </c>
      <c r="F89" s="7">
        <v>54</v>
      </c>
      <c r="G89" s="8">
        <v>1.2</v>
      </c>
      <c r="H89" s="8">
        <f t="shared" si="28"/>
        <v>5.8117553172093529E-2</v>
      </c>
    </row>
    <row r="90" spans="1:8" x14ac:dyDescent="0.3">
      <c r="A90" s="3" t="s">
        <v>187</v>
      </c>
      <c r="B90" s="3" t="s">
        <v>174</v>
      </c>
      <c r="C90" s="3" t="s">
        <v>54</v>
      </c>
      <c r="D90" s="17">
        <v>408.74871537800402</v>
      </c>
      <c r="E90" s="7">
        <v>28000</v>
      </c>
      <c r="F90" s="7">
        <v>54</v>
      </c>
      <c r="G90" s="8">
        <v>1.2</v>
      </c>
      <c r="H90" s="8">
        <f t="shared" si="28"/>
        <v>0.1014753123103876</v>
      </c>
    </row>
    <row r="91" spans="1:8" x14ac:dyDescent="0.3">
      <c r="A91" s="3" t="s">
        <v>184</v>
      </c>
      <c r="B91" s="3" t="s">
        <v>174</v>
      </c>
      <c r="C91" s="3" t="s">
        <v>54</v>
      </c>
      <c r="D91" s="17">
        <v>763.362419672952</v>
      </c>
      <c r="E91" s="7">
        <v>28000</v>
      </c>
      <c r="F91" s="7">
        <v>54</v>
      </c>
      <c r="G91" s="8">
        <v>1.2</v>
      </c>
      <c r="H91" s="8">
        <f t="shared" ref="H91" si="35">(E91+(F91*(D91^G91)))/1000000</f>
        <v>0.18347862485284097</v>
      </c>
    </row>
    <row r="92" spans="1:8" x14ac:dyDescent="0.3">
      <c r="A92" s="3" t="s">
        <v>188</v>
      </c>
      <c r="B92" s="3" t="s">
        <v>174</v>
      </c>
      <c r="C92" s="3" t="s">
        <v>54</v>
      </c>
      <c r="D92" s="17">
        <v>246.50684512375699</v>
      </c>
      <c r="E92" s="7">
        <v>28000</v>
      </c>
      <c r="F92" s="7">
        <v>54</v>
      </c>
      <c r="G92" s="8">
        <v>1.2</v>
      </c>
      <c r="H92" s="8">
        <f t="shared" si="28"/>
        <v>6.804871076727903E-2</v>
      </c>
    </row>
    <row r="93" spans="1:8" x14ac:dyDescent="0.3">
      <c r="A93" s="3" t="s">
        <v>186</v>
      </c>
      <c r="B93" s="3" t="s">
        <v>174</v>
      </c>
      <c r="C93" s="3" t="s">
        <v>54</v>
      </c>
      <c r="D93" s="17">
        <v>403.60386333517903</v>
      </c>
      <c r="E93" s="7">
        <v>28000</v>
      </c>
      <c r="F93" s="7">
        <v>54</v>
      </c>
      <c r="G93" s="8">
        <v>1.2</v>
      </c>
      <c r="H93" s="8">
        <f t="shared" si="28"/>
        <v>0.1003669280636636</v>
      </c>
    </row>
    <row r="94" spans="1:8" x14ac:dyDescent="0.3">
      <c r="A94" s="3" t="s">
        <v>189</v>
      </c>
      <c r="B94" s="3" t="s">
        <v>174</v>
      </c>
      <c r="C94" s="3" t="s">
        <v>54</v>
      </c>
      <c r="D94" s="17">
        <v>232.55435042364101</v>
      </c>
      <c r="E94" s="7">
        <v>28000</v>
      </c>
      <c r="F94" s="7">
        <v>54</v>
      </c>
      <c r="G94" s="8">
        <v>1.2</v>
      </c>
      <c r="H94" s="8">
        <f t="shared" si="28"/>
        <v>6.5344196693003245E-2</v>
      </c>
    </row>
    <row r="95" spans="1:8" x14ac:dyDescent="0.3">
      <c r="A95" s="3" t="s">
        <v>185</v>
      </c>
      <c r="B95" s="3" t="s">
        <v>174</v>
      </c>
      <c r="C95" s="3" t="s">
        <v>54</v>
      </c>
      <c r="D95" s="17">
        <v>28.964573973089699</v>
      </c>
      <c r="E95" s="7">
        <v>28000</v>
      </c>
      <c r="F95" s="7">
        <v>54</v>
      </c>
      <c r="G95" s="8">
        <v>1.2</v>
      </c>
      <c r="H95" s="8">
        <f t="shared" si="28"/>
        <v>3.106643902885086E-2</v>
      </c>
    </row>
    <row r="96" spans="1:8" x14ac:dyDescent="0.3">
      <c r="A96" s="3" t="s">
        <v>190</v>
      </c>
      <c r="B96" s="3" t="s">
        <v>174</v>
      </c>
      <c r="C96" s="3" t="s">
        <v>54</v>
      </c>
      <c r="D96" s="17">
        <v>543.63521447574306</v>
      </c>
      <c r="E96" s="7">
        <v>28000</v>
      </c>
      <c r="F96" s="7">
        <v>54</v>
      </c>
      <c r="G96" s="8">
        <v>1.2</v>
      </c>
      <c r="H96" s="8">
        <f t="shared" si="28"/>
        <v>0.13145770894204353</v>
      </c>
    </row>
    <row r="97" spans="1:8" x14ac:dyDescent="0.3">
      <c r="A97" s="3" t="s">
        <v>193</v>
      </c>
      <c r="B97" s="3" t="s">
        <v>174</v>
      </c>
      <c r="C97" s="3" t="s">
        <v>54</v>
      </c>
      <c r="D97" s="17">
        <v>67.417598374874203</v>
      </c>
      <c r="E97" s="7">
        <v>28000</v>
      </c>
      <c r="F97" s="7">
        <v>54</v>
      </c>
      <c r="G97" s="8">
        <v>1.2</v>
      </c>
      <c r="H97" s="8">
        <f t="shared" si="28"/>
        <v>3.6451264476539999E-2</v>
      </c>
    </row>
    <row r="98" spans="1:8" x14ac:dyDescent="0.3">
      <c r="A98" s="3"/>
      <c r="B98" s="2" t="s">
        <v>146</v>
      </c>
      <c r="C98" s="3"/>
      <c r="D98" s="17"/>
      <c r="E98" s="7"/>
      <c r="F98" s="7"/>
      <c r="G98" s="8"/>
      <c r="H98" s="10">
        <f>SUM(H36:H97)</f>
        <v>4.5325366280847863</v>
      </c>
    </row>
    <row r="99" spans="1:8" x14ac:dyDescent="0.3">
      <c r="A99" s="41" t="s">
        <v>58</v>
      </c>
      <c r="B99" s="42"/>
      <c r="C99" s="42"/>
      <c r="D99" s="42"/>
      <c r="E99" s="42"/>
      <c r="F99" s="42"/>
      <c r="G99" s="42"/>
      <c r="H99" s="43"/>
    </row>
    <row r="100" spans="1:8" x14ac:dyDescent="0.3">
      <c r="A100" s="5" t="s">
        <v>154</v>
      </c>
      <c r="B100" s="3" t="s">
        <v>175</v>
      </c>
      <c r="C100" s="3" t="s">
        <v>59</v>
      </c>
      <c r="D100" s="17">
        <f>Q13</f>
        <v>2616.2888073138574</v>
      </c>
      <c r="E100" s="7">
        <v>17400</v>
      </c>
      <c r="F100" s="7">
        <v>79</v>
      </c>
      <c r="G100" s="8">
        <v>0.85</v>
      </c>
      <c r="H100" s="8">
        <f t="shared" ref="H100:H104" si="36">(E100+(F100*(D100^G100)))/1000000</f>
        <v>8.0883362537972792E-2</v>
      </c>
    </row>
    <row r="101" spans="1:8" x14ac:dyDescent="0.3">
      <c r="A101" s="5" t="s">
        <v>271</v>
      </c>
      <c r="B101" s="3" t="s">
        <v>158</v>
      </c>
      <c r="C101" s="3" t="s">
        <v>159</v>
      </c>
      <c r="D101" s="17">
        <f>36770/1000</f>
        <v>36.770000000000003</v>
      </c>
      <c r="E101" s="7">
        <v>80000</v>
      </c>
      <c r="F101" s="7">
        <v>109000</v>
      </c>
      <c r="G101" s="8">
        <v>0.8</v>
      </c>
      <c r="H101" s="8">
        <f t="shared" ref="H101" si="37">(E101+(F101*(D101^G101)))/1000000</f>
        <v>2.0290429154491516</v>
      </c>
    </row>
    <row r="102" spans="1:8" x14ac:dyDescent="0.3">
      <c r="A102" s="3" t="s">
        <v>155</v>
      </c>
      <c r="B102" s="3" t="s">
        <v>158</v>
      </c>
      <c r="C102" s="3" t="s">
        <v>159</v>
      </c>
      <c r="D102" s="8">
        <f>40870/1000</f>
        <v>40.869999999999997</v>
      </c>
      <c r="E102" s="7">
        <v>80000</v>
      </c>
      <c r="F102" s="7">
        <v>109000</v>
      </c>
      <c r="G102" s="8">
        <v>0.8</v>
      </c>
      <c r="H102" s="8">
        <f t="shared" si="36"/>
        <v>2.2010465898152827</v>
      </c>
    </row>
    <row r="103" spans="1:8" x14ac:dyDescent="0.3">
      <c r="A103" s="3" t="s">
        <v>156</v>
      </c>
      <c r="B103" s="3" t="s">
        <v>158</v>
      </c>
      <c r="C103" s="3" t="s">
        <v>159</v>
      </c>
      <c r="D103" s="8">
        <f>560.9/1000</f>
        <v>0.56089999999999995</v>
      </c>
      <c r="E103" s="7">
        <v>80000</v>
      </c>
      <c r="F103" s="7">
        <v>109000</v>
      </c>
      <c r="G103" s="8">
        <v>0.8</v>
      </c>
      <c r="H103" s="8">
        <f t="shared" si="36"/>
        <v>0.14863329509697498</v>
      </c>
    </row>
    <row r="104" spans="1:8" x14ac:dyDescent="0.3">
      <c r="A104" s="3" t="s">
        <v>157</v>
      </c>
      <c r="B104" s="3" t="s">
        <v>158</v>
      </c>
      <c r="C104" s="3" t="s">
        <v>159</v>
      </c>
      <c r="D104" s="8">
        <f>17660/1000</f>
        <v>17.66</v>
      </c>
      <c r="E104" s="7">
        <v>80000</v>
      </c>
      <c r="F104" s="7">
        <v>109000</v>
      </c>
      <c r="G104" s="8">
        <v>0.8</v>
      </c>
      <c r="H104" s="8">
        <f t="shared" si="36"/>
        <v>1.16397447900573</v>
      </c>
    </row>
    <row r="105" spans="1:8" x14ac:dyDescent="0.3">
      <c r="A105" s="3"/>
      <c r="B105" s="2" t="s">
        <v>146</v>
      </c>
      <c r="C105" s="3"/>
      <c r="D105" s="17"/>
      <c r="E105" s="7"/>
      <c r="F105" s="7"/>
      <c r="G105" s="8"/>
      <c r="H105" s="10">
        <f>SUM(H100:H104)</f>
        <v>5.6235806419051118</v>
      </c>
    </row>
    <row r="106" spans="1:8" x14ac:dyDescent="0.3">
      <c r="A106" s="38" t="s">
        <v>166</v>
      </c>
      <c r="B106" s="39"/>
      <c r="C106" s="39"/>
      <c r="D106" s="39"/>
      <c r="E106" s="39"/>
      <c r="F106" s="39"/>
      <c r="G106" s="39"/>
      <c r="H106" s="40"/>
    </row>
    <row r="107" spans="1:8" x14ac:dyDescent="0.3">
      <c r="A107" s="3" t="s">
        <v>49</v>
      </c>
      <c r="B107" s="3" t="s">
        <v>175</v>
      </c>
      <c r="C107" s="3" t="s">
        <v>59</v>
      </c>
      <c r="D107" s="17">
        <f t="shared" ref="D107:D114" si="38">Q14</f>
        <v>2616.2888073138574</v>
      </c>
      <c r="E107" s="7">
        <v>17400</v>
      </c>
      <c r="F107" s="7">
        <v>79</v>
      </c>
      <c r="G107" s="8">
        <v>0.85</v>
      </c>
      <c r="H107" s="8">
        <f t="shared" si="20"/>
        <v>8.0883362537972792E-2</v>
      </c>
    </row>
    <row r="108" spans="1:8" x14ac:dyDescent="0.3">
      <c r="A108" s="3" t="s">
        <v>50</v>
      </c>
      <c r="B108" s="3" t="s">
        <v>175</v>
      </c>
      <c r="C108" s="3" t="s">
        <v>59</v>
      </c>
      <c r="D108" s="17">
        <f t="shared" si="38"/>
        <v>665.96442367989084</v>
      </c>
      <c r="E108" s="7">
        <v>17400</v>
      </c>
      <c r="F108" s="7">
        <v>79</v>
      </c>
      <c r="G108" s="8">
        <v>0.85</v>
      </c>
      <c r="H108" s="8">
        <f t="shared" si="20"/>
        <v>3.7240858796187951E-2</v>
      </c>
    </row>
    <row r="109" spans="1:8" x14ac:dyDescent="0.3">
      <c r="A109" s="3" t="s">
        <v>147</v>
      </c>
      <c r="B109" s="3" t="s">
        <v>175</v>
      </c>
      <c r="C109" s="3" t="s">
        <v>59</v>
      </c>
      <c r="D109" s="17">
        <f t="shared" si="38"/>
        <v>11487.886308478091</v>
      </c>
      <c r="E109" s="7">
        <v>17400</v>
      </c>
      <c r="F109" s="7">
        <v>79</v>
      </c>
      <c r="G109" s="8">
        <v>0.85</v>
      </c>
      <c r="H109" s="8">
        <f t="shared" si="20"/>
        <v>0.24067042590211118</v>
      </c>
    </row>
    <row r="110" spans="1:8" x14ac:dyDescent="0.3">
      <c r="A110" s="3" t="s">
        <v>148</v>
      </c>
      <c r="B110" s="3" t="s">
        <v>175</v>
      </c>
      <c r="C110" s="3" t="s">
        <v>59</v>
      </c>
      <c r="D110" s="17">
        <f t="shared" si="38"/>
        <v>2021.67771474253</v>
      </c>
      <c r="E110" s="7">
        <v>17400</v>
      </c>
      <c r="F110" s="7">
        <v>79</v>
      </c>
      <c r="G110" s="8">
        <v>0.85</v>
      </c>
      <c r="H110" s="8">
        <f t="shared" ref="H110:H114" si="39">(E110+(F110*(D110^G110)))/1000000</f>
        <v>6.8389672967448259E-2</v>
      </c>
    </row>
    <row r="111" spans="1:8" x14ac:dyDescent="0.3">
      <c r="A111" s="3" t="s">
        <v>149</v>
      </c>
      <c r="B111" s="3" t="s">
        <v>175</v>
      </c>
      <c r="C111" s="3" t="s">
        <v>59</v>
      </c>
      <c r="D111" s="17">
        <f t="shared" si="38"/>
        <v>169.88888359180893</v>
      </c>
      <c r="E111" s="7">
        <v>17400</v>
      </c>
      <c r="F111" s="7">
        <v>79</v>
      </c>
      <c r="G111" s="8">
        <v>0.85</v>
      </c>
      <c r="H111" s="8">
        <f t="shared" si="39"/>
        <v>2.3612512983289514E-2</v>
      </c>
    </row>
    <row r="112" spans="1:8" x14ac:dyDescent="0.3">
      <c r="A112" s="3" t="s">
        <v>150</v>
      </c>
      <c r="B112" s="3" t="s">
        <v>175</v>
      </c>
      <c r="C112" s="3" t="s">
        <v>59</v>
      </c>
      <c r="D112" s="17">
        <f t="shared" si="38"/>
        <v>3333.2198960713135</v>
      </c>
      <c r="E112" s="7">
        <v>17400</v>
      </c>
      <c r="F112" s="7">
        <v>79</v>
      </c>
      <c r="G112" s="8">
        <v>0.85</v>
      </c>
      <c r="H112" s="8">
        <f t="shared" si="39"/>
        <v>9.5394048094919928E-2</v>
      </c>
    </row>
    <row r="113" spans="1:9" x14ac:dyDescent="0.3">
      <c r="A113" s="3" t="s">
        <v>151</v>
      </c>
      <c r="B113" s="3" t="s">
        <v>175</v>
      </c>
      <c r="C113" s="3" t="s">
        <v>59</v>
      </c>
      <c r="D113" s="17">
        <f t="shared" si="38"/>
        <v>659.47775721547578</v>
      </c>
      <c r="E113" s="7">
        <v>17400</v>
      </c>
      <c r="F113" s="7">
        <v>79</v>
      </c>
      <c r="G113" s="8">
        <v>0.85</v>
      </c>
      <c r="H113" s="8">
        <f t="shared" si="39"/>
        <v>3.7076471495218054E-2</v>
      </c>
    </row>
    <row r="114" spans="1:9" x14ac:dyDescent="0.3">
      <c r="A114" s="3" t="s">
        <v>152</v>
      </c>
      <c r="B114" s="3" t="s">
        <v>175</v>
      </c>
      <c r="C114" s="3" t="s">
        <v>59</v>
      </c>
      <c r="D114" s="17">
        <f t="shared" si="38"/>
        <v>3333.2198960713135</v>
      </c>
      <c r="E114" s="7">
        <v>17400</v>
      </c>
      <c r="F114" s="7">
        <v>79</v>
      </c>
      <c r="G114" s="8">
        <v>0.85</v>
      </c>
      <c r="H114" s="8">
        <f t="shared" si="39"/>
        <v>9.5394048094919928E-2</v>
      </c>
    </row>
    <row r="115" spans="1:9" x14ac:dyDescent="0.3">
      <c r="A115" s="3"/>
      <c r="B115" s="2" t="s">
        <v>146</v>
      </c>
      <c r="C115" s="3"/>
      <c r="D115" s="17"/>
      <c r="E115" s="7"/>
      <c r="F115" s="7"/>
      <c r="G115" s="8"/>
      <c r="H115" s="10">
        <f>SUM(H107:H114)</f>
        <v>0.67866140087206761</v>
      </c>
    </row>
    <row r="116" spans="1:9" x14ac:dyDescent="0.3">
      <c r="A116" s="38" t="s">
        <v>165</v>
      </c>
      <c r="B116" s="39"/>
      <c r="C116" s="39"/>
      <c r="D116" s="39"/>
      <c r="E116" s="39"/>
      <c r="F116" s="39"/>
      <c r="G116" s="39"/>
      <c r="H116" s="40"/>
    </row>
    <row r="117" spans="1:9" x14ac:dyDescent="0.3">
      <c r="A117" s="3" t="s">
        <v>168</v>
      </c>
      <c r="B117" s="3" t="s">
        <v>175</v>
      </c>
      <c r="C117" s="3" t="s">
        <v>59</v>
      </c>
      <c r="D117" s="8">
        <f>Q22</f>
        <v>2779.9026254845357</v>
      </c>
      <c r="E117" s="7">
        <v>17400</v>
      </c>
      <c r="F117" s="7">
        <v>79</v>
      </c>
      <c r="G117" s="8">
        <v>0.85</v>
      </c>
      <c r="H117" s="8">
        <f t="shared" ref="H117" si="40">(E117+(F117*(D117^G117)))/1000000</f>
        <v>8.4242431157698333E-2</v>
      </c>
      <c r="I117" s="2" t="s">
        <v>176</v>
      </c>
    </row>
    <row r="118" spans="1:9" x14ac:dyDescent="0.3">
      <c r="A118" s="3" t="s">
        <v>171</v>
      </c>
      <c r="B118" s="3" t="s">
        <v>169</v>
      </c>
      <c r="C118" s="3" t="s">
        <v>170</v>
      </c>
      <c r="D118" s="8">
        <f>K22</f>
        <v>1.4159999999999999</v>
      </c>
      <c r="E118" s="7">
        <v>130</v>
      </c>
      <c r="F118" s="7">
        <v>440</v>
      </c>
      <c r="G118" s="8">
        <v>1.8</v>
      </c>
      <c r="H118" s="8">
        <f>(E118+(F118*(D118^G118)))*I118/1000000</f>
        <v>9.5293689290647052E-3</v>
      </c>
      <c r="I118" s="31">
        <v>10</v>
      </c>
    </row>
    <row r="119" spans="1:9" x14ac:dyDescent="0.3">
      <c r="A119" s="3"/>
      <c r="B119" s="2" t="s">
        <v>146</v>
      </c>
      <c r="C119" s="3"/>
      <c r="D119" s="17"/>
      <c r="E119" s="7"/>
      <c r="F119" s="7"/>
      <c r="G119" s="8"/>
      <c r="H119" s="10">
        <f>SUM(H117:H118)</f>
        <v>9.3771800086763044E-2</v>
      </c>
    </row>
    <row r="120" spans="1:9" x14ac:dyDescent="0.3">
      <c r="A120" s="38" t="s">
        <v>178</v>
      </c>
      <c r="B120" s="39"/>
      <c r="C120" s="39"/>
      <c r="D120" s="39"/>
      <c r="E120" s="39"/>
      <c r="F120" s="39"/>
      <c r="G120" s="39"/>
      <c r="H120" s="40"/>
    </row>
    <row r="121" spans="1:9" x14ac:dyDescent="0.3">
      <c r="A121" s="3" t="s">
        <v>168</v>
      </c>
      <c r="B121" s="3" t="s">
        <v>175</v>
      </c>
      <c r="C121" s="3" t="s">
        <v>59</v>
      </c>
      <c r="D121" s="8">
        <f>Q23</f>
        <v>643.92872882890299</v>
      </c>
      <c r="E121" s="7">
        <v>17400</v>
      </c>
      <c r="F121" s="7">
        <v>79</v>
      </c>
      <c r="G121" s="8">
        <v>0.85</v>
      </c>
      <c r="H121" s="8">
        <f t="shared" ref="H121" si="41">(E121+(F121*(D121^G121)))/1000000</f>
        <v>3.6681429225256926E-2</v>
      </c>
      <c r="I121" s="2" t="s">
        <v>176</v>
      </c>
    </row>
    <row r="122" spans="1:9" x14ac:dyDescent="0.3">
      <c r="A122" s="3" t="s">
        <v>171</v>
      </c>
      <c r="B122" s="3" t="s">
        <v>169</v>
      </c>
      <c r="C122" s="3" t="s">
        <v>170</v>
      </c>
      <c r="D122" s="8">
        <f>K23</f>
        <v>1.6419999999999999</v>
      </c>
      <c r="E122" s="7">
        <v>130</v>
      </c>
      <c r="F122" s="7">
        <v>440</v>
      </c>
      <c r="G122" s="8">
        <v>1.8</v>
      </c>
      <c r="H122" s="8">
        <f>(E122+(F122*(D122^G122)))*I122/1000000</f>
        <v>2.4085939433076114E-3</v>
      </c>
      <c r="I122" s="31">
        <v>2</v>
      </c>
    </row>
    <row r="123" spans="1:9" x14ac:dyDescent="0.3">
      <c r="A123" s="3"/>
      <c r="B123" s="2" t="s">
        <v>146</v>
      </c>
      <c r="C123" s="3"/>
      <c r="D123" s="17"/>
      <c r="E123" s="7"/>
      <c r="F123" s="7"/>
      <c r="G123" s="8"/>
      <c r="H123" s="10">
        <f>SUM(H121:H122)</f>
        <v>3.9090023168564539E-2</v>
      </c>
    </row>
    <row r="124" spans="1:9" x14ac:dyDescent="0.3">
      <c r="A124" s="38" t="s">
        <v>179</v>
      </c>
      <c r="B124" s="39"/>
      <c r="C124" s="39"/>
      <c r="D124" s="39"/>
      <c r="E124" s="39"/>
      <c r="F124" s="39"/>
      <c r="G124" s="39"/>
      <c r="H124" s="40"/>
    </row>
    <row r="125" spans="1:9" x14ac:dyDescent="0.3">
      <c r="A125" s="3" t="s">
        <v>168</v>
      </c>
      <c r="B125" s="3" t="s">
        <v>175</v>
      </c>
      <c r="C125" s="3" t="s">
        <v>59</v>
      </c>
      <c r="D125" s="8">
        <f>Q24</f>
        <v>222.14704469207641</v>
      </c>
      <c r="E125" s="7">
        <v>17400</v>
      </c>
      <c r="F125" s="7">
        <v>79</v>
      </c>
      <c r="G125" s="8">
        <v>0.85</v>
      </c>
      <c r="H125" s="8">
        <f t="shared" ref="H125" si="42">(E125+(F125*(D125^G125)))/1000000</f>
        <v>2.5203178655802239E-2</v>
      </c>
      <c r="I125" s="2" t="s">
        <v>176</v>
      </c>
    </row>
    <row r="126" spans="1:9" x14ac:dyDescent="0.3">
      <c r="A126" s="3" t="s">
        <v>171</v>
      </c>
      <c r="B126" s="3" t="s">
        <v>169</v>
      </c>
      <c r="C126" s="3" t="s">
        <v>170</v>
      </c>
      <c r="D126" s="8">
        <f>K24</f>
        <v>1.129</v>
      </c>
      <c r="E126" s="7">
        <v>130</v>
      </c>
      <c r="F126" s="7">
        <v>440</v>
      </c>
      <c r="G126" s="8">
        <v>1.8</v>
      </c>
      <c r="H126" s="8">
        <f>(E126+(F126*(D126^G126)))*I126/1000000</f>
        <v>6.7739619208386599E-4</v>
      </c>
      <c r="I126" s="31">
        <v>1</v>
      </c>
    </row>
    <row r="127" spans="1:9" x14ac:dyDescent="0.3">
      <c r="A127" s="3"/>
      <c r="B127" s="2" t="s">
        <v>146</v>
      </c>
      <c r="C127" s="3"/>
      <c r="D127" s="17"/>
      <c r="E127" s="7"/>
      <c r="F127" s="7"/>
      <c r="G127" s="8"/>
      <c r="H127" s="10">
        <f>SUM(H125:H126)</f>
        <v>2.5880574847886105E-2</v>
      </c>
    </row>
    <row r="128" spans="1:9" x14ac:dyDescent="0.3">
      <c r="A128" s="38" t="s">
        <v>180</v>
      </c>
      <c r="B128" s="39"/>
      <c r="C128" s="39"/>
      <c r="D128" s="39"/>
      <c r="E128" s="39"/>
      <c r="F128" s="39"/>
      <c r="G128" s="39"/>
      <c r="H128" s="40"/>
    </row>
    <row r="129" spans="1:9" x14ac:dyDescent="0.3">
      <c r="A129" s="3" t="s">
        <v>168</v>
      </c>
      <c r="B129" s="3" t="s">
        <v>175</v>
      </c>
      <c r="C129" s="3" t="s">
        <v>59</v>
      </c>
      <c r="D129" s="8">
        <f>Q25</f>
        <v>538.85786596324363</v>
      </c>
      <c r="E129" s="7">
        <v>17400</v>
      </c>
      <c r="F129" s="7">
        <v>79</v>
      </c>
      <c r="G129" s="8">
        <v>0.85</v>
      </c>
      <c r="H129" s="8">
        <f t="shared" ref="H129" si="43">(E129+(F129*(D129^G129)))/1000000</f>
        <v>3.3972200694745901E-2</v>
      </c>
      <c r="I129" s="2" t="s">
        <v>176</v>
      </c>
    </row>
    <row r="130" spans="1:9" x14ac:dyDescent="0.3">
      <c r="A130" s="3" t="s">
        <v>171</v>
      </c>
      <c r="B130" s="3" t="s">
        <v>169</v>
      </c>
      <c r="C130" s="3" t="s">
        <v>170</v>
      </c>
      <c r="D130" s="8">
        <f>K25</f>
        <v>1.3720000000000001</v>
      </c>
      <c r="E130" s="7">
        <v>130</v>
      </c>
      <c r="F130" s="7">
        <v>440</v>
      </c>
      <c r="G130" s="8">
        <v>1.8</v>
      </c>
      <c r="H130" s="8">
        <f>(E130+(F130*(D130^G130)))*I130/1000000</f>
        <v>1.8149630468057422E-3</v>
      </c>
      <c r="I130" s="31">
        <v>2</v>
      </c>
    </row>
    <row r="131" spans="1:9" x14ac:dyDescent="0.3">
      <c r="A131" s="3"/>
      <c r="B131" s="2" t="s">
        <v>146</v>
      </c>
      <c r="C131" s="3"/>
      <c r="D131" s="17"/>
      <c r="E131" s="7"/>
      <c r="F131" s="7"/>
      <c r="G131" s="8"/>
      <c r="H131" s="10">
        <f>SUM(H129:H130)</f>
        <v>3.5787163741551643E-2</v>
      </c>
    </row>
    <row r="132" spans="1:9" x14ac:dyDescent="0.3">
      <c r="A132" s="2"/>
      <c r="B132" s="2" t="s">
        <v>153</v>
      </c>
      <c r="C132" s="2"/>
      <c r="D132" s="9"/>
      <c r="E132" s="9"/>
      <c r="F132" s="9"/>
      <c r="G132" s="9"/>
      <c r="H132" s="10">
        <f>H29+H34+H98+H105+H115+H119+H123+H127+H131</f>
        <v>32.383265210835511</v>
      </c>
    </row>
    <row r="134" spans="1:9" x14ac:dyDescent="0.3">
      <c r="A134" s="19" t="s">
        <v>34</v>
      </c>
      <c r="B134" s="17">
        <v>532.9</v>
      </c>
    </row>
    <row r="135" spans="1:9" x14ac:dyDescent="0.3">
      <c r="A135" s="19" t="s">
        <v>237</v>
      </c>
      <c r="B135" s="17">
        <v>803.6</v>
      </c>
    </row>
    <row r="136" spans="1:9" x14ac:dyDescent="0.3">
      <c r="A136" s="19" t="s">
        <v>238</v>
      </c>
      <c r="B136" s="17">
        <f>H132*B135/B134</f>
        <v>48.833161800389227</v>
      </c>
    </row>
    <row r="137" spans="1:9" x14ac:dyDescent="0.3">
      <c r="A137" s="19" t="s">
        <v>60</v>
      </c>
      <c r="B137" s="17">
        <f>(B136)*((1+C3)+(C2+C5+C4+C6+C7+C8)/C9)*C9</f>
        <v>182.63602513345572</v>
      </c>
    </row>
    <row r="138" spans="1:9" x14ac:dyDescent="0.3">
      <c r="A138" s="19" t="s">
        <v>61</v>
      </c>
      <c r="B138" s="17">
        <f>0.3*B137</f>
        <v>54.790807540036717</v>
      </c>
    </row>
    <row r="139" spans="1:9" x14ac:dyDescent="0.3">
      <c r="A139" s="19" t="s">
        <v>62</v>
      </c>
      <c r="B139" s="17">
        <f>0.3*SUM(B137:B138)</f>
        <v>71.228049802047735</v>
      </c>
    </row>
    <row r="140" spans="1:9" x14ac:dyDescent="0.3">
      <c r="A140" s="19" t="s">
        <v>63</v>
      </c>
      <c r="B140" s="17">
        <f>0.1*SUM(B137:B138)</f>
        <v>23.742683267349246</v>
      </c>
      <c r="C140" s="24"/>
    </row>
    <row r="141" spans="1:9" x14ac:dyDescent="0.3">
      <c r="A141" s="19" t="s">
        <v>64</v>
      </c>
      <c r="B141" s="17">
        <f>B137*(1+0.3)*(1+0.3+0.1)</f>
        <v>332.39756574288947</v>
      </c>
      <c r="C141" s="25">
        <f>B141/B136</f>
        <v>6.8068000000000017</v>
      </c>
    </row>
    <row r="142" spans="1:9" x14ac:dyDescent="0.3">
      <c r="A142" s="19" t="s">
        <v>67</v>
      </c>
      <c r="B142" s="17">
        <f>B141*0.15</f>
        <v>49.85963486143342</v>
      </c>
    </row>
    <row r="143" spans="1:9" x14ac:dyDescent="0.3">
      <c r="A143" s="19" t="s">
        <v>65</v>
      </c>
      <c r="B143" s="23">
        <f>B141+B142</f>
        <v>382.25720060432286</v>
      </c>
    </row>
    <row r="144" spans="1:9" x14ac:dyDescent="0.3">
      <c r="A144" s="19" t="s">
        <v>27</v>
      </c>
      <c r="B144" s="11">
        <v>25</v>
      </c>
    </row>
    <row r="145" spans="1:2" x14ac:dyDescent="0.3">
      <c r="A145" s="19" t="s">
        <v>28</v>
      </c>
      <c r="B145" s="11">
        <v>0.12</v>
      </c>
    </row>
    <row r="146" spans="1:2" x14ac:dyDescent="0.3">
      <c r="A146" s="19" t="s">
        <v>29</v>
      </c>
      <c r="B146" s="13">
        <f>(B145*((1+B145)^B144))/(((1+B145)^B144)-1)</f>
        <v>0.12749996980950773</v>
      </c>
    </row>
    <row r="147" spans="1:2" x14ac:dyDescent="0.3">
      <c r="A147" s="19" t="s">
        <v>66</v>
      </c>
      <c r="B147" s="17">
        <f>B146*B143</f>
        <v>48.737781536518106</v>
      </c>
    </row>
    <row r="148" spans="1:2" x14ac:dyDescent="0.3">
      <c r="A148" s="20" t="s">
        <v>36</v>
      </c>
      <c r="B148" s="14">
        <f>B147</f>
        <v>48.737781536518106</v>
      </c>
    </row>
  </sheetData>
  <mergeCells count="9">
    <mergeCell ref="A116:H116"/>
    <mergeCell ref="A120:H120"/>
    <mergeCell ref="A124:H124"/>
    <mergeCell ref="A128:H128"/>
    <mergeCell ref="A13:H13"/>
    <mergeCell ref="A35:H35"/>
    <mergeCell ref="A99:H99"/>
    <mergeCell ref="A106:H106"/>
    <mergeCell ref="A30:H30"/>
  </mergeCells>
  <phoneticPr fontId="9" type="noConversion"/>
  <conditionalFormatting sqref="D36:D97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22" sqref="B22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2" t="s">
        <v>37</v>
      </c>
    </row>
    <row r="5" spans="1:3" x14ac:dyDescent="0.3">
      <c r="A5" s="44" t="s">
        <v>68</v>
      </c>
      <c r="B5" s="44"/>
      <c r="C5" s="44"/>
    </row>
    <row r="6" spans="1:3" x14ac:dyDescent="0.3">
      <c r="A6" s="11" t="s">
        <v>81</v>
      </c>
      <c r="B6" s="11" t="s">
        <v>93</v>
      </c>
      <c r="C6" s="11">
        <f>50000*9*9/1000000</f>
        <v>4.05</v>
      </c>
    </row>
    <row r="7" spans="1:3" x14ac:dyDescent="0.3">
      <c r="A7" s="11" t="s">
        <v>69</v>
      </c>
      <c r="B7" s="11" t="s">
        <v>70</v>
      </c>
      <c r="C7" s="17">
        <f>0.25*C6</f>
        <v>1.0125</v>
      </c>
    </row>
    <row r="8" spans="1:3" x14ac:dyDescent="0.3">
      <c r="A8" s="11" t="s">
        <v>73</v>
      </c>
      <c r="B8" s="11" t="s">
        <v>74</v>
      </c>
      <c r="C8" s="17">
        <f>0.45*(C6+C7)</f>
        <v>2.2781250000000002</v>
      </c>
    </row>
    <row r="9" spans="1:3" x14ac:dyDescent="0.3">
      <c r="A9" s="38"/>
      <c r="B9" s="40"/>
      <c r="C9" s="14">
        <f>SUM(C6:C8)</f>
        <v>7.3406250000000002</v>
      </c>
    </row>
    <row r="10" spans="1:3" x14ac:dyDescent="0.3">
      <c r="A10" s="44" t="s">
        <v>75</v>
      </c>
      <c r="B10" s="44"/>
      <c r="C10" s="44"/>
    </row>
    <row r="11" spans="1:3" x14ac:dyDescent="0.3">
      <c r="A11" s="11" t="s">
        <v>76</v>
      </c>
      <c r="B11" s="11" t="s">
        <v>77</v>
      </c>
      <c r="C11" s="17">
        <f>0.03*CAPEX!B137</f>
        <v>5.4790807540036717</v>
      </c>
    </row>
    <row r="12" spans="1:3" x14ac:dyDescent="0.3">
      <c r="A12" s="44"/>
      <c r="B12" s="44"/>
      <c r="C12" s="22">
        <f>C11</f>
        <v>5.4790807540036717</v>
      </c>
    </row>
    <row r="13" spans="1:3" x14ac:dyDescent="0.3">
      <c r="A13" s="38" t="s">
        <v>79</v>
      </c>
      <c r="B13" s="39"/>
      <c r="C13" s="40"/>
    </row>
    <row r="14" spans="1:3" x14ac:dyDescent="0.3">
      <c r="A14" s="11" t="s">
        <v>80</v>
      </c>
      <c r="B14" s="11" t="s">
        <v>82</v>
      </c>
      <c r="C14" s="17">
        <f>0.65*(C6+C7+C8+C11)</f>
        <v>8.3328087401023865</v>
      </c>
    </row>
    <row r="15" spans="1:3" x14ac:dyDescent="0.3">
      <c r="A15" s="11" t="s">
        <v>83</v>
      </c>
      <c r="B15" s="11" t="s">
        <v>85</v>
      </c>
      <c r="C15" s="17">
        <f>0.02*(CAPEX!B137+CAPEX!B138)</f>
        <v>4.7485366534698485</v>
      </c>
    </row>
    <row r="16" spans="1:3" x14ac:dyDescent="0.3">
      <c r="A16" s="44"/>
      <c r="B16" s="44"/>
      <c r="C16" s="22">
        <f>SUM(C14:C15)</f>
        <v>13.081345393572235</v>
      </c>
    </row>
    <row r="17" spans="1:3" x14ac:dyDescent="0.3">
      <c r="A17" s="38" t="s">
        <v>86</v>
      </c>
      <c r="B17" s="39"/>
      <c r="C17" s="40"/>
    </row>
    <row r="18" spans="1:3" x14ac:dyDescent="0.3">
      <c r="A18" s="11" t="s">
        <v>87</v>
      </c>
      <c r="B18" s="11" t="s">
        <v>88</v>
      </c>
      <c r="C18" s="17">
        <f>0.06*CAPEX!B142</f>
        <v>2.9915780916860051</v>
      </c>
    </row>
    <row r="19" spans="1:3" x14ac:dyDescent="0.3">
      <c r="A19" s="44"/>
      <c r="B19" s="44"/>
      <c r="C19" s="14">
        <f>C18</f>
        <v>2.9915780916860051</v>
      </c>
    </row>
    <row r="20" spans="1:3" x14ac:dyDescent="0.3">
      <c r="A20" s="38" t="s">
        <v>91</v>
      </c>
      <c r="B20" s="40"/>
      <c r="C20" s="14">
        <f>C9+C12+C16+C19</f>
        <v>28.892629239261911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16" sqref="E16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5" t="s">
        <v>206</v>
      </c>
      <c r="B1" s="45"/>
      <c r="C1" s="45"/>
      <c r="D1" s="10">
        <v>56724.187911725799</v>
      </c>
      <c r="E1" s="12" t="s">
        <v>205</v>
      </c>
    </row>
    <row r="4" spans="1:7" x14ac:dyDescent="0.3">
      <c r="A4" s="2" t="s">
        <v>101</v>
      </c>
      <c r="B4" s="2" t="s">
        <v>102</v>
      </c>
      <c r="C4" s="2" t="s">
        <v>205</v>
      </c>
      <c r="D4" s="2" t="s">
        <v>103</v>
      </c>
      <c r="E4" s="2" t="s">
        <v>207</v>
      </c>
      <c r="F4" s="2" t="s">
        <v>37</v>
      </c>
    </row>
    <row r="5" spans="1:7" ht="15.6" x14ac:dyDescent="0.35">
      <c r="A5" s="3" t="s">
        <v>155</v>
      </c>
      <c r="B5" s="3" t="s">
        <v>204</v>
      </c>
      <c r="C5" s="28">
        <v>8.1000000000000013E-3</v>
      </c>
      <c r="D5" s="21">
        <v>286000</v>
      </c>
      <c r="E5" s="17">
        <f>C5*D5</f>
        <v>2316.6000000000004</v>
      </c>
      <c r="F5" s="16">
        <f>E5/10^6*8000</f>
        <v>18.532800000000002</v>
      </c>
      <c r="G5" t="s">
        <v>209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3"/>
  <sheetViews>
    <sheetView tabSelected="1" zoomScale="120" zoomScaleNormal="120" workbookViewId="0">
      <selection activeCell="B19" sqref="B19:H19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88671875" style="29" bestFit="1" customWidth="1"/>
    <col min="5" max="5" width="12.6640625" bestFit="1" customWidth="1"/>
    <col min="6" max="6" width="9.44140625" bestFit="1" customWidth="1"/>
    <col min="7" max="7" width="9.88671875" bestFit="1" customWidth="1"/>
    <col min="8" max="8" width="69.44140625" bestFit="1" customWidth="1"/>
    <col min="10" max="10" width="11.33203125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242</v>
      </c>
      <c r="H3" s="2" t="s">
        <v>92</v>
      </c>
    </row>
    <row r="4" spans="2:13" x14ac:dyDescent="0.3">
      <c r="B4" s="38" t="s">
        <v>210</v>
      </c>
      <c r="C4" s="39"/>
      <c r="D4" s="39"/>
      <c r="E4" s="39"/>
      <c r="F4" s="39"/>
      <c r="G4" s="39"/>
      <c r="H4" s="40"/>
      <c r="I4" s="1"/>
      <c r="K4" s="3" t="s">
        <v>233</v>
      </c>
      <c r="L4" s="3" t="s">
        <v>232</v>
      </c>
      <c r="M4" s="3" t="s">
        <v>103</v>
      </c>
    </row>
    <row r="5" spans="2:13" x14ac:dyDescent="0.3">
      <c r="B5" s="3" t="s">
        <v>219</v>
      </c>
      <c r="C5" s="3" t="s">
        <v>33</v>
      </c>
      <c r="D5" s="21">
        <f>17147.7393199539/1000</f>
        <v>17.147739319953899</v>
      </c>
      <c r="E5" s="21">
        <v>524</v>
      </c>
      <c r="F5" s="21">
        <f t="shared" ref="F5" si="0">E5*D5</f>
        <v>8985.415403655843</v>
      </c>
      <c r="G5" s="21">
        <f>F5*C30/C29</f>
        <v>9301.4038623957695</v>
      </c>
      <c r="H5" s="3" t="s">
        <v>266</v>
      </c>
      <c r="I5" s="1"/>
      <c r="J5" s="11" t="s">
        <v>231</v>
      </c>
      <c r="K5" s="3">
        <f>13.4/1000</f>
        <v>1.34E-2</v>
      </c>
      <c r="L5" s="28">
        <f>K5/1.06</f>
        <v>1.2641509433962264E-2</v>
      </c>
      <c r="M5" s="28">
        <f>L5*55</f>
        <v>0.69528301886792454</v>
      </c>
    </row>
    <row r="6" spans="2:13" x14ac:dyDescent="0.3">
      <c r="B6" s="3" t="s">
        <v>220</v>
      </c>
      <c r="C6" s="3" t="s">
        <v>33</v>
      </c>
      <c r="D6" s="21">
        <f>23942.63872/1000</f>
        <v>23.942638719999998</v>
      </c>
      <c r="E6" s="21">
        <v>123.25</v>
      </c>
      <c r="F6" s="21">
        <f t="shared" ref="F6" si="1">E6*D6</f>
        <v>2950.9302222399997</v>
      </c>
      <c r="G6" s="21">
        <f>F6*C30/C27</f>
        <v>3931.9640633262538</v>
      </c>
      <c r="H6" s="3" t="s">
        <v>236</v>
      </c>
    </row>
    <row r="7" spans="2:13" x14ac:dyDescent="0.3">
      <c r="B7" s="33" t="s">
        <v>221</v>
      </c>
      <c r="C7" s="3" t="s">
        <v>33</v>
      </c>
      <c r="D7" s="21">
        <f>26751.3222258341/1000</f>
        <v>26.751322225834102</v>
      </c>
      <c r="E7" s="21">
        <v>1293</v>
      </c>
      <c r="F7" s="21">
        <f t="shared" ref="F7:F8" si="2">E7*D7</f>
        <v>34589.459638003493</v>
      </c>
      <c r="G7" s="21">
        <f>F7*C30/C28</f>
        <v>45754.880271768903</v>
      </c>
      <c r="H7" s="3" t="s">
        <v>227</v>
      </c>
    </row>
    <row r="8" spans="2:13" x14ac:dyDescent="0.3">
      <c r="B8" s="33" t="s">
        <v>96</v>
      </c>
      <c r="C8" s="3" t="s">
        <v>33</v>
      </c>
      <c r="D8" s="21">
        <v>0</v>
      </c>
      <c r="E8" s="21">
        <v>2090</v>
      </c>
      <c r="F8" s="21">
        <f t="shared" si="2"/>
        <v>0</v>
      </c>
      <c r="G8" s="21">
        <f>F8*C30/C28</f>
        <v>0</v>
      </c>
      <c r="H8" s="3" t="s">
        <v>227</v>
      </c>
    </row>
    <row r="9" spans="2:13" x14ac:dyDescent="0.3">
      <c r="B9" s="2" t="s">
        <v>222</v>
      </c>
      <c r="C9" s="2"/>
      <c r="D9" s="16"/>
      <c r="E9" s="16"/>
      <c r="F9" s="16"/>
      <c r="G9" s="16">
        <f>SUM(G5:G8)</f>
        <v>58988.248197490924</v>
      </c>
      <c r="H9" s="2"/>
    </row>
    <row r="10" spans="2:13" x14ac:dyDescent="0.3">
      <c r="B10" s="38" t="s">
        <v>211</v>
      </c>
      <c r="C10" s="39"/>
      <c r="D10" s="39"/>
      <c r="E10" s="39"/>
      <c r="F10" s="39"/>
      <c r="G10" s="39"/>
      <c r="H10" s="40"/>
    </row>
    <row r="11" spans="2:13" ht="16.2" x14ac:dyDescent="0.3">
      <c r="B11" s="3" t="s">
        <v>25</v>
      </c>
      <c r="C11" s="3" t="s">
        <v>228</v>
      </c>
      <c r="D11" s="21">
        <f>10758125.8574591/1000</f>
        <v>10758.125857459099</v>
      </c>
      <c r="E11" s="21">
        <f>3.6/100</f>
        <v>3.6000000000000004E-2</v>
      </c>
      <c r="F11" s="21">
        <f>E11*D11</f>
        <v>387.29253086852759</v>
      </c>
      <c r="G11" s="21">
        <f>F11*C30/C28</f>
        <v>512.30992231431901</v>
      </c>
      <c r="H11" s="3" t="s">
        <v>227</v>
      </c>
    </row>
    <row r="12" spans="2:13" x14ac:dyDescent="0.3">
      <c r="B12" s="3" t="s">
        <v>26</v>
      </c>
      <c r="C12" s="3" t="s">
        <v>229</v>
      </c>
      <c r="D12" s="21">
        <f>10614.1476562558/1000</f>
        <v>10.614147656255801</v>
      </c>
      <c r="E12" s="21">
        <v>69.599999999999994</v>
      </c>
      <c r="F12" s="21">
        <f>E12*D12</f>
        <v>738.74467687540368</v>
      </c>
      <c r="G12" s="21">
        <f>F12*C30/C28</f>
        <v>977.21024253016367</v>
      </c>
      <c r="H12" s="3" t="s">
        <v>227</v>
      </c>
    </row>
    <row r="13" spans="2:13" x14ac:dyDescent="0.3">
      <c r="B13" s="2" t="s">
        <v>222</v>
      </c>
      <c r="C13" s="2"/>
      <c r="D13" s="16"/>
      <c r="E13" s="16"/>
      <c r="F13" s="16"/>
      <c r="G13" s="16">
        <f>SUM(G11:G12)</f>
        <v>1489.5201648444827</v>
      </c>
      <c r="H13" s="2"/>
    </row>
    <row r="14" spans="2:13" x14ac:dyDescent="0.3">
      <c r="B14" s="38" t="s">
        <v>212</v>
      </c>
      <c r="C14" s="39"/>
      <c r="D14" s="39"/>
      <c r="E14" s="39"/>
      <c r="F14" s="39"/>
      <c r="G14" s="39"/>
      <c r="H14" s="40"/>
    </row>
    <row r="15" spans="2:13" ht="15.6" x14ac:dyDescent="0.35">
      <c r="B15" s="3" t="s">
        <v>223</v>
      </c>
      <c r="C15" s="3" t="s">
        <v>33</v>
      </c>
      <c r="D15" s="21">
        <f>6329.92841251293/1000</f>
        <v>6.3299284125129294</v>
      </c>
      <c r="E15" s="18">
        <v>15</v>
      </c>
      <c r="F15" s="21">
        <f>E15*D15</f>
        <v>94.948926187693942</v>
      </c>
      <c r="G15" s="21">
        <f>F15*C$30/C$26</f>
        <v>132.60506966359202</v>
      </c>
      <c r="H15" s="3" t="s">
        <v>235</v>
      </c>
    </row>
    <row r="16" spans="2:13" ht="16.2" x14ac:dyDescent="0.3">
      <c r="B16" s="3" t="s">
        <v>230</v>
      </c>
      <c r="C16" s="3" t="s">
        <v>228</v>
      </c>
      <c r="D16" s="21">
        <f>4935.31844125278/1000</f>
        <v>4.9353184412527797</v>
      </c>
      <c r="E16" s="21">
        <v>1.6</v>
      </c>
      <c r="F16" s="21">
        <f t="shared" ref="F16:F17" si="3">E16*D16</f>
        <v>7.8965095060044481</v>
      </c>
      <c r="G16" s="21">
        <f>F16*C30/C28</f>
        <v>10.445489776173126</v>
      </c>
      <c r="H16" s="3" t="s">
        <v>227</v>
      </c>
    </row>
    <row r="17" spans="2:8" x14ac:dyDescent="0.3">
      <c r="B17" s="3" t="s">
        <v>55</v>
      </c>
      <c r="C17" s="3" t="s">
        <v>33</v>
      </c>
      <c r="D17" s="21">
        <f>5.44920083829079/1000</f>
        <v>5.4492008382907896E-3</v>
      </c>
      <c r="E17" s="21">
        <v>200</v>
      </c>
      <c r="F17" s="21">
        <f t="shared" si="3"/>
        <v>1.0898401676581579</v>
      </c>
      <c r="G17" s="21">
        <f>F17*C30/C27</f>
        <v>1.4521564561931615</v>
      </c>
      <c r="H17" s="3" t="s">
        <v>234</v>
      </c>
    </row>
    <row r="18" spans="2:8" x14ac:dyDescent="0.3">
      <c r="B18" s="2" t="s">
        <v>222</v>
      </c>
      <c r="C18" s="2"/>
      <c r="D18" s="16"/>
      <c r="E18" s="16"/>
      <c r="F18" s="16"/>
      <c r="G18" s="16">
        <f>SUM(G15:G17)</f>
        <v>144.50271589595832</v>
      </c>
      <c r="H18" s="2"/>
    </row>
    <row r="19" spans="2:8" x14ac:dyDescent="0.3">
      <c r="B19" s="38" t="s">
        <v>225</v>
      </c>
      <c r="C19" s="39"/>
      <c r="D19" s="39"/>
      <c r="E19" s="39"/>
      <c r="F19" s="39"/>
      <c r="G19" s="39"/>
      <c r="H19" s="40"/>
    </row>
    <row r="20" spans="2:8" x14ac:dyDescent="0.3">
      <c r="B20" s="2" t="s">
        <v>226</v>
      </c>
      <c r="C20" s="2" t="s">
        <v>33</v>
      </c>
      <c r="D20" s="16">
        <f>-83396.4629121811/1000</f>
        <v>-83.396462912181107</v>
      </c>
      <c r="E20" s="18">
        <v>15.6</v>
      </c>
      <c r="F20" s="21">
        <f>E20*D20</f>
        <v>-1300.9848214300252</v>
      </c>
      <c r="G20" s="21">
        <f>F20*C30/C28</f>
        <v>-1720.9405802488368</v>
      </c>
      <c r="H20" s="3" t="s">
        <v>227</v>
      </c>
    </row>
    <row r="21" spans="2:8" x14ac:dyDescent="0.3">
      <c r="B21" s="2" t="s">
        <v>222</v>
      </c>
      <c r="C21" s="2"/>
      <c r="D21" s="16"/>
      <c r="E21" s="16"/>
      <c r="F21" s="16"/>
      <c r="G21" s="16">
        <f>SUM(G20)</f>
        <v>-1720.9405802488368</v>
      </c>
      <c r="H21" s="2"/>
    </row>
    <row r="22" spans="2:8" x14ac:dyDescent="0.3">
      <c r="B22" s="2" t="s">
        <v>104</v>
      </c>
      <c r="C22" s="15" t="s">
        <v>37</v>
      </c>
      <c r="D22" s="21"/>
      <c r="E22" s="21"/>
      <c r="F22" s="21"/>
      <c r="G22" s="16">
        <f>SUM('Catalyst costs'!F5)</f>
        <v>18.532800000000002</v>
      </c>
      <c r="H22" s="3" t="s">
        <v>213</v>
      </c>
    </row>
    <row r="23" spans="2:8" x14ac:dyDescent="0.3">
      <c r="B23" s="2" t="s">
        <v>208</v>
      </c>
      <c r="C23" s="15" t="s">
        <v>37</v>
      </c>
      <c r="D23" s="3"/>
      <c r="E23" s="3"/>
      <c r="F23" s="16"/>
      <c r="G23" s="16">
        <f>(G9+G13+G18+G21)*8000/1000000+G$22</f>
        <v>489.74344398386023</v>
      </c>
      <c r="H23" s="3"/>
    </row>
    <row r="24" spans="2:8" x14ac:dyDescent="0.3">
      <c r="B24" s="18"/>
      <c r="C24" s="18"/>
      <c r="D24" s="18"/>
      <c r="E24" s="18"/>
      <c r="F24" s="18"/>
      <c r="G24" s="18"/>
      <c r="H24" s="18"/>
    </row>
    <row r="25" spans="2:8" x14ac:dyDescent="0.3">
      <c r="B25" s="12" t="s">
        <v>95</v>
      </c>
      <c r="D25" s="18"/>
      <c r="E25" s="18"/>
      <c r="F25" s="18"/>
      <c r="G25" s="18"/>
      <c r="H25" s="18"/>
    </row>
    <row r="26" spans="2:8" x14ac:dyDescent="0.3">
      <c r="B26" s="11" t="s">
        <v>224</v>
      </c>
      <c r="C26" s="17">
        <v>575.4</v>
      </c>
      <c r="D26" s="18"/>
      <c r="E26" s="18"/>
      <c r="F26" s="18"/>
      <c r="G26" s="18"/>
      <c r="H26" s="18"/>
    </row>
    <row r="27" spans="2:8" x14ac:dyDescent="0.3">
      <c r="B27" s="11" t="s">
        <v>94</v>
      </c>
      <c r="C27" s="17">
        <v>603.1</v>
      </c>
      <c r="D27" s="18"/>
      <c r="E27" s="18"/>
      <c r="F27" s="18"/>
      <c r="G27" s="18"/>
      <c r="H27" s="18"/>
    </row>
    <row r="28" spans="2:8" x14ac:dyDescent="0.3">
      <c r="B28" s="11" t="s">
        <v>35</v>
      </c>
      <c r="C28" s="17">
        <v>607.5</v>
      </c>
      <c r="D28" s="18"/>
      <c r="E28" s="18"/>
      <c r="F28" s="18"/>
      <c r="G28" s="18"/>
      <c r="H28" s="18"/>
    </row>
    <row r="29" spans="2:8" x14ac:dyDescent="0.3">
      <c r="B29" s="11" t="s">
        <v>240</v>
      </c>
      <c r="C29" s="17">
        <v>776.3</v>
      </c>
      <c r="D29" s="18"/>
      <c r="E29" s="18"/>
      <c r="F29" s="18"/>
      <c r="G29" s="18"/>
      <c r="H29" s="18"/>
    </row>
    <row r="30" spans="2:8" x14ac:dyDescent="0.3">
      <c r="B30" s="11" t="s">
        <v>237</v>
      </c>
      <c r="C30" s="17">
        <v>803.6</v>
      </c>
      <c r="D30" s="18"/>
      <c r="E30" s="18"/>
      <c r="F30" s="18"/>
      <c r="G30" s="18"/>
      <c r="H30" s="18"/>
    </row>
    <row r="31" spans="2:8" x14ac:dyDescent="0.3">
      <c r="B31" s="18"/>
      <c r="C31" s="18"/>
      <c r="D31" s="18"/>
      <c r="E31" s="18"/>
      <c r="F31" s="18"/>
      <c r="G31" s="18"/>
      <c r="H31" s="18"/>
    </row>
    <row r="32" spans="2:8" x14ac:dyDescent="0.3">
      <c r="B32" s="18"/>
      <c r="C32" s="18"/>
      <c r="D32" s="18"/>
      <c r="E32" s="18"/>
      <c r="F32" s="18"/>
      <c r="G32" s="18"/>
      <c r="H32" s="18"/>
    </row>
    <row r="33" spans="2:8" x14ac:dyDescent="0.3">
      <c r="B33" s="18"/>
      <c r="C33" s="18"/>
      <c r="D33" s="18"/>
      <c r="E33" s="18"/>
      <c r="F33" s="18"/>
      <c r="G33" s="18"/>
      <c r="H33" s="18"/>
    </row>
  </sheetData>
  <mergeCells count="4">
    <mergeCell ref="B19:H19"/>
    <mergeCell ref="B4:H4"/>
    <mergeCell ref="B10:H10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7"/>
  <sheetViews>
    <sheetView zoomScale="130" zoomScaleNormal="130" workbookViewId="0">
      <selection activeCell="C24" sqref="C24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1" t="s">
        <v>239</v>
      </c>
      <c r="C3" s="17">
        <f>SUM(CAPEX!B136)</f>
        <v>48.833161800389227</v>
      </c>
      <c r="E3" s="44" t="s">
        <v>243</v>
      </c>
      <c r="F3" s="44"/>
      <c r="G3" s="44"/>
      <c r="H3" s="44"/>
      <c r="J3" s="38" t="s">
        <v>244</v>
      </c>
      <c r="K3" s="40"/>
    </row>
    <row r="4" spans="2:11" x14ac:dyDescent="0.3">
      <c r="B4" s="19" t="s">
        <v>60</v>
      </c>
      <c r="C4" s="17">
        <f>SUM(CAPEX!B137)</f>
        <v>182.63602513345572</v>
      </c>
      <c r="E4" s="2" t="s">
        <v>101</v>
      </c>
      <c r="F4" s="2" t="s">
        <v>256</v>
      </c>
      <c r="G4" s="2" t="s">
        <v>245</v>
      </c>
      <c r="H4" s="2" t="s">
        <v>246</v>
      </c>
      <c r="J4" s="2" t="s">
        <v>101</v>
      </c>
      <c r="K4" s="36" t="s">
        <v>246</v>
      </c>
    </row>
    <row r="5" spans="2:11" x14ac:dyDescent="0.3">
      <c r="B5" s="19" t="s">
        <v>61</v>
      </c>
      <c r="C5" s="17">
        <f>SUM(CAPEX!B138)</f>
        <v>54.790807540036717</v>
      </c>
      <c r="E5" s="3" t="s">
        <v>57</v>
      </c>
      <c r="F5" s="21">
        <f>CAPEX!H29</f>
        <v>21.325254167763983</v>
      </c>
      <c r="G5" s="21">
        <f>F5*CAPEX!$B$135/CAPEX!$B$134</f>
        <v>32.157955055761192</v>
      </c>
      <c r="H5" s="21">
        <f>(G5*CAPEX!$C$141+Summary!G5*CAPEX!$C$141*0.15)*CAPEX!$B$146</f>
        <v>32.095144577682554</v>
      </c>
      <c r="J5" s="33" t="s">
        <v>57</v>
      </c>
      <c r="K5" s="21">
        <f>H5</f>
        <v>32.095144577682554</v>
      </c>
    </row>
    <row r="6" spans="2:11" x14ac:dyDescent="0.3">
      <c r="B6" s="19" t="s">
        <v>84</v>
      </c>
      <c r="C6" s="17">
        <f>SUM(CAPEX!B139)</f>
        <v>71.228049802047735</v>
      </c>
      <c r="E6" s="3" t="s">
        <v>164</v>
      </c>
      <c r="F6" s="21">
        <f>CAPEX!H34</f>
        <v>2.8702810364792754E-2</v>
      </c>
      <c r="G6" s="21">
        <f>F6*CAPEX!$B$135/CAPEX!$B$134</f>
        <v>4.3283127057886013E-2</v>
      </c>
      <c r="H6" s="21">
        <f>(G6*CAPEX!$C$141+Summary!G6*CAPEX!$C$141*0.15)*CAPEX!$B$146</f>
        <v>4.3198587045981333E-2</v>
      </c>
      <c r="J6" s="33" t="s">
        <v>164</v>
      </c>
      <c r="K6" s="21">
        <f t="shared" ref="K6:K10" si="0">H6</f>
        <v>4.3198587045981333E-2</v>
      </c>
    </row>
    <row r="7" spans="2:11" x14ac:dyDescent="0.3">
      <c r="B7" s="19" t="s">
        <v>63</v>
      </c>
      <c r="C7" s="17">
        <f>SUM(CAPEX!B140)</f>
        <v>23.742683267349246</v>
      </c>
      <c r="E7" s="3" t="s">
        <v>167</v>
      </c>
      <c r="F7" s="21">
        <f>CAPEX!H98</f>
        <v>4.5325366280847863</v>
      </c>
      <c r="G7" s="21">
        <f>F7*CAPEX!$B$135/CAPEX!$B$134</f>
        <v>6.8349529636497177</v>
      </c>
      <c r="H7" s="21">
        <f>(G7*CAPEX!$C$141+Summary!G7*CAPEX!$C$141*0.15)*CAPEX!$B$146</f>
        <v>6.8216030269840475</v>
      </c>
      <c r="J7" s="33" t="s">
        <v>167</v>
      </c>
      <c r="K7" s="21">
        <f t="shared" si="0"/>
        <v>6.8216030269840475</v>
      </c>
    </row>
    <row r="8" spans="2:11" x14ac:dyDescent="0.3">
      <c r="B8" s="19" t="s">
        <v>64</v>
      </c>
      <c r="C8" s="17">
        <f>SUM(CAPEX!B141)</f>
        <v>332.39756574288947</v>
      </c>
      <c r="E8" s="3" t="s">
        <v>58</v>
      </c>
      <c r="F8" s="21">
        <f>CAPEX!H105</f>
        <v>5.6235806419051118</v>
      </c>
      <c r="G8" s="21">
        <f>F8*CAPEX!$B$135/CAPEX!$B$134</f>
        <v>8.4802203111933725</v>
      </c>
      <c r="H8" s="21">
        <f>(G8*CAPEX!$C$141+Summary!G8*CAPEX!$C$141*0.15)*CAPEX!$B$146</f>
        <v>8.4636568608422955</v>
      </c>
      <c r="J8" s="33" t="s">
        <v>58</v>
      </c>
      <c r="K8" s="21">
        <f t="shared" si="0"/>
        <v>8.4636568608422955</v>
      </c>
    </row>
    <row r="9" spans="2:11" x14ac:dyDescent="0.3">
      <c r="B9" s="19" t="s">
        <v>67</v>
      </c>
      <c r="C9" s="17">
        <f>SUM(CAPEX!B142)</f>
        <v>49.85963486143342</v>
      </c>
      <c r="E9" s="3" t="s">
        <v>166</v>
      </c>
      <c r="F9" s="21">
        <f>CAPEX!H115</f>
        <v>0.67866140087206761</v>
      </c>
      <c r="G9" s="21">
        <f>F9*CAPEX!$B$135/CAPEX!$B$134</f>
        <v>1.0234045819868522</v>
      </c>
      <c r="H9" s="21">
        <f>(G9*CAPEX!$C$141+Summary!G9*CAPEX!$C$141*0.15)*CAPEX!$B$146</f>
        <v>1.0214056821516169</v>
      </c>
      <c r="J9" s="33" t="s">
        <v>166</v>
      </c>
      <c r="K9" s="21">
        <f t="shared" si="0"/>
        <v>1.0214056821516169</v>
      </c>
    </row>
    <row r="10" spans="2:11" x14ac:dyDescent="0.3">
      <c r="B10" s="11" t="s">
        <v>65</v>
      </c>
      <c r="C10" s="17">
        <f>SUM(CAPEX!B143)</f>
        <v>382.25720060432286</v>
      </c>
      <c r="E10" s="3" t="s">
        <v>247</v>
      </c>
      <c r="F10" s="21">
        <f>CAPEX!H119+CAPEX!H123+CAPEX!H127+CAPEX!H131</f>
        <v>0.19452956184476533</v>
      </c>
      <c r="G10" s="21">
        <f>F10*CAPEX!$B$135/CAPEX!$B$134</f>
        <v>0.29334576074020158</v>
      </c>
      <c r="H10" s="21">
        <f>(G10*CAPEX!$C$141+Summary!G10*CAPEX!$C$141*0.15)*CAPEX!$B$146</f>
        <v>0.29277280181161031</v>
      </c>
      <c r="J10" s="33" t="s">
        <v>247</v>
      </c>
      <c r="K10" s="21">
        <f t="shared" si="0"/>
        <v>0.29277280181161031</v>
      </c>
    </row>
    <row r="11" spans="2:11" x14ac:dyDescent="0.3">
      <c r="B11" s="11" t="s">
        <v>89</v>
      </c>
      <c r="C11" s="17">
        <f>SUM('Production costs'!C9)</f>
        <v>7.3406250000000002</v>
      </c>
      <c r="E11" s="2" t="s">
        <v>146</v>
      </c>
      <c r="F11" s="16">
        <f>SUM(F5:F10)</f>
        <v>32.383265210835511</v>
      </c>
      <c r="G11" s="16">
        <f>SUM(G5:G10)</f>
        <v>48.83316180038922</v>
      </c>
      <c r="H11" s="16">
        <f>SUM(H5:H10)</f>
        <v>48.737781536518106</v>
      </c>
      <c r="J11" s="35" t="s">
        <v>146</v>
      </c>
      <c r="K11" s="16">
        <f>SUM(K5:K10)</f>
        <v>48.737781536518106</v>
      </c>
    </row>
    <row r="12" spans="2:11" x14ac:dyDescent="0.3">
      <c r="B12" s="11" t="s">
        <v>90</v>
      </c>
      <c r="C12" s="17">
        <f>SUM('Production costs'!C12)</f>
        <v>5.4790807540036717</v>
      </c>
    </row>
    <row r="13" spans="2:11" x14ac:dyDescent="0.3">
      <c r="B13" s="11" t="s">
        <v>78</v>
      </c>
      <c r="C13" s="17">
        <f>SUM('Production costs'!C16)</f>
        <v>13.081345393572235</v>
      </c>
      <c r="E13" s="38" t="s">
        <v>248</v>
      </c>
      <c r="F13" s="40"/>
      <c r="J13" s="38" t="s">
        <v>249</v>
      </c>
      <c r="K13" s="40"/>
    </row>
    <row r="14" spans="2:11" x14ac:dyDescent="0.3">
      <c r="B14" s="11" t="s">
        <v>86</v>
      </c>
      <c r="C14" s="17">
        <f>SUM('Production costs'!C19)</f>
        <v>2.9915780916860051</v>
      </c>
      <c r="E14" s="2" t="s">
        <v>250</v>
      </c>
      <c r="F14" s="2" t="s">
        <v>37</v>
      </c>
      <c r="J14" s="2" t="s">
        <v>250</v>
      </c>
      <c r="K14" s="2" t="s">
        <v>37</v>
      </c>
    </row>
    <row r="15" spans="2:11" x14ac:dyDescent="0.3">
      <c r="B15" s="11" t="s">
        <v>27</v>
      </c>
      <c r="C15" s="17">
        <f>SUM(CAPEX!B144)</f>
        <v>25</v>
      </c>
      <c r="E15" s="3" t="s">
        <v>81</v>
      </c>
      <c r="F15" s="21">
        <f>'Production costs'!C6</f>
        <v>4.05</v>
      </c>
      <c r="J15" s="3" t="s">
        <v>251</v>
      </c>
      <c r="K15" s="21">
        <f>F15+F16+F17</f>
        <v>7.3406250000000002</v>
      </c>
    </row>
    <row r="16" spans="2:11" x14ac:dyDescent="0.3">
      <c r="B16" s="11" t="s">
        <v>28</v>
      </c>
      <c r="C16" s="17">
        <f>SUM(CAPEX!B145)</f>
        <v>0.12</v>
      </c>
      <c r="E16" s="3" t="s">
        <v>69</v>
      </c>
      <c r="F16" s="21">
        <f>'Production costs'!C7</f>
        <v>1.0125</v>
      </c>
      <c r="J16" s="3" t="s">
        <v>76</v>
      </c>
      <c r="K16" s="21">
        <f>F18</f>
        <v>5.4790807540036717</v>
      </c>
    </row>
    <row r="17" spans="2:11" x14ac:dyDescent="0.3">
      <c r="B17" s="11" t="s">
        <v>29</v>
      </c>
      <c r="C17" s="13">
        <f>SUM(CAPEX!B146)</f>
        <v>0.12749996980950773</v>
      </c>
      <c r="E17" s="3" t="s">
        <v>73</v>
      </c>
      <c r="F17" s="21">
        <f>'Production costs'!C8</f>
        <v>2.2781250000000002</v>
      </c>
      <c r="J17" s="3" t="s">
        <v>252</v>
      </c>
      <c r="K17" s="21">
        <f>F19+F20</f>
        <v>13.081345393572235</v>
      </c>
    </row>
    <row r="18" spans="2:11" x14ac:dyDescent="0.3">
      <c r="B18" s="12" t="s">
        <v>36</v>
      </c>
      <c r="C18" s="14">
        <f>SUM(CAPEX!B148)</f>
        <v>48.737781536518106</v>
      </c>
      <c r="E18" s="3" t="s">
        <v>76</v>
      </c>
      <c r="F18" s="21">
        <f>'Production costs'!C11</f>
        <v>5.4790807540036717</v>
      </c>
      <c r="J18" s="3" t="s">
        <v>86</v>
      </c>
      <c r="K18" s="21">
        <f>F21</f>
        <v>2.9915780916860051</v>
      </c>
    </row>
    <row r="19" spans="2:11" x14ac:dyDescent="0.3">
      <c r="B19" s="12" t="s">
        <v>215</v>
      </c>
      <c r="C19" s="14">
        <f>'Production costs'!C20</f>
        <v>28.892629239261911</v>
      </c>
      <c r="E19" s="3" t="s">
        <v>80</v>
      </c>
      <c r="F19" s="21">
        <f>'Production costs'!C14</f>
        <v>8.3328087401023865</v>
      </c>
      <c r="J19" s="2" t="s">
        <v>146</v>
      </c>
      <c r="K19" s="16">
        <f>SUM(K15:K18)</f>
        <v>28.892629239261911</v>
      </c>
    </row>
    <row r="20" spans="2:11" x14ac:dyDescent="0.3">
      <c r="B20" s="12" t="s">
        <v>56</v>
      </c>
      <c r="C20" s="14">
        <f>OPEX!G23</f>
        <v>489.74344398386023</v>
      </c>
      <c r="E20" s="3" t="s">
        <v>83</v>
      </c>
      <c r="F20" s="21">
        <f>'Production costs'!C15</f>
        <v>4.7485366534698485</v>
      </c>
    </row>
    <row r="21" spans="2:11" x14ac:dyDescent="0.3">
      <c r="B21" s="12" t="s">
        <v>216</v>
      </c>
      <c r="C21" s="14">
        <f>($C$18+$C$19+C20)</f>
        <v>567.37385475964027</v>
      </c>
      <c r="E21" s="3" t="s">
        <v>87</v>
      </c>
      <c r="F21" s="21">
        <f>'Production costs'!C18</f>
        <v>2.9915780916860051</v>
      </c>
    </row>
    <row r="22" spans="2:11" x14ac:dyDescent="0.3">
      <c r="B22" s="12" t="s">
        <v>217</v>
      </c>
      <c r="C22" s="14">
        <f>(C21)*1000000/8000</f>
        <v>70921.731844955022</v>
      </c>
      <c r="E22" s="2" t="s">
        <v>146</v>
      </c>
      <c r="F22" s="16">
        <f>SUM(F15:F21)</f>
        <v>28.892629239261911</v>
      </c>
    </row>
    <row r="23" spans="2:11" x14ac:dyDescent="0.3">
      <c r="B23" s="12" t="s">
        <v>218</v>
      </c>
      <c r="C23" s="14">
        <v>56724.823237051998</v>
      </c>
    </row>
    <row r="24" spans="2:11" x14ac:dyDescent="0.3">
      <c r="B24" s="27" t="s">
        <v>214</v>
      </c>
      <c r="C24" s="26">
        <f>C22/C23</f>
        <v>1.2502768241088105</v>
      </c>
      <c r="E24" s="38" t="s">
        <v>253</v>
      </c>
      <c r="F24" s="40"/>
    </row>
    <row r="25" spans="2:11" x14ac:dyDescent="0.3">
      <c r="B25" s="27" t="s">
        <v>241</v>
      </c>
      <c r="C25" s="34">
        <f>C24*1000</f>
        <v>1250.2768241088104</v>
      </c>
      <c r="E25" s="2" t="s">
        <v>250</v>
      </c>
      <c r="F25" s="2" t="s">
        <v>37</v>
      </c>
    </row>
    <row r="26" spans="2:11" x14ac:dyDescent="0.3">
      <c r="E26" s="3" t="s">
        <v>219</v>
      </c>
      <c r="F26" s="21">
        <f>OPEX!G5*8000/10^6</f>
        <v>74.411230899166156</v>
      </c>
      <c r="I26" s="37"/>
    </row>
    <row r="27" spans="2:11" x14ac:dyDescent="0.3">
      <c r="E27" s="3" t="s">
        <v>220</v>
      </c>
      <c r="F27" s="21">
        <f>OPEX!G6*8000/10^6</f>
        <v>31.45571250661003</v>
      </c>
    </row>
    <row r="28" spans="2:11" x14ac:dyDescent="0.3">
      <c r="E28" s="3" t="s">
        <v>221</v>
      </c>
      <c r="F28" s="21">
        <f>OPEX!G7*8000/10^6</f>
        <v>366.03904217415123</v>
      </c>
    </row>
    <row r="29" spans="2:11" x14ac:dyDescent="0.3">
      <c r="E29" s="3" t="s">
        <v>96</v>
      </c>
      <c r="F29" s="21">
        <f>OPEX!G8*8000/10^6</f>
        <v>0</v>
      </c>
    </row>
    <row r="30" spans="2:11" x14ac:dyDescent="0.3">
      <c r="E30" s="3" t="s">
        <v>25</v>
      </c>
      <c r="F30" s="21">
        <f>OPEX!G11*8000/10^6</f>
        <v>4.0984793785145524</v>
      </c>
    </row>
    <row r="31" spans="2:11" x14ac:dyDescent="0.3">
      <c r="E31" s="3" t="s">
        <v>26</v>
      </c>
      <c r="F31" s="21">
        <f>OPEX!G12*8000/10^6</f>
        <v>7.8176819402413091</v>
      </c>
    </row>
    <row r="32" spans="2:11" ht="15.6" x14ac:dyDescent="0.35">
      <c r="E32" s="3" t="s">
        <v>254</v>
      </c>
      <c r="F32" s="21">
        <f>OPEX!G15*8000/10^6</f>
        <v>1.0608405573087363</v>
      </c>
    </row>
    <row r="33" spans="5:8" x14ac:dyDescent="0.3">
      <c r="E33" s="3" t="s">
        <v>230</v>
      </c>
      <c r="F33" s="21">
        <f>OPEX!G16*8000/10^6</f>
        <v>8.356391820938501E-2</v>
      </c>
    </row>
    <row r="34" spans="5:8" x14ac:dyDescent="0.3">
      <c r="E34" s="3" t="s">
        <v>55</v>
      </c>
      <c r="F34" s="21">
        <f>OPEX!G17*8000/10^6</f>
        <v>1.1617251649545291E-2</v>
      </c>
    </row>
    <row r="35" spans="5:8" x14ac:dyDescent="0.3">
      <c r="E35" s="3" t="s">
        <v>226</v>
      </c>
      <c r="F35" s="21">
        <f>OPEX!G20*8000/10^6</f>
        <v>-13.767524641990695</v>
      </c>
    </row>
    <row r="36" spans="5:8" x14ac:dyDescent="0.3">
      <c r="E36" s="3" t="s">
        <v>255</v>
      </c>
      <c r="F36" s="21">
        <f>OPEX!G22</f>
        <v>18.532800000000002</v>
      </c>
    </row>
    <row r="37" spans="5:8" x14ac:dyDescent="0.3">
      <c r="E37" s="2" t="s">
        <v>146</v>
      </c>
      <c r="F37" s="16">
        <f>SUM(F26:F36)</f>
        <v>489.74344398386023</v>
      </c>
    </row>
    <row r="39" spans="5:8" x14ac:dyDescent="0.3">
      <c r="E39" s="44" t="s">
        <v>257</v>
      </c>
      <c r="F39" s="44"/>
      <c r="G39" s="44"/>
      <c r="H39" s="44"/>
    </row>
    <row r="40" spans="5:8" x14ac:dyDescent="0.3">
      <c r="E40" s="2" t="s">
        <v>250</v>
      </c>
      <c r="F40" s="2" t="s">
        <v>265</v>
      </c>
      <c r="G40" s="2" t="s">
        <v>263</v>
      </c>
      <c r="H40" s="2" t="s">
        <v>30</v>
      </c>
    </row>
    <row r="41" spans="5:8" x14ac:dyDescent="0.3">
      <c r="E41" s="3" t="s">
        <v>219</v>
      </c>
      <c r="F41" s="28">
        <f>F26*10^9/8000/$C$23</f>
        <v>163.9741356888037</v>
      </c>
      <c r="G41" s="28">
        <f>OPEX!D5</f>
        <v>17.147739319953899</v>
      </c>
      <c r="H41" s="3" t="s">
        <v>33</v>
      </c>
    </row>
    <row r="42" spans="5:8" x14ac:dyDescent="0.3">
      <c r="E42" s="3" t="s">
        <v>260</v>
      </c>
      <c r="F42" s="28">
        <v>0</v>
      </c>
      <c r="G42" s="28">
        <v>0</v>
      </c>
      <c r="H42" s="3" t="s">
        <v>33</v>
      </c>
    </row>
    <row r="43" spans="5:8" x14ac:dyDescent="0.3">
      <c r="E43" s="3" t="s">
        <v>272</v>
      </c>
      <c r="F43" s="28">
        <v>0</v>
      </c>
      <c r="G43" s="28">
        <v>0</v>
      </c>
      <c r="H43" s="3" t="s">
        <v>33</v>
      </c>
    </row>
    <row r="44" spans="5:8" x14ac:dyDescent="0.3">
      <c r="E44" s="3" t="s">
        <v>220</v>
      </c>
      <c r="F44" s="28">
        <f t="shared" ref="F44:F48" si="1">F27*10^9/8000/$C$23</f>
        <v>69.316462157927717</v>
      </c>
      <c r="G44" s="28">
        <f>OPEX!D6</f>
        <v>23.942638719999998</v>
      </c>
      <c r="H44" s="3" t="s">
        <v>33</v>
      </c>
    </row>
    <row r="45" spans="5:8" x14ac:dyDescent="0.3">
      <c r="E45" s="3" t="s">
        <v>96</v>
      </c>
      <c r="F45" s="28">
        <f>F29*10^9/8000/$C$23</f>
        <v>0</v>
      </c>
      <c r="G45" s="28">
        <f>OPEX!D8</f>
        <v>0</v>
      </c>
      <c r="H45" s="3" t="s">
        <v>33</v>
      </c>
    </row>
    <row r="46" spans="5:8" x14ac:dyDescent="0.3">
      <c r="E46" s="3" t="s">
        <v>221</v>
      </c>
      <c r="F46" s="28">
        <f>F28*10^9/8000/$C$23</f>
        <v>806.61124461437453</v>
      </c>
      <c r="G46" s="28">
        <f>OPEX!D7</f>
        <v>26.751322225834102</v>
      </c>
      <c r="H46" s="3" t="s">
        <v>33</v>
      </c>
    </row>
    <row r="47" spans="5:8" ht="16.2" x14ac:dyDescent="0.3">
      <c r="E47" s="3" t="s">
        <v>25</v>
      </c>
      <c r="F47" s="28">
        <f t="shared" si="1"/>
        <v>9.0314943807473007</v>
      </c>
      <c r="G47" s="28">
        <f>OPEX!D11</f>
        <v>10758.125857459099</v>
      </c>
      <c r="H47" s="3" t="s">
        <v>228</v>
      </c>
    </row>
    <row r="48" spans="5:8" x14ac:dyDescent="0.3">
      <c r="E48" s="3" t="s">
        <v>26</v>
      </c>
      <c r="F48" s="28">
        <f t="shared" si="1"/>
        <v>17.227206481480248</v>
      </c>
      <c r="G48" s="28">
        <f>OPEX!D12</f>
        <v>10.614147656255801</v>
      </c>
      <c r="H48" s="3" t="s">
        <v>229</v>
      </c>
    </row>
    <row r="49" spans="5:8" x14ac:dyDescent="0.3">
      <c r="E49" s="3" t="s">
        <v>261</v>
      </c>
      <c r="F49" s="28">
        <v>0</v>
      </c>
      <c r="G49" s="28">
        <v>0</v>
      </c>
      <c r="H49" s="3" t="s">
        <v>33</v>
      </c>
    </row>
    <row r="50" spans="5:8" x14ac:dyDescent="0.3">
      <c r="E50" s="3" t="s">
        <v>262</v>
      </c>
      <c r="F50" s="28">
        <f>F32*10^9/8000/$C$23</f>
        <v>2.3376903108086888</v>
      </c>
      <c r="G50" s="28">
        <f>OPEX!D15</f>
        <v>6.3299284125129294</v>
      </c>
      <c r="H50" s="3" t="s">
        <v>33</v>
      </c>
    </row>
    <row r="51" spans="5:8" ht="16.2" x14ac:dyDescent="0.3">
      <c r="E51" s="3" t="s">
        <v>230</v>
      </c>
      <c r="F51" s="28">
        <f>F33*10^9/8000/$C$23</f>
        <v>0.18414318776317057</v>
      </c>
      <c r="G51" s="28">
        <f>OPEX!D16</f>
        <v>4.9353184412527797</v>
      </c>
      <c r="H51" s="3" t="s">
        <v>228</v>
      </c>
    </row>
    <row r="52" spans="5:8" x14ac:dyDescent="0.3">
      <c r="E52" s="3" t="s">
        <v>55</v>
      </c>
      <c r="F52" s="28">
        <f>F34*10^9/8000/$C$23</f>
        <v>2.5600017299738882E-2</v>
      </c>
      <c r="G52" s="28">
        <f>OPEX!D17</f>
        <v>5.4492008382907896E-3</v>
      </c>
      <c r="H52" s="3" t="s">
        <v>33</v>
      </c>
    </row>
    <row r="53" spans="5:8" x14ac:dyDescent="0.3">
      <c r="E53" s="3" t="s">
        <v>226</v>
      </c>
      <c r="F53" s="28">
        <f>F35*10^9/8000/$C$23</f>
        <v>-30.338403577866742</v>
      </c>
      <c r="G53" s="28">
        <f>OPEX!D20</f>
        <v>-83.396462912181107</v>
      </c>
      <c r="H53" s="3" t="s">
        <v>33</v>
      </c>
    </row>
    <row r="54" spans="5:8" x14ac:dyDescent="0.3">
      <c r="E54" s="3" t="s">
        <v>255</v>
      </c>
      <c r="F54" s="28">
        <f>F36*10^9/8000/$C$23</f>
        <v>40.839263444135753</v>
      </c>
      <c r="G54" s="28">
        <v>0</v>
      </c>
      <c r="H54" s="3" t="s">
        <v>264</v>
      </c>
    </row>
    <row r="55" spans="5:8" x14ac:dyDescent="0.3">
      <c r="E55" s="3" t="s">
        <v>259</v>
      </c>
      <c r="F55" s="28">
        <f>K19*10^9/8000/$C$23</f>
        <v>63.668398574201241</v>
      </c>
      <c r="G55" s="28">
        <v>0</v>
      </c>
      <c r="H55" s="3" t="s">
        <v>264</v>
      </c>
    </row>
    <row r="56" spans="5:8" x14ac:dyDescent="0.3">
      <c r="E56" s="3" t="s">
        <v>258</v>
      </c>
      <c r="F56" s="28">
        <f>H11*10^9/8000/$C$23</f>
        <v>107.39958882913528</v>
      </c>
      <c r="G56" s="28">
        <v>0</v>
      </c>
      <c r="H56" s="3" t="s">
        <v>264</v>
      </c>
    </row>
    <row r="57" spans="5:8" x14ac:dyDescent="0.3">
      <c r="E57" s="2" t="s">
        <v>146</v>
      </c>
      <c r="F57" s="15">
        <f>SUM(F41:F56)</f>
        <v>1250.2768241088104</v>
      </c>
      <c r="G57" s="11"/>
      <c r="H57" s="11"/>
    </row>
  </sheetData>
  <mergeCells count="6">
    <mergeCell ref="E39:H39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2022-09-15T21:09:08Z</dcterms:modified>
</cp:coreProperties>
</file>